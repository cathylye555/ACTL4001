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601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nsw-my.sharepoint.com/personal/z5308668_ad_unsw_edu_au/Documents/"/>
    </mc:Choice>
  </mc:AlternateContent>
  <xr:revisionPtr revIDLastSave="0" documentId="8_{D414270B-A3CF-477F-8282-A9D40A5AB7B4}" xr6:coauthVersionLast="47" xr6:coauthVersionMax="47" xr10:uidLastSave="{00000000-0000-0000-0000-000000000000}"/>
  <bookViews>
    <workbookView xWindow="0" yWindow="0" windowWidth="28800" windowHeight="18000" firstSheet="6" activeTab="6" xr2:uid="{00000000-000D-0000-FFFF-FFFF00000000}"/>
  </bookViews>
  <sheets>
    <sheet name="Data_Analysis &gt;&gt;&gt;" sheetId="10" r:id="rId1"/>
    <sheet name="Mortality_Table" sheetId="4" r:id="rId2"/>
    <sheet name="Loading_Factor _Selection" sheetId="7" r:id="rId3"/>
    <sheet name="P&amp;L_Analysis" sheetId="8" r:id="rId4"/>
    <sheet name="Cause_of_Death_R" sheetId="9" r:id="rId5"/>
    <sheet name="T20 &gt;&gt;&gt;" sheetId="2" r:id="rId6"/>
    <sheet name="Base_Case_Products" sheetId="3" r:id="rId7"/>
    <sheet name="WL &gt;&gt;&gt;" sheetId="5" r:id="rId8"/>
    <sheet name="Base_Case" sheetId="6" r:id="rId9"/>
    <sheet name="Graphs &gt;&gt;&gt;" sheetId="11" r:id="rId10"/>
    <sheet name="Death_Cause" sheetId="12" r:id="rId11"/>
  </sheets>
  <definedNames>
    <definedName name="solver_adj" localSheetId="8" hidden="1">Base_Case!$B$96</definedName>
    <definedName name="solver_adj" localSheetId="6" hidden="1">Base_Case_Products!$D$17</definedName>
    <definedName name="solver_cvg" localSheetId="8" hidden="1">0.0001</definedName>
    <definedName name="solver_cvg" localSheetId="6" hidden="1">0.0001</definedName>
    <definedName name="solver_drv" localSheetId="8" hidden="1">1</definedName>
    <definedName name="solver_drv" localSheetId="6" hidden="1">1</definedName>
    <definedName name="solver_eng" localSheetId="8" hidden="1">1</definedName>
    <definedName name="solver_eng" localSheetId="6" hidden="1">1</definedName>
    <definedName name="solver_itr" localSheetId="8" hidden="1">2147483647</definedName>
    <definedName name="solver_itr" localSheetId="6" hidden="1">2147483647</definedName>
    <definedName name="solver_lin" localSheetId="8" hidden="1">2</definedName>
    <definedName name="solver_lin" localSheetId="6" hidden="1">2</definedName>
    <definedName name="solver_mip" localSheetId="8" hidden="1">2147483647</definedName>
    <definedName name="solver_mip" localSheetId="6" hidden="1">2147483647</definedName>
    <definedName name="solver_mni" localSheetId="8" hidden="1">30</definedName>
    <definedName name="solver_mni" localSheetId="6" hidden="1">30</definedName>
    <definedName name="solver_mrt" localSheetId="8" hidden="1">0.075</definedName>
    <definedName name="solver_mrt" localSheetId="6" hidden="1">0.075</definedName>
    <definedName name="solver_msl" localSheetId="8" hidden="1">2</definedName>
    <definedName name="solver_msl" localSheetId="6" hidden="1">2</definedName>
    <definedName name="solver_neg" localSheetId="8" hidden="1">1</definedName>
    <definedName name="solver_neg" localSheetId="6" hidden="1">1</definedName>
    <definedName name="solver_nod" localSheetId="8" hidden="1">2147483647</definedName>
    <definedName name="solver_nod" localSheetId="6" hidden="1">2147483647</definedName>
    <definedName name="solver_num" localSheetId="8" hidden="1">0</definedName>
    <definedName name="solver_num" localSheetId="6" hidden="1">0</definedName>
    <definedName name="solver_opt" localSheetId="8" hidden="1">Base_Case!$C$4</definedName>
    <definedName name="solver_opt" localSheetId="6" hidden="1">Base_Case_Products!$H$4</definedName>
    <definedName name="solver_pre" localSheetId="8" hidden="1">0.000001</definedName>
    <definedName name="solver_pre" localSheetId="6" hidden="1">0.000001</definedName>
    <definedName name="solver_rbv" localSheetId="8" hidden="1">1</definedName>
    <definedName name="solver_rbv" localSheetId="6" hidden="1">1</definedName>
    <definedName name="solver_rlx" localSheetId="8" hidden="1">2</definedName>
    <definedName name="solver_rlx" localSheetId="6" hidden="1">2</definedName>
    <definedName name="solver_rsd" localSheetId="8" hidden="1">0</definedName>
    <definedName name="solver_rsd" localSheetId="6" hidden="1">0</definedName>
    <definedName name="solver_scl" localSheetId="8" hidden="1">1</definedName>
    <definedName name="solver_scl" localSheetId="6" hidden="1">1</definedName>
    <definedName name="solver_sho" localSheetId="8" hidden="1">2</definedName>
    <definedName name="solver_sho" localSheetId="6" hidden="1">2</definedName>
    <definedName name="solver_ssz" localSheetId="8" hidden="1">100</definedName>
    <definedName name="solver_ssz" localSheetId="6" hidden="1">100</definedName>
    <definedName name="solver_tim" localSheetId="8" hidden="1">2147483647</definedName>
    <definedName name="solver_tim" localSheetId="6" hidden="1">2147483647</definedName>
    <definedName name="solver_tol" localSheetId="8" hidden="1">0.01</definedName>
    <definedName name="solver_tol" localSheetId="6" hidden="1">0.01</definedName>
    <definedName name="solver_typ" localSheetId="8" hidden="1">3</definedName>
    <definedName name="solver_typ" localSheetId="6" hidden="1">3</definedName>
    <definedName name="solver_val" localSheetId="8" hidden="1">0</definedName>
    <definedName name="solver_val" localSheetId="6" hidden="1">0</definedName>
    <definedName name="solver_ver" localSheetId="8" hidden="1">2</definedName>
    <definedName name="solver_ver" localSheetId="6" hidden="1">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3" l="1"/>
  <c r="H183" i="3"/>
  <c r="I30" i="8"/>
  <c r="I28" i="8"/>
  <c r="I23" i="8"/>
  <c r="I21" i="8"/>
  <c r="I12" i="8"/>
  <c r="I10" i="8"/>
  <c r="A12" i="8"/>
  <c r="A10" i="8"/>
  <c r="A6" i="8"/>
  <c r="A4" i="8"/>
  <c r="B24" i="3"/>
  <c r="B23" i="3"/>
  <c r="B22" i="3"/>
  <c r="F166" i="3" s="1" a="1"/>
  <c r="F166" i="3" s="1"/>
  <c r="G166" i="3" s="1"/>
  <c r="B21" i="3"/>
  <c r="B1" i="4"/>
  <c r="F31" i="4" s="1"/>
  <c r="B17" i="6"/>
  <c r="B16" i="6"/>
  <c r="H357" i="6" s="1"/>
  <c r="X357" i="6" s="1"/>
  <c r="G122" i="4"/>
  <c r="G121" i="4"/>
  <c r="G120" i="4"/>
  <c r="G119" i="4"/>
  <c r="G118" i="4"/>
  <c r="G117" i="4"/>
  <c r="G116" i="4"/>
  <c r="G115" i="4"/>
  <c r="G114" i="4"/>
  <c r="G113" i="4"/>
  <c r="G112" i="4"/>
  <c r="G111" i="4"/>
  <c r="G110" i="4"/>
  <c r="G109" i="4"/>
  <c r="G108" i="4"/>
  <c r="G107" i="4"/>
  <c r="G10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AK519" i="6"/>
  <c r="AJ519" i="6"/>
  <c r="AH445" i="6"/>
  <c r="AI444" i="6"/>
  <c r="AH444" i="6"/>
  <c r="AK432" i="6"/>
  <c r="AJ432" i="6"/>
  <c r="AH358" i="6"/>
  <c r="AI357" i="6"/>
  <c r="AH357" i="6"/>
  <c r="AK345" i="6"/>
  <c r="AJ345" i="6"/>
  <c r="AH271" i="6"/>
  <c r="AI270" i="6"/>
  <c r="AH270" i="6"/>
  <c r="AK258" i="6"/>
  <c r="AJ258" i="6"/>
  <c r="AH184" i="6"/>
  <c r="AI183" i="6"/>
  <c r="AH183" i="6"/>
  <c r="AH97" i="6"/>
  <c r="AJ171" i="6"/>
  <c r="AK171" i="6"/>
  <c r="AI96" i="6"/>
  <c r="AH96" i="6"/>
  <c r="I444" i="6"/>
  <c r="I445" i="6" s="1"/>
  <c r="I446" i="6" s="1"/>
  <c r="I447" i="6" s="1"/>
  <c r="I448" i="6" s="1"/>
  <c r="I449" i="6" s="1"/>
  <c r="I450" i="6" s="1"/>
  <c r="I451" i="6" s="1"/>
  <c r="I452" i="6" s="1"/>
  <c r="I453" i="6" s="1"/>
  <c r="I454" i="6" s="1"/>
  <c r="I455" i="6" s="1"/>
  <c r="I456" i="6" s="1"/>
  <c r="I457" i="6" s="1"/>
  <c r="I458" i="6" s="1"/>
  <c r="I459" i="6" s="1"/>
  <c r="I460" i="6" s="1"/>
  <c r="I461" i="6" s="1"/>
  <c r="I462" i="6" s="1"/>
  <c r="I463" i="6" s="1"/>
  <c r="I464" i="6" s="1"/>
  <c r="I465" i="6" s="1"/>
  <c r="I466" i="6" s="1"/>
  <c r="I467" i="6" s="1"/>
  <c r="I468" i="6" s="1"/>
  <c r="I469" i="6" s="1"/>
  <c r="I470" i="6" s="1"/>
  <c r="I471" i="6" s="1"/>
  <c r="I472" i="6" s="1"/>
  <c r="I473" i="6" s="1"/>
  <c r="I474" i="6" s="1"/>
  <c r="I475" i="6" s="1"/>
  <c r="I476" i="6" s="1"/>
  <c r="I477" i="6" s="1"/>
  <c r="I478" i="6" s="1"/>
  <c r="I479" i="6" s="1"/>
  <c r="I480" i="6" s="1"/>
  <c r="I481" i="6" s="1"/>
  <c r="I482" i="6" s="1"/>
  <c r="I483" i="6" s="1"/>
  <c r="I484" i="6" s="1"/>
  <c r="I485" i="6" s="1"/>
  <c r="I486" i="6" s="1"/>
  <c r="I487" i="6" s="1"/>
  <c r="I488" i="6" s="1"/>
  <c r="I489" i="6" s="1"/>
  <c r="I490" i="6" s="1"/>
  <c r="I491" i="6" s="1"/>
  <c r="I492" i="6" s="1"/>
  <c r="I493" i="6" s="1"/>
  <c r="I494" i="6" s="1"/>
  <c r="I495" i="6" s="1"/>
  <c r="I496" i="6" s="1"/>
  <c r="I497" i="6" s="1"/>
  <c r="I498" i="6" s="1"/>
  <c r="I499" i="6" s="1"/>
  <c r="I500" i="6" s="1"/>
  <c r="I501" i="6" s="1"/>
  <c r="I502" i="6" s="1"/>
  <c r="I503" i="6" s="1"/>
  <c r="I504" i="6" s="1"/>
  <c r="I505" i="6" s="1"/>
  <c r="I506" i="6" s="1"/>
  <c r="I507" i="6" s="1"/>
  <c r="I508" i="6" s="1"/>
  <c r="I509" i="6" s="1"/>
  <c r="I510" i="6" s="1"/>
  <c r="I511" i="6" s="1"/>
  <c r="I512" i="6" s="1"/>
  <c r="I513" i="6" s="1"/>
  <c r="I514" i="6" s="1"/>
  <c r="I515" i="6" s="1"/>
  <c r="I516" i="6" s="1"/>
  <c r="I517" i="6" s="1"/>
  <c r="I518" i="6" s="1"/>
  <c r="I519" i="6" s="1"/>
  <c r="I357" i="6"/>
  <c r="I358" i="6" s="1"/>
  <c r="I359" i="6" s="1"/>
  <c r="I360" i="6" s="1"/>
  <c r="I361" i="6" s="1"/>
  <c r="I362" i="6" s="1"/>
  <c r="I363" i="6" s="1"/>
  <c r="I364" i="6" s="1"/>
  <c r="I365" i="6" s="1"/>
  <c r="I366" i="6" s="1"/>
  <c r="I367" i="6" s="1"/>
  <c r="I368" i="6" s="1"/>
  <c r="I369" i="6" s="1"/>
  <c r="I370" i="6" s="1"/>
  <c r="I371" i="6" s="1"/>
  <c r="I372" i="6" s="1"/>
  <c r="I373" i="6" s="1"/>
  <c r="I374" i="6" s="1"/>
  <c r="I375" i="6" s="1"/>
  <c r="I376" i="6" s="1"/>
  <c r="I377" i="6" s="1"/>
  <c r="I378" i="6" s="1"/>
  <c r="I379" i="6" s="1"/>
  <c r="I380" i="6" s="1"/>
  <c r="I381" i="6" s="1"/>
  <c r="I382" i="6" s="1"/>
  <c r="I383" i="6" s="1"/>
  <c r="I384" i="6" s="1"/>
  <c r="I385" i="6" s="1"/>
  <c r="I386" i="6" s="1"/>
  <c r="I387" i="6" s="1"/>
  <c r="I388" i="6" s="1"/>
  <c r="I389" i="6" s="1"/>
  <c r="I390" i="6" s="1"/>
  <c r="I391" i="6" s="1"/>
  <c r="I392" i="6" s="1"/>
  <c r="I393" i="6" s="1"/>
  <c r="I394" i="6" s="1"/>
  <c r="I395" i="6" s="1"/>
  <c r="I396" i="6" s="1"/>
  <c r="I397" i="6" s="1"/>
  <c r="I398" i="6" s="1"/>
  <c r="I399" i="6" s="1"/>
  <c r="I400" i="6" s="1"/>
  <c r="I401" i="6" s="1"/>
  <c r="I402" i="6" s="1"/>
  <c r="I403" i="6" s="1"/>
  <c r="I404" i="6" s="1"/>
  <c r="I405" i="6" s="1"/>
  <c r="I406" i="6" s="1"/>
  <c r="I407" i="6" s="1"/>
  <c r="I408" i="6" s="1"/>
  <c r="I409" i="6" s="1"/>
  <c r="I410" i="6" s="1"/>
  <c r="I411" i="6" s="1"/>
  <c r="I412" i="6" s="1"/>
  <c r="I413" i="6" s="1"/>
  <c r="I414" i="6" s="1"/>
  <c r="I415" i="6" s="1"/>
  <c r="I416" i="6" s="1"/>
  <c r="I417" i="6" s="1"/>
  <c r="I418" i="6" s="1"/>
  <c r="I419" i="6" s="1"/>
  <c r="I420" i="6" s="1"/>
  <c r="I421" i="6" s="1"/>
  <c r="I422" i="6" s="1"/>
  <c r="I423" i="6" s="1"/>
  <c r="I424" i="6" s="1"/>
  <c r="I425" i="6" s="1"/>
  <c r="I426" i="6" s="1"/>
  <c r="I427" i="6" s="1"/>
  <c r="I428" i="6" s="1"/>
  <c r="I429" i="6" s="1"/>
  <c r="I430" i="6" s="1"/>
  <c r="I431" i="6" s="1"/>
  <c r="I432" i="6" s="1"/>
  <c r="I270" i="6"/>
  <c r="I271" i="6" s="1"/>
  <c r="I272" i="6" s="1"/>
  <c r="I273" i="6" s="1"/>
  <c r="I274" i="6" s="1"/>
  <c r="I275" i="6" s="1"/>
  <c r="I276" i="6" s="1"/>
  <c r="I277" i="6" s="1"/>
  <c r="I278" i="6" s="1"/>
  <c r="I279" i="6" s="1"/>
  <c r="I280" i="6" s="1"/>
  <c r="I281" i="6" s="1"/>
  <c r="I282" i="6" s="1"/>
  <c r="I283" i="6" s="1"/>
  <c r="I284" i="6" s="1"/>
  <c r="I285" i="6" s="1"/>
  <c r="I286" i="6" s="1"/>
  <c r="I287" i="6" s="1"/>
  <c r="I288" i="6" s="1"/>
  <c r="I289" i="6" s="1"/>
  <c r="I290" i="6" s="1"/>
  <c r="I291" i="6" s="1"/>
  <c r="I292" i="6" s="1"/>
  <c r="I293" i="6" s="1"/>
  <c r="I294" i="6" s="1"/>
  <c r="I295" i="6" s="1"/>
  <c r="I296" i="6" s="1"/>
  <c r="I297" i="6" s="1"/>
  <c r="I298" i="6" s="1"/>
  <c r="I299" i="6" s="1"/>
  <c r="I300" i="6" s="1"/>
  <c r="I301" i="6" s="1"/>
  <c r="I302" i="6" s="1"/>
  <c r="I303" i="6" s="1"/>
  <c r="I304" i="6" s="1"/>
  <c r="I305" i="6" s="1"/>
  <c r="I306" i="6" s="1"/>
  <c r="I307" i="6" s="1"/>
  <c r="I308" i="6" s="1"/>
  <c r="I309" i="6" s="1"/>
  <c r="I310" i="6" s="1"/>
  <c r="I311" i="6" s="1"/>
  <c r="I312" i="6" s="1"/>
  <c r="I313" i="6" s="1"/>
  <c r="I314" i="6" s="1"/>
  <c r="I315" i="6" s="1"/>
  <c r="I316" i="6" s="1"/>
  <c r="I317" i="6" s="1"/>
  <c r="I318" i="6" s="1"/>
  <c r="I319" i="6" s="1"/>
  <c r="I320" i="6" s="1"/>
  <c r="I321" i="6" s="1"/>
  <c r="I322" i="6" s="1"/>
  <c r="I323" i="6" s="1"/>
  <c r="I324" i="6" s="1"/>
  <c r="I325" i="6" s="1"/>
  <c r="I326" i="6" s="1"/>
  <c r="I327" i="6" s="1"/>
  <c r="I328" i="6" s="1"/>
  <c r="I329" i="6" s="1"/>
  <c r="I330" i="6" s="1"/>
  <c r="I331" i="6" s="1"/>
  <c r="I332" i="6" s="1"/>
  <c r="I333" i="6" s="1"/>
  <c r="I334" i="6" s="1"/>
  <c r="I335" i="6" s="1"/>
  <c r="I336" i="6" s="1"/>
  <c r="I337" i="6" s="1"/>
  <c r="I338" i="6" s="1"/>
  <c r="I339" i="6" s="1"/>
  <c r="I340" i="6" s="1"/>
  <c r="I341" i="6" s="1"/>
  <c r="I342" i="6" s="1"/>
  <c r="I343" i="6" s="1"/>
  <c r="I344" i="6" s="1"/>
  <c r="I345" i="6" s="1"/>
  <c r="I183" i="6"/>
  <c r="I184" i="6" s="1"/>
  <c r="I185" i="6" s="1"/>
  <c r="I186" i="6" s="1"/>
  <c r="I187" i="6" s="1"/>
  <c r="I188" i="6" s="1"/>
  <c r="I189" i="6" s="1"/>
  <c r="I190" i="6" s="1"/>
  <c r="I191" i="6" s="1"/>
  <c r="I192" i="6" s="1"/>
  <c r="I193" i="6" s="1"/>
  <c r="I194" i="6" s="1"/>
  <c r="I195" i="6" s="1"/>
  <c r="I196" i="6" s="1"/>
  <c r="I197" i="6" s="1"/>
  <c r="I198" i="6" s="1"/>
  <c r="I199" i="6" s="1"/>
  <c r="I200" i="6" s="1"/>
  <c r="I201" i="6" s="1"/>
  <c r="I202" i="6" s="1"/>
  <c r="I203" i="6" s="1"/>
  <c r="I204" i="6" s="1"/>
  <c r="I205" i="6" s="1"/>
  <c r="I206" i="6" s="1"/>
  <c r="I207" i="6" s="1"/>
  <c r="I208" i="6" s="1"/>
  <c r="I209" i="6" s="1"/>
  <c r="I210" i="6" s="1"/>
  <c r="I211" i="6" s="1"/>
  <c r="I212" i="6" s="1"/>
  <c r="I213" i="6" s="1"/>
  <c r="I214" i="6" s="1"/>
  <c r="I215" i="6" s="1"/>
  <c r="I216" i="6" s="1"/>
  <c r="I217" i="6" s="1"/>
  <c r="I218" i="6" s="1"/>
  <c r="I219" i="6" s="1"/>
  <c r="I220" i="6" s="1"/>
  <c r="I221" i="6" s="1"/>
  <c r="I222" i="6" s="1"/>
  <c r="I223" i="6" s="1"/>
  <c r="I224" i="6" s="1"/>
  <c r="I225" i="6" s="1"/>
  <c r="I226" i="6" s="1"/>
  <c r="I227" i="6" s="1"/>
  <c r="I228" i="6" s="1"/>
  <c r="I229" i="6" s="1"/>
  <c r="I230" i="6" s="1"/>
  <c r="I231" i="6" s="1"/>
  <c r="I232" i="6" s="1"/>
  <c r="I233" i="6" s="1"/>
  <c r="I234" i="6" s="1"/>
  <c r="I235" i="6" s="1"/>
  <c r="I236" i="6" s="1"/>
  <c r="I237" i="6" s="1"/>
  <c r="I238" i="6" s="1"/>
  <c r="I239" i="6" s="1"/>
  <c r="I240" i="6" s="1"/>
  <c r="I241" i="6" s="1"/>
  <c r="I242" i="6" s="1"/>
  <c r="I243" i="6" s="1"/>
  <c r="I244" i="6" s="1"/>
  <c r="I245" i="6" s="1"/>
  <c r="I246" i="6" s="1"/>
  <c r="I247" i="6" s="1"/>
  <c r="I248" i="6" s="1"/>
  <c r="I249" i="6" s="1"/>
  <c r="I250" i="6" s="1"/>
  <c r="I251" i="6" s="1"/>
  <c r="I252" i="6" s="1"/>
  <c r="I253" i="6" s="1"/>
  <c r="I254" i="6" s="1"/>
  <c r="I255" i="6" s="1"/>
  <c r="I256" i="6" s="1"/>
  <c r="I257" i="6" s="1"/>
  <c r="I258" i="6" s="1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I142" i="6"/>
  <c r="I143" i="6"/>
  <c r="I144" i="6"/>
  <c r="I145" i="6"/>
  <c r="I146" i="6"/>
  <c r="I147" i="6"/>
  <c r="I148" i="6"/>
  <c r="I149" i="6"/>
  <c r="I150" i="6"/>
  <c r="I151" i="6"/>
  <c r="I152" i="6"/>
  <c r="I153" i="6"/>
  <c r="I154" i="6"/>
  <c r="I155" i="6"/>
  <c r="I156" i="6"/>
  <c r="I157" i="6"/>
  <c r="I158" i="6"/>
  <c r="I159" i="6"/>
  <c r="I160" i="6"/>
  <c r="I161" i="6"/>
  <c r="I162" i="6"/>
  <c r="I163" i="6"/>
  <c r="I164" i="6"/>
  <c r="I165" i="6"/>
  <c r="I166" i="6"/>
  <c r="I167" i="6"/>
  <c r="I168" i="6"/>
  <c r="I169" i="6"/>
  <c r="I170" i="6"/>
  <c r="I171" i="6"/>
  <c r="I97" i="6"/>
  <c r="I96" i="6"/>
  <c r="H90" i="4"/>
  <c r="H28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I57" i="4"/>
  <c r="I56" i="4"/>
  <c r="I55" i="4"/>
  <c r="I54" i="4"/>
  <c r="I53" i="4"/>
  <c r="I52" i="4"/>
  <c r="I51" i="4"/>
  <c r="I50" i="4"/>
  <c r="I49" i="4"/>
  <c r="I48" i="4"/>
  <c r="I47" i="4"/>
  <c r="I46" i="4"/>
  <c r="I45" i="4"/>
  <c r="I44" i="4"/>
  <c r="I43" i="4"/>
  <c r="I42" i="4"/>
  <c r="I41" i="4"/>
  <c r="I40" i="4"/>
  <c r="I39" i="4"/>
  <c r="I38" i="4"/>
  <c r="I37" i="4"/>
  <c r="I36" i="4"/>
  <c r="I35" i="4"/>
  <c r="I34" i="4"/>
  <c r="I33" i="4"/>
  <c r="I32" i="4"/>
  <c r="I31" i="4"/>
  <c r="I30" i="4"/>
  <c r="I29" i="4"/>
  <c r="I28" i="4"/>
  <c r="I90" i="4" s="1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G3" i="6"/>
  <c r="F3" i="6"/>
  <c r="E3" i="6"/>
  <c r="D3" i="6"/>
  <c r="C3" i="6"/>
  <c r="B3" i="6"/>
  <c r="G2" i="6"/>
  <c r="F2" i="6"/>
  <c r="E2" i="6"/>
  <c r="D2" i="6"/>
  <c r="C2" i="6"/>
  <c r="B2" i="6"/>
  <c r="F444" i="6"/>
  <c r="F357" i="6"/>
  <c r="F270" i="6"/>
  <c r="F183" i="6"/>
  <c r="G169" i="6"/>
  <c r="G167" i="6"/>
  <c r="G165" i="6"/>
  <c r="G162" i="6"/>
  <c r="G161" i="6"/>
  <c r="G158" i="6"/>
  <c r="G157" i="6"/>
  <c r="G153" i="6"/>
  <c r="G150" i="6"/>
  <c r="G149" i="6"/>
  <c r="G146" i="6"/>
  <c r="G145" i="6"/>
  <c r="G142" i="6"/>
  <c r="G141" i="6"/>
  <c r="G137" i="6"/>
  <c r="G135" i="6"/>
  <c r="G133" i="6"/>
  <c r="G130" i="6"/>
  <c r="G129" i="6"/>
  <c r="G126" i="6"/>
  <c r="G125" i="6"/>
  <c r="G121" i="6"/>
  <c r="G118" i="6"/>
  <c r="G117" i="6"/>
  <c r="G114" i="6"/>
  <c r="G113" i="6"/>
  <c r="G110" i="6"/>
  <c r="G109" i="6"/>
  <c r="G105" i="6"/>
  <c r="G103" i="6"/>
  <c r="G101" i="6"/>
  <c r="F96" i="6"/>
  <c r="U524" i="6"/>
  <c r="U523" i="6"/>
  <c r="K519" i="6"/>
  <c r="J519" i="6"/>
  <c r="H519" i="6"/>
  <c r="G519" i="6"/>
  <c r="H518" i="6"/>
  <c r="G518" i="6"/>
  <c r="H517" i="6"/>
  <c r="G517" i="6"/>
  <c r="H516" i="6"/>
  <c r="G516" i="6"/>
  <c r="H515" i="6"/>
  <c r="G515" i="6"/>
  <c r="H514" i="6"/>
  <c r="G514" i="6"/>
  <c r="H513" i="6"/>
  <c r="G513" i="6"/>
  <c r="H512" i="6"/>
  <c r="G512" i="6"/>
  <c r="H511" i="6"/>
  <c r="G511" i="6"/>
  <c r="H510" i="6"/>
  <c r="G510" i="6"/>
  <c r="H509" i="6"/>
  <c r="G509" i="6"/>
  <c r="H508" i="6"/>
  <c r="G508" i="6"/>
  <c r="H507" i="6"/>
  <c r="G507" i="6"/>
  <c r="H506" i="6"/>
  <c r="G506" i="6"/>
  <c r="H505" i="6"/>
  <c r="G505" i="6"/>
  <c r="H504" i="6"/>
  <c r="G504" i="6"/>
  <c r="H503" i="6"/>
  <c r="G503" i="6"/>
  <c r="H502" i="6"/>
  <c r="G502" i="6"/>
  <c r="H501" i="6"/>
  <c r="G501" i="6"/>
  <c r="H500" i="6"/>
  <c r="G500" i="6"/>
  <c r="H499" i="6"/>
  <c r="G499" i="6"/>
  <c r="H498" i="6"/>
  <c r="G498" i="6"/>
  <c r="H497" i="6"/>
  <c r="G497" i="6"/>
  <c r="H496" i="6"/>
  <c r="G496" i="6"/>
  <c r="H495" i="6"/>
  <c r="G495" i="6"/>
  <c r="H494" i="6"/>
  <c r="G494" i="6"/>
  <c r="H493" i="6"/>
  <c r="G493" i="6"/>
  <c r="H492" i="6"/>
  <c r="G492" i="6"/>
  <c r="H491" i="6"/>
  <c r="G491" i="6"/>
  <c r="H490" i="6"/>
  <c r="G490" i="6"/>
  <c r="H489" i="6"/>
  <c r="G489" i="6"/>
  <c r="H488" i="6"/>
  <c r="G488" i="6"/>
  <c r="H487" i="6"/>
  <c r="G487" i="6"/>
  <c r="H486" i="6"/>
  <c r="G486" i="6"/>
  <c r="H485" i="6"/>
  <c r="G485" i="6"/>
  <c r="H484" i="6"/>
  <c r="G484" i="6"/>
  <c r="H483" i="6"/>
  <c r="G483" i="6"/>
  <c r="H482" i="6"/>
  <c r="G482" i="6"/>
  <c r="H481" i="6"/>
  <c r="G481" i="6"/>
  <c r="H480" i="6"/>
  <c r="G480" i="6"/>
  <c r="H479" i="6"/>
  <c r="G479" i="6"/>
  <c r="H478" i="6"/>
  <c r="G478" i="6"/>
  <c r="H477" i="6"/>
  <c r="G477" i="6"/>
  <c r="H476" i="6"/>
  <c r="G476" i="6"/>
  <c r="H475" i="6"/>
  <c r="G475" i="6"/>
  <c r="H474" i="6"/>
  <c r="G474" i="6"/>
  <c r="H473" i="6"/>
  <c r="G473" i="6"/>
  <c r="H472" i="6"/>
  <c r="G472" i="6"/>
  <c r="H471" i="6"/>
  <c r="G471" i="6"/>
  <c r="H470" i="6"/>
  <c r="G470" i="6"/>
  <c r="H469" i="6"/>
  <c r="G469" i="6"/>
  <c r="H468" i="6"/>
  <c r="G468" i="6"/>
  <c r="H467" i="6"/>
  <c r="G467" i="6"/>
  <c r="H466" i="6"/>
  <c r="G466" i="6"/>
  <c r="H465" i="6"/>
  <c r="G465" i="6"/>
  <c r="H464" i="6"/>
  <c r="G464" i="6"/>
  <c r="H463" i="6"/>
  <c r="G463" i="6"/>
  <c r="H462" i="6"/>
  <c r="G462" i="6"/>
  <c r="H461" i="6"/>
  <c r="G461" i="6"/>
  <c r="H460" i="6"/>
  <c r="G460" i="6"/>
  <c r="H459" i="6"/>
  <c r="G459" i="6"/>
  <c r="H458" i="6"/>
  <c r="G458" i="6"/>
  <c r="H457" i="6"/>
  <c r="G457" i="6"/>
  <c r="H456" i="6"/>
  <c r="G456" i="6"/>
  <c r="H455" i="6"/>
  <c r="G455" i="6"/>
  <c r="H454" i="6"/>
  <c r="G454" i="6"/>
  <c r="H453" i="6"/>
  <c r="G453" i="6"/>
  <c r="H452" i="6"/>
  <c r="G452" i="6"/>
  <c r="H451" i="6"/>
  <c r="G451" i="6"/>
  <c r="H450" i="6"/>
  <c r="G450" i="6"/>
  <c r="H449" i="6"/>
  <c r="G449" i="6"/>
  <c r="H448" i="6"/>
  <c r="G448" i="6"/>
  <c r="H447" i="6"/>
  <c r="G447" i="6"/>
  <c r="H446" i="6"/>
  <c r="G446" i="6"/>
  <c r="Q444" i="6"/>
  <c r="O445" i="6" s="1"/>
  <c r="H444" i="6"/>
  <c r="X444" i="6" s="1"/>
  <c r="A442" i="6"/>
  <c r="U437" i="6"/>
  <c r="U436" i="6"/>
  <c r="K432" i="6"/>
  <c r="J432" i="6"/>
  <c r="H432" i="6"/>
  <c r="G432" i="6"/>
  <c r="H431" i="6"/>
  <c r="G431" i="6"/>
  <c r="H430" i="6"/>
  <c r="G430" i="6"/>
  <c r="H429" i="6"/>
  <c r="G429" i="6"/>
  <c r="H428" i="6"/>
  <c r="G428" i="6"/>
  <c r="H427" i="6"/>
  <c r="G427" i="6"/>
  <c r="H426" i="6"/>
  <c r="G426" i="6"/>
  <c r="H425" i="6"/>
  <c r="G425" i="6"/>
  <c r="H424" i="6"/>
  <c r="G424" i="6"/>
  <c r="H423" i="6"/>
  <c r="G423" i="6"/>
  <c r="H422" i="6"/>
  <c r="G422" i="6"/>
  <c r="H421" i="6"/>
  <c r="G421" i="6"/>
  <c r="H420" i="6"/>
  <c r="G420" i="6"/>
  <c r="H419" i="6"/>
  <c r="G419" i="6"/>
  <c r="H418" i="6"/>
  <c r="G418" i="6"/>
  <c r="H417" i="6"/>
  <c r="G417" i="6"/>
  <c r="H416" i="6"/>
  <c r="G416" i="6"/>
  <c r="H415" i="6"/>
  <c r="G415" i="6"/>
  <c r="H414" i="6"/>
  <c r="G414" i="6"/>
  <c r="H413" i="6"/>
  <c r="G413" i="6"/>
  <c r="H412" i="6"/>
  <c r="G412" i="6"/>
  <c r="H411" i="6"/>
  <c r="G411" i="6"/>
  <c r="H410" i="6"/>
  <c r="G410" i="6"/>
  <c r="H409" i="6"/>
  <c r="G409" i="6"/>
  <c r="H408" i="6"/>
  <c r="G408" i="6"/>
  <c r="H407" i="6"/>
  <c r="G407" i="6"/>
  <c r="H406" i="6"/>
  <c r="G406" i="6"/>
  <c r="H405" i="6"/>
  <c r="G405" i="6"/>
  <c r="H404" i="6"/>
  <c r="G404" i="6"/>
  <c r="H403" i="6"/>
  <c r="G403" i="6"/>
  <c r="H402" i="6"/>
  <c r="G402" i="6"/>
  <c r="H401" i="6"/>
  <c r="G401" i="6"/>
  <c r="H400" i="6"/>
  <c r="G400" i="6"/>
  <c r="H399" i="6"/>
  <c r="G399" i="6"/>
  <c r="H398" i="6"/>
  <c r="G398" i="6"/>
  <c r="H397" i="6"/>
  <c r="G397" i="6"/>
  <c r="H396" i="6"/>
  <c r="G396" i="6"/>
  <c r="H395" i="6"/>
  <c r="G395" i="6"/>
  <c r="H394" i="6"/>
  <c r="G394" i="6"/>
  <c r="H393" i="6"/>
  <c r="G393" i="6"/>
  <c r="H392" i="6"/>
  <c r="G392" i="6"/>
  <c r="H391" i="6"/>
  <c r="G391" i="6"/>
  <c r="H390" i="6"/>
  <c r="G390" i="6"/>
  <c r="H389" i="6"/>
  <c r="G389" i="6"/>
  <c r="H388" i="6"/>
  <c r="G388" i="6"/>
  <c r="H387" i="6"/>
  <c r="G387" i="6"/>
  <c r="H386" i="6"/>
  <c r="G386" i="6"/>
  <c r="H385" i="6"/>
  <c r="G385" i="6"/>
  <c r="H384" i="6"/>
  <c r="G384" i="6"/>
  <c r="H383" i="6"/>
  <c r="G383" i="6"/>
  <c r="H382" i="6"/>
  <c r="G382" i="6"/>
  <c r="H381" i="6"/>
  <c r="G381" i="6"/>
  <c r="H380" i="6"/>
  <c r="G380" i="6"/>
  <c r="H379" i="6"/>
  <c r="G379" i="6"/>
  <c r="H378" i="6"/>
  <c r="G378" i="6"/>
  <c r="H377" i="6"/>
  <c r="G377" i="6"/>
  <c r="H376" i="6"/>
  <c r="G376" i="6"/>
  <c r="H375" i="6"/>
  <c r="G375" i="6"/>
  <c r="H374" i="6"/>
  <c r="G374" i="6"/>
  <c r="H373" i="6"/>
  <c r="G373" i="6"/>
  <c r="H372" i="6"/>
  <c r="G372" i="6"/>
  <c r="H371" i="6"/>
  <c r="G371" i="6"/>
  <c r="H370" i="6"/>
  <c r="G370" i="6"/>
  <c r="H369" i="6"/>
  <c r="G369" i="6"/>
  <c r="H368" i="6"/>
  <c r="G368" i="6"/>
  <c r="H367" i="6"/>
  <c r="G367" i="6"/>
  <c r="H366" i="6"/>
  <c r="G366" i="6"/>
  <c r="H365" i="6"/>
  <c r="G365" i="6"/>
  <c r="H364" i="6"/>
  <c r="G364" i="6"/>
  <c r="H363" i="6"/>
  <c r="G363" i="6"/>
  <c r="H362" i="6"/>
  <c r="G362" i="6"/>
  <c r="H361" i="6"/>
  <c r="G361" i="6"/>
  <c r="H360" i="6"/>
  <c r="G360" i="6"/>
  <c r="H359" i="6"/>
  <c r="G359" i="6"/>
  <c r="Q357" i="6"/>
  <c r="O358" i="6" s="1"/>
  <c r="A355" i="6"/>
  <c r="U350" i="6"/>
  <c r="U349" i="6"/>
  <c r="K345" i="6"/>
  <c r="J345" i="6"/>
  <c r="H345" i="6"/>
  <c r="G345" i="6"/>
  <c r="H344" i="6"/>
  <c r="G344" i="6"/>
  <c r="H343" i="6"/>
  <c r="G343" i="6"/>
  <c r="H342" i="6"/>
  <c r="G342" i="6"/>
  <c r="H341" i="6"/>
  <c r="G341" i="6"/>
  <c r="H340" i="6"/>
  <c r="G340" i="6"/>
  <c r="H339" i="6"/>
  <c r="G339" i="6"/>
  <c r="H338" i="6"/>
  <c r="G338" i="6"/>
  <c r="H337" i="6"/>
  <c r="G337" i="6"/>
  <c r="H336" i="6"/>
  <c r="G336" i="6"/>
  <c r="H335" i="6"/>
  <c r="G335" i="6"/>
  <c r="H334" i="6"/>
  <c r="G334" i="6"/>
  <c r="H333" i="6"/>
  <c r="G333" i="6"/>
  <c r="H332" i="6"/>
  <c r="G332" i="6"/>
  <c r="H331" i="6"/>
  <c r="G331" i="6"/>
  <c r="H330" i="6"/>
  <c r="G330" i="6"/>
  <c r="H329" i="6"/>
  <c r="G329" i="6"/>
  <c r="H328" i="6"/>
  <c r="G328" i="6"/>
  <c r="H327" i="6"/>
  <c r="G327" i="6"/>
  <c r="H326" i="6"/>
  <c r="G326" i="6"/>
  <c r="H325" i="6"/>
  <c r="G325" i="6"/>
  <c r="H324" i="6"/>
  <c r="G324" i="6"/>
  <c r="H323" i="6"/>
  <c r="G323" i="6"/>
  <c r="H322" i="6"/>
  <c r="G322" i="6"/>
  <c r="H321" i="6"/>
  <c r="G321" i="6"/>
  <c r="H320" i="6"/>
  <c r="G320" i="6"/>
  <c r="H319" i="6"/>
  <c r="G319" i="6"/>
  <c r="H318" i="6"/>
  <c r="G318" i="6"/>
  <c r="H317" i="6"/>
  <c r="G317" i="6"/>
  <c r="H316" i="6"/>
  <c r="G316" i="6"/>
  <c r="H315" i="6"/>
  <c r="G315" i="6"/>
  <c r="H314" i="6"/>
  <c r="G314" i="6"/>
  <c r="H313" i="6"/>
  <c r="G313" i="6"/>
  <c r="H312" i="6"/>
  <c r="G312" i="6"/>
  <c r="H311" i="6"/>
  <c r="G311" i="6"/>
  <c r="H310" i="6"/>
  <c r="G310" i="6"/>
  <c r="H309" i="6"/>
  <c r="G309" i="6"/>
  <c r="H308" i="6"/>
  <c r="G308" i="6"/>
  <c r="H307" i="6"/>
  <c r="G307" i="6"/>
  <c r="H306" i="6"/>
  <c r="G306" i="6"/>
  <c r="H305" i="6"/>
  <c r="G305" i="6"/>
  <c r="H304" i="6"/>
  <c r="G304" i="6"/>
  <c r="H303" i="6"/>
  <c r="G303" i="6"/>
  <c r="H302" i="6"/>
  <c r="G302" i="6"/>
  <c r="H301" i="6"/>
  <c r="G301" i="6"/>
  <c r="H300" i="6"/>
  <c r="G300" i="6"/>
  <c r="H299" i="6"/>
  <c r="G299" i="6"/>
  <c r="H298" i="6"/>
  <c r="G298" i="6"/>
  <c r="H297" i="6"/>
  <c r="G297" i="6"/>
  <c r="H296" i="6"/>
  <c r="G296" i="6"/>
  <c r="H295" i="6"/>
  <c r="G295" i="6"/>
  <c r="H294" i="6"/>
  <c r="G294" i="6"/>
  <c r="H293" i="6"/>
  <c r="G293" i="6"/>
  <c r="H292" i="6"/>
  <c r="G292" i="6"/>
  <c r="H291" i="6"/>
  <c r="G291" i="6"/>
  <c r="H290" i="6"/>
  <c r="G290" i="6"/>
  <c r="H289" i="6"/>
  <c r="G289" i="6"/>
  <c r="H288" i="6"/>
  <c r="G288" i="6"/>
  <c r="H287" i="6"/>
  <c r="G287" i="6"/>
  <c r="H286" i="6"/>
  <c r="G286" i="6"/>
  <c r="H285" i="6"/>
  <c r="G285" i="6"/>
  <c r="H284" i="6"/>
  <c r="G284" i="6"/>
  <c r="H283" i="6"/>
  <c r="G283" i="6"/>
  <c r="H282" i="6"/>
  <c r="G282" i="6"/>
  <c r="H281" i="6"/>
  <c r="G281" i="6"/>
  <c r="H280" i="6"/>
  <c r="G280" i="6"/>
  <c r="H279" i="6"/>
  <c r="G279" i="6"/>
  <c r="H278" i="6"/>
  <c r="G278" i="6"/>
  <c r="H277" i="6"/>
  <c r="G277" i="6"/>
  <c r="H276" i="6"/>
  <c r="G276" i="6"/>
  <c r="H275" i="6"/>
  <c r="G275" i="6"/>
  <c r="H274" i="6"/>
  <c r="G274" i="6"/>
  <c r="H273" i="6"/>
  <c r="G273" i="6"/>
  <c r="H272" i="6"/>
  <c r="G272" i="6"/>
  <c r="Q270" i="6"/>
  <c r="O271" i="6" s="1"/>
  <c r="A268" i="6"/>
  <c r="U263" i="6"/>
  <c r="U262" i="6"/>
  <c r="K258" i="6"/>
  <c r="J258" i="6"/>
  <c r="H258" i="6"/>
  <c r="G258" i="6"/>
  <c r="H257" i="6"/>
  <c r="G257" i="6"/>
  <c r="H256" i="6"/>
  <c r="G256" i="6"/>
  <c r="H255" i="6"/>
  <c r="G255" i="6"/>
  <c r="H254" i="6"/>
  <c r="G254" i="6"/>
  <c r="H253" i="6"/>
  <c r="G253" i="6"/>
  <c r="H252" i="6"/>
  <c r="G252" i="6"/>
  <c r="H251" i="6"/>
  <c r="G251" i="6"/>
  <c r="H250" i="6"/>
  <c r="G250" i="6"/>
  <c r="H249" i="6"/>
  <c r="G249" i="6"/>
  <c r="H248" i="6"/>
  <c r="G248" i="6"/>
  <c r="H247" i="6"/>
  <c r="G247" i="6"/>
  <c r="H246" i="6"/>
  <c r="G246" i="6"/>
  <c r="H245" i="6"/>
  <c r="G245" i="6"/>
  <c r="H244" i="6"/>
  <c r="G244" i="6"/>
  <c r="H243" i="6"/>
  <c r="G243" i="6"/>
  <c r="H242" i="6"/>
  <c r="G242" i="6"/>
  <c r="H241" i="6"/>
  <c r="G241" i="6"/>
  <c r="H240" i="6"/>
  <c r="G240" i="6"/>
  <c r="H239" i="6"/>
  <c r="G239" i="6"/>
  <c r="H238" i="6"/>
  <c r="G238" i="6"/>
  <c r="H237" i="6"/>
  <c r="G237" i="6"/>
  <c r="H236" i="6"/>
  <c r="G236" i="6"/>
  <c r="H235" i="6"/>
  <c r="G235" i="6"/>
  <c r="H234" i="6"/>
  <c r="G234" i="6"/>
  <c r="H233" i="6"/>
  <c r="G233" i="6"/>
  <c r="H232" i="6"/>
  <c r="G232" i="6"/>
  <c r="H231" i="6"/>
  <c r="G231" i="6"/>
  <c r="H230" i="6"/>
  <c r="G230" i="6"/>
  <c r="H229" i="6"/>
  <c r="G229" i="6"/>
  <c r="H228" i="6"/>
  <c r="G228" i="6"/>
  <c r="H227" i="6"/>
  <c r="G227" i="6"/>
  <c r="H226" i="6"/>
  <c r="G226" i="6"/>
  <c r="H225" i="6"/>
  <c r="G225" i="6"/>
  <c r="H224" i="6"/>
  <c r="G224" i="6"/>
  <c r="H223" i="6"/>
  <c r="G223" i="6"/>
  <c r="H222" i="6"/>
  <c r="G222" i="6"/>
  <c r="H221" i="6"/>
  <c r="G221" i="6"/>
  <c r="H220" i="6"/>
  <c r="G220" i="6"/>
  <c r="H219" i="6"/>
  <c r="G219" i="6"/>
  <c r="H218" i="6"/>
  <c r="G218" i="6"/>
  <c r="H217" i="6"/>
  <c r="G217" i="6"/>
  <c r="H216" i="6"/>
  <c r="G216" i="6"/>
  <c r="H215" i="6"/>
  <c r="G215" i="6"/>
  <c r="H214" i="6"/>
  <c r="G214" i="6"/>
  <c r="H213" i="6"/>
  <c r="G213" i="6"/>
  <c r="H212" i="6"/>
  <c r="G212" i="6"/>
  <c r="H211" i="6"/>
  <c r="G211" i="6"/>
  <c r="H210" i="6"/>
  <c r="G210" i="6"/>
  <c r="H209" i="6"/>
  <c r="G209" i="6"/>
  <c r="H208" i="6"/>
  <c r="G208" i="6"/>
  <c r="H207" i="6"/>
  <c r="G207" i="6"/>
  <c r="H206" i="6"/>
  <c r="G206" i="6"/>
  <c r="H205" i="6"/>
  <c r="G205" i="6"/>
  <c r="H204" i="6"/>
  <c r="G204" i="6"/>
  <c r="H203" i="6"/>
  <c r="G203" i="6"/>
  <c r="H202" i="6"/>
  <c r="G202" i="6"/>
  <c r="H201" i="6"/>
  <c r="G201" i="6"/>
  <c r="H200" i="6"/>
  <c r="G200" i="6"/>
  <c r="H199" i="6"/>
  <c r="G199" i="6"/>
  <c r="H198" i="6"/>
  <c r="G198" i="6"/>
  <c r="H197" i="6"/>
  <c r="G197" i="6"/>
  <c r="H196" i="6"/>
  <c r="G196" i="6"/>
  <c r="H195" i="6"/>
  <c r="G195" i="6"/>
  <c r="H194" i="6"/>
  <c r="G194" i="6"/>
  <c r="H193" i="6"/>
  <c r="G193" i="6"/>
  <c r="H192" i="6"/>
  <c r="G192" i="6"/>
  <c r="H191" i="6"/>
  <c r="G191" i="6"/>
  <c r="H190" i="6"/>
  <c r="G190" i="6"/>
  <c r="H189" i="6"/>
  <c r="G189" i="6"/>
  <c r="H188" i="6"/>
  <c r="G188" i="6"/>
  <c r="H187" i="6"/>
  <c r="G187" i="6"/>
  <c r="H186" i="6"/>
  <c r="G186" i="6"/>
  <c r="H185" i="6"/>
  <c r="G185" i="6"/>
  <c r="Q183" i="6"/>
  <c r="O184" i="6" s="1"/>
  <c r="A181" i="6"/>
  <c r="U176" i="6"/>
  <c r="U175" i="6"/>
  <c r="K171" i="6"/>
  <c r="J171" i="6"/>
  <c r="H171" i="6"/>
  <c r="G171" i="6"/>
  <c r="H170" i="6"/>
  <c r="G170" i="6"/>
  <c r="H169" i="6"/>
  <c r="H168" i="6"/>
  <c r="G168" i="6"/>
  <c r="H167" i="6"/>
  <c r="H166" i="6"/>
  <c r="G166" i="6"/>
  <c r="H165" i="6"/>
  <c r="H164" i="6"/>
  <c r="G164" i="6"/>
  <c r="H163" i="6"/>
  <c r="G163" i="6"/>
  <c r="H162" i="6"/>
  <c r="H161" i="6"/>
  <c r="H160" i="6"/>
  <c r="G160" i="6"/>
  <c r="H159" i="6"/>
  <c r="G159" i="6"/>
  <c r="H158" i="6"/>
  <c r="H157" i="6"/>
  <c r="H156" i="6"/>
  <c r="G156" i="6"/>
  <c r="H155" i="6"/>
  <c r="G155" i="6"/>
  <c r="H154" i="6"/>
  <c r="G154" i="6"/>
  <c r="H153" i="6"/>
  <c r="H152" i="6"/>
  <c r="G152" i="6"/>
  <c r="H151" i="6"/>
  <c r="G151" i="6"/>
  <c r="H150" i="6"/>
  <c r="H149" i="6"/>
  <c r="H148" i="6"/>
  <c r="G148" i="6"/>
  <c r="H147" i="6"/>
  <c r="G147" i="6"/>
  <c r="H146" i="6"/>
  <c r="H145" i="6"/>
  <c r="H144" i="6"/>
  <c r="G144" i="6"/>
  <c r="H143" i="6"/>
  <c r="G143" i="6"/>
  <c r="H142" i="6"/>
  <c r="H141" i="6"/>
  <c r="H140" i="6"/>
  <c r="G140" i="6"/>
  <c r="H139" i="6"/>
  <c r="G139" i="6"/>
  <c r="H138" i="6"/>
  <c r="G138" i="6"/>
  <c r="H137" i="6"/>
  <c r="H136" i="6"/>
  <c r="G136" i="6"/>
  <c r="H135" i="6"/>
  <c r="H134" i="6"/>
  <c r="G134" i="6"/>
  <c r="H133" i="6"/>
  <c r="H132" i="6"/>
  <c r="G132" i="6"/>
  <c r="H131" i="6"/>
  <c r="G131" i="6"/>
  <c r="H130" i="6"/>
  <c r="H129" i="6"/>
  <c r="H128" i="6"/>
  <c r="G128" i="6"/>
  <c r="H127" i="6"/>
  <c r="G127" i="6"/>
  <c r="H126" i="6"/>
  <c r="H125" i="6"/>
  <c r="H124" i="6"/>
  <c r="G124" i="6"/>
  <c r="H123" i="6"/>
  <c r="G123" i="6"/>
  <c r="H122" i="6"/>
  <c r="G122" i="6"/>
  <c r="H121" i="6"/>
  <c r="H120" i="6"/>
  <c r="G120" i="6"/>
  <c r="H119" i="6"/>
  <c r="G119" i="6"/>
  <c r="H118" i="6"/>
  <c r="H117" i="6"/>
  <c r="H116" i="6"/>
  <c r="G116" i="6"/>
  <c r="H115" i="6"/>
  <c r="G115" i="6"/>
  <c r="H114" i="6"/>
  <c r="H113" i="6"/>
  <c r="H112" i="6"/>
  <c r="G112" i="6"/>
  <c r="H111" i="6"/>
  <c r="G111" i="6"/>
  <c r="H110" i="6"/>
  <c r="H109" i="6"/>
  <c r="H108" i="6"/>
  <c r="G108" i="6"/>
  <c r="H107" i="6"/>
  <c r="G107" i="6"/>
  <c r="H106" i="6"/>
  <c r="G106" i="6"/>
  <c r="H105" i="6"/>
  <c r="H104" i="6"/>
  <c r="G104" i="6"/>
  <c r="H103" i="6"/>
  <c r="H102" i="6"/>
  <c r="G102" i="6"/>
  <c r="H101" i="6"/>
  <c r="H100" i="6"/>
  <c r="G100" i="6"/>
  <c r="H99" i="6"/>
  <c r="G99" i="6"/>
  <c r="H98" i="6"/>
  <c r="G98" i="6"/>
  <c r="Q96" i="6"/>
  <c r="O97" i="6" s="1"/>
  <c r="H96" i="6"/>
  <c r="X96" i="6" s="1"/>
  <c r="A94" i="6"/>
  <c r="I163" i="3"/>
  <c r="I164" i="3"/>
  <c r="I165" i="3"/>
  <c r="I166" i="3" s="1"/>
  <c r="I167" i="3" s="1"/>
  <c r="I168" i="3" s="1"/>
  <c r="I169" i="3" s="1"/>
  <c r="I170" i="3" s="1"/>
  <c r="I171" i="3" s="1"/>
  <c r="I172" i="3" s="1"/>
  <c r="I173" i="3" s="1"/>
  <c r="I174" i="3" s="1"/>
  <c r="I175" i="3" s="1"/>
  <c r="I176" i="3" s="1"/>
  <c r="I177" i="3" s="1"/>
  <c r="I178" i="3" s="1"/>
  <c r="I179" i="3" s="1"/>
  <c r="I180" i="3" s="1"/>
  <c r="I181" i="3" s="1"/>
  <c r="I182" i="3" s="1"/>
  <c r="I183" i="3" s="1"/>
  <c r="I132" i="3"/>
  <c r="I133" i="3" s="1"/>
  <c r="I134" i="3" s="1"/>
  <c r="I135" i="3" s="1"/>
  <c r="I136" i="3" s="1"/>
  <c r="I137" i="3" s="1"/>
  <c r="I138" i="3" s="1"/>
  <c r="I139" i="3" s="1"/>
  <c r="I140" i="3" s="1"/>
  <c r="I141" i="3" s="1"/>
  <c r="I142" i="3" s="1"/>
  <c r="I143" i="3" s="1"/>
  <c r="I144" i="3" s="1"/>
  <c r="I145" i="3" s="1"/>
  <c r="I146" i="3" s="1"/>
  <c r="I147" i="3" s="1"/>
  <c r="I148" i="3" s="1"/>
  <c r="I149" i="3" s="1"/>
  <c r="I150" i="3" s="1"/>
  <c r="I151" i="3" s="1"/>
  <c r="I152" i="3" s="1"/>
  <c r="I101" i="3"/>
  <c r="I102" i="3" s="1"/>
  <c r="I103" i="3" s="1"/>
  <c r="I104" i="3" s="1"/>
  <c r="I105" i="3" s="1"/>
  <c r="I106" i="3" s="1"/>
  <c r="I107" i="3" s="1"/>
  <c r="I108" i="3" s="1"/>
  <c r="I109" i="3" s="1"/>
  <c r="I110" i="3" s="1"/>
  <c r="I111" i="3" s="1"/>
  <c r="I112" i="3" s="1"/>
  <c r="I113" i="3" s="1"/>
  <c r="I114" i="3" s="1"/>
  <c r="I115" i="3" s="1"/>
  <c r="I116" i="3" s="1"/>
  <c r="I117" i="3" s="1"/>
  <c r="I118" i="3" s="1"/>
  <c r="I119" i="3" s="1"/>
  <c r="I120" i="3" s="1"/>
  <c r="I121" i="3" s="1"/>
  <c r="I70" i="3"/>
  <c r="I71" i="3" s="1"/>
  <c r="I72" i="3" s="1"/>
  <c r="I73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39" i="3"/>
  <c r="I40" i="3" s="1"/>
  <c r="I41" i="3" s="1"/>
  <c r="I42" i="3" s="1"/>
  <c r="I43" i="3" s="1"/>
  <c r="I44" i="3" s="1"/>
  <c r="I45" i="3" s="1"/>
  <c r="I46" i="3" s="1"/>
  <c r="I47" i="3" s="1"/>
  <c r="I48" i="3" s="1"/>
  <c r="I49" i="3" s="1"/>
  <c r="I50" i="3" s="1"/>
  <c r="I51" i="3" s="1"/>
  <c r="I52" i="3" s="1"/>
  <c r="I53" i="3" s="1"/>
  <c r="I54" i="3" s="1"/>
  <c r="I55" i="3" s="1"/>
  <c r="I56" i="3" s="1"/>
  <c r="I57" i="3" s="1"/>
  <c r="I58" i="3" s="1"/>
  <c r="I59" i="3" s="1"/>
  <c r="I8" i="3"/>
  <c r="I9" i="3" s="1"/>
  <c r="I10" i="3" s="1"/>
  <c r="I11" i="3" s="1"/>
  <c r="I12" i="3" s="1"/>
  <c r="I13" i="3" s="1"/>
  <c r="I14" i="3" s="1"/>
  <c r="I15" i="3" s="1"/>
  <c r="I16" i="3" s="1"/>
  <c r="I17" i="3" s="1"/>
  <c r="I18" i="3" s="1"/>
  <c r="I19" i="3" s="1"/>
  <c r="I20" i="3" s="1"/>
  <c r="I21" i="3" s="1"/>
  <c r="I22" i="3" s="1"/>
  <c r="I23" i="3" s="1"/>
  <c r="I24" i="3" s="1"/>
  <c r="I25" i="3" s="1"/>
  <c r="I26" i="3" s="1"/>
  <c r="I27" i="3" s="1"/>
  <c r="I28" i="3" s="1"/>
  <c r="K28" i="3" s="1"/>
  <c r="E3" i="7"/>
  <c r="F3" i="7" s="1"/>
  <c r="G3" i="7" s="1"/>
  <c r="E6" i="7"/>
  <c r="F6" i="7" s="1"/>
  <c r="G6" i="7" s="1"/>
  <c r="M10" i="7" s="1"/>
  <c r="E10" i="7"/>
  <c r="E11" i="7"/>
  <c r="E12" i="7"/>
  <c r="F12" i="7" s="1"/>
  <c r="G12" i="7" s="1"/>
  <c r="E13" i="7"/>
  <c r="F13" i="7" s="1"/>
  <c r="G13" i="7" s="1"/>
  <c r="E2" i="7"/>
  <c r="F2" i="7" s="1"/>
  <c r="G2" i="7" s="1"/>
  <c r="A6" i="3"/>
  <c r="U89" i="6"/>
  <c r="U88" i="6"/>
  <c r="K84" i="6"/>
  <c r="J84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9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11" i="6"/>
  <c r="H9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F9" i="6"/>
  <c r="G9" i="6" s="1"/>
  <c r="Q9" i="6"/>
  <c r="X9" i="6"/>
  <c r="A7" i="6"/>
  <c r="G3" i="3"/>
  <c r="F3" i="3"/>
  <c r="E3" i="3"/>
  <c r="D3" i="3"/>
  <c r="C3" i="3"/>
  <c r="B3" i="3"/>
  <c r="G2" i="3"/>
  <c r="E2" i="3"/>
  <c r="F2" i="3"/>
  <c r="D2" i="3"/>
  <c r="C2" i="3"/>
  <c r="B2" i="3"/>
  <c r="V187" i="3"/>
  <c r="V186" i="3"/>
  <c r="N183" i="3"/>
  <c r="N182" i="3"/>
  <c r="H182" i="3"/>
  <c r="N181" i="3"/>
  <c r="N180" i="3"/>
  <c r="H180" i="3"/>
  <c r="N179" i="3"/>
  <c r="N178" i="3"/>
  <c r="H178" i="3"/>
  <c r="N177" i="3"/>
  <c r="N176" i="3"/>
  <c r="H176" i="3"/>
  <c r="N175" i="3"/>
  <c r="N174" i="3"/>
  <c r="H174" i="3"/>
  <c r="N173" i="3"/>
  <c r="N172" i="3"/>
  <c r="H172" i="3"/>
  <c r="N171" i="3"/>
  <c r="N170" i="3"/>
  <c r="H170" i="3"/>
  <c r="N169" i="3"/>
  <c r="N168" i="3"/>
  <c r="H168" i="3"/>
  <c r="N167" i="3"/>
  <c r="N166" i="3"/>
  <c r="H166" i="3"/>
  <c r="N165" i="3"/>
  <c r="N164" i="3"/>
  <c r="R163" i="3"/>
  <c r="H163" i="3"/>
  <c r="Y163" i="3" s="1"/>
  <c r="A161" i="3"/>
  <c r="V156" i="3"/>
  <c r="V155" i="3"/>
  <c r="N152" i="3"/>
  <c r="N151" i="3"/>
  <c r="H151" i="3"/>
  <c r="N150" i="3"/>
  <c r="N149" i="3"/>
  <c r="H149" i="3"/>
  <c r="N148" i="3"/>
  <c r="N147" i="3"/>
  <c r="H147" i="3"/>
  <c r="N146" i="3"/>
  <c r="N145" i="3"/>
  <c r="H145" i="3"/>
  <c r="N144" i="3"/>
  <c r="N143" i="3"/>
  <c r="H143" i="3"/>
  <c r="N142" i="3"/>
  <c r="N141" i="3"/>
  <c r="H141" i="3"/>
  <c r="N140" i="3"/>
  <c r="N139" i="3"/>
  <c r="H139" i="3"/>
  <c r="N138" i="3"/>
  <c r="N137" i="3"/>
  <c r="H137" i="3"/>
  <c r="N136" i="3"/>
  <c r="N135" i="3"/>
  <c r="H135" i="3"/>
  <c r="N134" i="3"/>
  <c r="N133" i="3"/>
  <c r="R132" i="3"/>
  <c r="H132" i="3"/>
  <c r="Y132" i="3" s="1"/>
  <c r="A130" i="3"/>
  <c r="V125" i="3"/>
  <c r="V124" i="3"/>
  <c r="N121" i="3"/>
  <c r="N120" i="3"/>
  <c r="H120" i="3"/>
  <c r="N119" i="3"/>
  <c r="N118" i="3"/>
  <c r="H118" i="3"/>
  <c r="N117" i="3"/>
  <c r="N116" i="3"/>
  <c r="H116" i="3"/>
  <c r="N115" i="3"/>
  <c r="N114" i="3"/>
  <c r="H114" i="3"/>
  <c r="N113" i="3"/>
  <c r="N112" i="3"/>
  <c r="H112" i="3"/>
  <c r="N111" i="3"/>
  <c r="N110" i="3"/>
  <c r="H110" i="3"/>
  <c r="N109" i="3"/>
  <c r="N108" i="3"/>
  <c r="H108" i="3"/>
  <c r="N107" i="3"/>
  <c r="N106" i="3"/>
  <c r="H106" i="3"/>
  <c r="N105" i="3"/>
  <c r="N104" i="3"/>
  <c r="H104" i="3"/>
  <c r="N103" i="3"/>
  <c r="N102" i="3"/>
  <c r="R101" i="3"/>
  <c r="H101" i="3"/>
  <c r="Y101" i="3" s="1"/>
  <c r="A99" i="3"/>
  <c r="V94" i="3"/>
  <c r="V93" i="3"/>
  <c r="N90" i="3"/>
  <c r="N89" i="3"/>
  <c r="H89" i="3"/>
  <c r="N88" i="3"/>
  <c r="N87" i="3"/>
  <c r="H87" i="3"/>
  <c r="N86" i="3"/>
  <c r="N85" i="3"/>
  <c r="H85" i="3"/>
  <c r="N84" i="3"/>
  <c r="N83" i="3"/>
  <c r="H83" i="3"/>
  <c r="N82" i="3"/>
  <c r="N81" i="3"/>
  <c r="H81" i="3"/>
  <c r="N80" i="3"/>
  <c r="N79" i="3"/>
  <c r="H79" i="3"/>
  <c r="N78" i="3"/>
  <c r="N77" i="3"/>
  <c r="H77" i="3"/>
  <c r="N76" i="3"/>
  <c r="N75" i="3"/>
  <c r="H75" i="3"/>
  <c r="N74" i="3"/>
  <c r="N73" i="3"/>
  <c r="H73" i="3"/>
  <c r="N72" i="3"/>
  <c r="N71" i="3"/>
  <c r="R70" i="3"/>
  <c r="H70" i="3"/>
  <c r="Y70" i="3" s="1"/>
  <c r="A68" i="3"/>
  <c r="A37" i="3"/>
  <c r="V63" i="3"/>
  <c r="V62" i="3"/>
  <c r="N59" i="3"/>
  <c r="N58" i="3"/>
  <c r="H58" i="3"/>
  <c r="N57" i="3"/>
  <c r="N56" i="3"/>
  <c r="H56" i="3"/>
  <c r="N55" i="3"/>
  <c r="N54" i="3"/>
  <c r="H54" i="3"/>
  <c r="N53" i="3"/>
  <c r="N52" i="3"/>
  <c r="H52" i="3"/>
  <c r="N51" i="3"/>
  <c r="N50" i="3"/>
  <c r="H50" i="3"/>
  <c r="N49" i="3"/>
  <c r="N48" i="3"/>
  <c r="H48" i="3"/>
  <c r="N47" i="3"/>
  <c r="N46" i="3"/>
  <c r="H46" i="3"/>
  <c r="N45" i="3"/>
  <c r="N44" i="3"/>
  <c r="H44" i="3"/>
  <c r="N43" i="3"/>
  <c r="N42" i="3"/>
  <c r="H42" i="3"/>
  <c r="N41" i="3"/>
  <c r="N40" i="3"/>
  <c r="R39" i="3"/>
  <c r="H39" i="3"/>
  <c r="Y39" i="3" s="1"/>
  <c r="V32" i="3"/>
  <c r="V31" i="3"/>
  <c r="R8" i="3"/>
  <c r="O9" i="3" s="1"/>
  <c r="N25" i="3"/>
  <c r="N26" i="3"/>
  <c r="N27" i="3"/>
  <c r="N28" i="3"/>
  <c r="N24" i="3"/>
  <c r="N20" i="3"/>
  <c r="N21" i="3"/>
  <c r="N22" i="3"/>
  <c r="N23" i="3"/>
  <c r="N19" i="3"/>
  <c r="N15" i="3"/>
  <c r="N16" i="3"/>
  <c r="N17" i="3"/>
  <c r="N18" i="3"/>
  <c r="N14" i="3"/>
  <c r="N11" i="3"/>
  <c r="N12" i="3"/>
  <c r="N13" i="3"/>
  <c r="N10" i="3"/>
  <c r="N9" i="3"/>
  <c r="AB9" i="3"/>
  <c r="AB10" i="3"/>
  <c r="H11" i="3"/>
  <c r="H12" i="3"/>
  <c r="H15" i="3"/>
  <c r="H16" i="3"/>
  <c r="H19" i="3"/>
  <c r="H20" i="3"/>
  <c r="H23" i="3"/>
  <c r="H24" i="3"/>
  <c r="H27" i="3"/>
  <c r="H28" i="3"/>
  <c r="H8" i="3"/>
  <c r="Y8" i="3" s="1"/>
  <c r="E78" i="4" l="1"/>
  <c r="F78" i="4" s="1"/>
  <c r="G16" i="4"/>
  <c r="H26" i="3"/>
  <c r="H22" i="3"/>
  <c r="H18" i="3"/>
  <c r="H14" i="3"/>
  <c r="H41" i="3"/>
  <c r="H43" i="3"/>
  <c r="H45" i="3"/>
  <c r="H47" i="3"/>
  <c r="H49" i="3"/>
  <c r="H51" i="3"/>
  <c r="H53" i="3"/>
  <c r="H55" i="3"/>
  <c r="H57" i="3"/>
  <c r="H59" i="3"/>
  <c r="H10" i="3"/>
  <c r="H25" i="3"/>
  <c r="H21" i="3"/>
  <c r="H17" i="3"/>
  <c r="H13" i="3"/>
  <c r="H72" i="3"/>
  <c r="H74" i="3"/>
  <c r="H76" i="3"/>
  <c r="H78" i="3"/>
  <c r="H80" i="3"/>
  <c r="H82" i="3"/>
  <c r="H84" i="3"/>
  <c r="H86" i="3"/>
  <c r="H88" i="3"/>
  <c r="H90" i="3"/>
  <c r="H103" i="3"/>
  <c r="H105" i="3"/>
  <c r="H107" i="3"/>
  <c r="H109" i="3"/>
  <c r="H111" i="3"/>
  <c r="H113" i="3"/>
  <c r="H115" i="3"/>
  <c r="H117" i="3"/>
  <c r="H119" i="3"/>
  <c r="H121" i="3"/>
  <c r="H134" i="3"/>
  <c r="H136" i="3"/>
  <c r="H138" i="3"/>
  <c r="H140" i="3"/>
  <c r="H142" i="3"/>
  <c r="H144" i="3"/>
  <c r="H146" i="3"/>
  <c r="H148" i="3"/>
  <c r="H150" i="3"/>
  <c r="H152" i="3"/>
  <c r="H165" i="3"/>
  <c r="H167" i="3"/>
  <c r="H169" i="3"/>
  <c r="H171" i="3"/>
  <c r="H173" i="3"/>
  <c r="H175" i="3"/>
  <c r="H177" i="3"/>
  <c r="H179" i="3"/>
  <c r="H181" i="3"/>
  <c r="E59" i="4"/>
  <c r="N22" i="6" s="1" a="1"/>
  <c r="N22" i="6" s="1"/>
  <c r="N109" i="6" s="1"/>
  <c r="N196" i="6" s="1"/>
  <c r="N283" i="6" s="1"/>
  <c r="N370" i="6" s="1"/>
  <c r="N457" i="6" s="1"/>
  <c r="E6" i="4"/>
  <c r="E43" i="4"/>
  <c r="F49" i="4"/>
  <c r="E110" i="4"/>
  <c r="F110" i="4" s="1"/>
  <c r="F27" i="4"/>
  <c r="E118" i="4"/>
  <c r="F118" i="4" s="1"/>
  <c r="E86" i="4"/>
  <c r="F86" i="4" s="1"/>
  <c r="E63" i="4"/>
  <c r="N26" i="6" s="1" a="1"/>
  <c r="N26" i="6" s="1"/>
  <c r="N113" i="6" s="1"/>
  <c r="N200" i="6" s="1"/>
  <c r="N287" i="6" s="1"/>
  <c r="N374" i="6" s="1"/>
  <c r="N461" i="6" s="1"/>
  <c r="E47" i="4"/>
  <c r="N10" i="6" s="1" a="1"/>
  <c r="N10" i="6" s="1"/>
  <c r="N97" i="6" s="1"/>
  <c r="N184" i="6" s="1"/>
  <c r="N271" i="6" s="1"/>
  <c r="N358" i="6" s="1"/>
  <c r="N445" i="6" s="1"/>
  <c r="E31" i="4"/>
  <c r="F19" i="4"/>
  <c r="G8" i="4"/>
  <c r="F57" i="4"/>
  <c r="E102" i="4"/>
  <c r="F102" i="4" s="1"/>
  <c r="E71" i="4"/>
  <c r="N34" i="6" s="1" a="1"/>
  <c r="N34" i="6" s="1"/>
  <c r="N121" i="6" s="1"/>
  <c r="N208" i="6" s="1"/>
  <c r="N295" i="6" s="1"/>
  <c r="N382" i="6" s="1"/>
  <c r="N469" i="6" s="1"/>
  <c r="E55" i="4"/>
  <c r="N18" i="6" s="1" a="1"/>
  <c r="N18" i="6" s="1"/>
  <c r="N105" i="6" s="1"/>
  <c r="N192" i="6" s="1"/>
  <c r="N279" i="6" s="1"/>
  <c r="N366" i="6" s="1"/>
  <c r="N453" i="6" s="1"/>
  <c r="E39" i="4"/>
  <c r="G24" i="4"/>
  <c r="E14" i="4"/>
  <c r="F3" i="4"/>
  <c r="F41" i="4"/>
  <c r="E94" i="4"/>
  <c r="F94" i="4" s="1"/>
  <c r="E67" i="4"/>
  <c r="N30" i="6" s="1" a="1"/>
  <c r="N30" i="6" s="1"/>
  <c r="N117" i="6" s="1"/>
  <c r="N204" i="6" s="1"/>
  <c r="N291" i="6" s="1"/>
  <c r="N378" i="6" s="1"/>
  <c r="N465" i="6" s="1"/>
  <c r="E51" i="4"/>
  <c r="N14" i="6" s="1" a="1"/>
  <c r="N14" i="6" s="1"/>
  <c r="N101" i="6" s="1"/>
  <c r="N188" i="6" s="1"/>
  <c r="N275" i="6" s="1"/>
  <c r="N362" i="6" s="1"/>
  <c r="N449" i="6" s="1"/>
  <c r="E35" i="4"/>
  <c r="E22" i="4"/>
  <c r="F11" i="4"/>
  <c r="F65" i="4"/>
  <c r="F33" i="4"/>
  <c r="E119" i="4"/>
  <c r="F119" i="4" s="1"/>
  <c r="E111" i="4"/>
  <c r="F111" i="4" s="1"/>
  <c r="E103" i="4"/>
  <c r="F103" i="4" s="1"/>
  <c r="E95" i="4"/>
  <c r="F95" i="4" s="1"/>
  <c r="E87" i="4"/>
  <c r="F87" i="4" s="1"/>
  <c r="E79" i="4"/>
  <c r="F79" i="4" s="1"/>
  <c r="G71" i="4"/>
  <c r="G67" i="4"/>
  <c r="G63" i="4"/>
  <c r="G59" i="4"/>
  <c r="G55" i="4"/>
  <c r="G51" i="4"/>
  <c r="G47" i="4"/>
  <c r="G43" i="4"/>
  <c r="G39" i="4"/>
  <c r="G35" i="4"/>
  <c r="G31" i="4"/>
  <c r="G27" i="4"/>
  <c r="E25" i="4"/>
  <c r="F22" i="4"/>
  <c r="G19" i="4"/>
  <c r="E17" i="4"/>
  <c r="F14" i="4"/>
  <c r="G11" i="4"/>
  <c r="E9" i="4"/>
  <c r="F6" i="4"/>
  <c r="G3" i="4"/>
  <c r="F66" i="4"/>
  <c r="F58" i="4"/>
  <c r="F50" i="4"/>
  <c r="F42" i="4"/>
  <c r="F34" i="4"/>
  <c r="E115" i="4"/>
  <c r="F115" i="4" s="1"/>
  <c r="E107" i="4"/>
  <c r="F107" i="4" s="1"/>
  <c r="E99" i="4"/>
  <c r="F99" i="4" s="1"/>
  <c r="E91" i="4"/>
  <c r="F91" i="4" s="1"/>
  <c r="E83" i="4"/>
  <c r="F83" i="4" s="1"/>
  <c r="E75" i="4"/>
  <c r="F75" i="4" s="1"/>
  <c r="G69" i="4"/>
  <c r="G65" i="4"/>
  <c r="G61" i="4"/>
  <c r="G57" i="4"/>
  <c r="G53" i="4"/>
  <c r="G49" i="4"/>
  <c r="G45" i="4"/>
  <c r="G41" i="4"/>
  <c r="G37" i="4"/>
  <c r="G33" i="4"/>
  <c r="G29" i="4"/>
  <c r="F26" i="4"/>
  <c r="G23" i="4"/>
  <c r="E21" i="4"/>
  <c r="F18" i="4"/>
  <c r="G15" i="4"/>
  <c r="E13" i="4"/>
  <c r="F10" i="4"/>
  <c r="G7" i="4"/>
  <c r="E5" i="4"/>
  <c r="F70" i="4"/>
  <c r="F62" i="4"/>
  <c r="F54" i="4"/>
  <c r="F46" i="4"/>
  <c r="F38" i="4"/>
  <c r="F30" i="4"/>
  <c r="E122" i="4"/>
  <c r="F122" i="4" s="1"/>
  <c r="E114" i="4"/>
  <c r="F114" i="4" s="1"/>
  <c r="E106" i="4"/>
  <c r="F106" i="4" s="1"/>
  <c r="E98" i="4"/>
  <c r="F98" i="4" s="1"/>
  <c r="E90" i="4"/>
  <c r="F90" i="4" s="1"/>
  <c r="E82" i="4"/>
  <c r="F82" i="4" s="1"/>
  <c r="E74" i="4"/>
  <c r="F74" i="4" s="1"/>
  <c r="E69" i="4"/>
  <c r="N32" i="6" s="1" a="1"/>
  <c r="N32" i="6" s="1"/>
  <c r="N119" i="6" s="1"/>
  <c r="N206" i="6" s="1"/>
  <c r="N293" i="6" s="1"/>
  <c r="N380" i="6" s="1"/>
  <c r="N467" i="6" s="1"/>
  <c r="E65" i="4"/>
  <c r="N28" i="6" s="1" a="1"/>
  <c r="N28" i="6" s="1"/>
  <c r="N115" i="6" s="1"/>
  <c r="N202" i="6" s="1"/>
  <c r="N289" i="6" s="1"/>
  <c r="N376" i="6" s="1"/>
  <c r="N463" i="6" s="1"/>
  <c r="E61" i="4"/>
  <c r="N24" i="6" s="1" a="1"/>
  <c r="N24" i="6" s="1"/>
  <c r="N111" i="6" s="1"/>
  <c r="N198" i="6" s="1"/>
  <c r="N285" i="6" s="1"/>
  <c r="N372" i="6" s="1"/>
  <c r="N459" i="6" s="1"/>
  <c r="E57" i="4"/>
  <c r="N20" i="6" s="1" a="1"/>
  <c r="N20" i="6" s="1"/>
  <c r="N107" i="6" s="1"/>
  <c r="N194" i="6" s="1"/>
  <c r="N281" i="6" s="1"/>
  <c r="N368" i="6" s="1"/>
  <c r="N455" i="6" s="1"/>
  <c r="E53" i="4"/>
  <c r="N16" i="6" s="1" a="1"/>
  <c r="N16" i="6" s="1"/>
  <c r="N103" i="6" s="1"/>
  <c r="N190" i="6" s="1"/>
  <c r="N277" i="6" s="1"/>
  <c r="N364" i="6" s="1"/>
  <c r="N451" i="6" s="1"/>
  <c r="E49" i="4"/>
  <c r="N12" i="6" s="1" a="1"/>
  <c r="N12" i="6" s="1"/>
  <c r="N99" i="6" s="1"/>
  <c r="N186" i="6" s="1"/>
  <c r="N273" i="6" s="1"/>
  <c r="N360" i="6" s="1"/>
  <c r="N447" i="6" s="1"/>
  <c r="E45" i="4"/>
  <c r="E41" i="4"/>
  <c r="E37" i="4"/>
  <c r="E33" i="4"/>
  <c r="E29" i="4"/>
  <c r="E26" i="4"/>
  <c r="F23" i="4"/>
  <c r="G20" i="4"/>
  <c r="E18" i="4"/>
  <c r="F15" i="4"/>
  <c r="G12" i="4"/>
  <c r="E10" i="4"/>
  <c r="F7" i="4"/>
  <c r="G4" i="4"/>
  <c r="F69" i="4"/>
  <c r="F61" i="4"/>
  <c r="F53" i="4"/>
  <c r="F45" i="4"/>
  <c r="F37" i="4"/>
  <c r="F29" i="4"/>
  <c r="E117" i="4"/>
  <c r="F117" i="4" s="1"/>
  <c r="E113" i="4"/>
  <c r="F113" i="4" s="1"/>
  <c r="E109" i="4"/>
  <c r="F109" i="4" s="1"/>
  <c r="E105" i="4"/>
  <c r="F105" i="4" s="1"/>
  <c r="E101" i="4"/>
  <c r="F101" i="4" s="1"/>
  <c r="E97" i="4"/>
  <c r="F97" i="4" s="1"/>
  <c r="E93" i="4"/>
  <c r="F93" i="4" s="1"/>
  <c r="E89" i="4"/>
  <c r="F89" i="4" s="1"/>
  <c r="E85" i="4"/>
  <c r="F85" i="4" s="1"/>
  <c r="E81" i="4"/>
  <c r="F81" i="4" s="1"/>
  <c r="E77" i="4"/>
  <c r="F77" i="4" s="1"/>
  <c r="E73" i="4"/>
  <c r="F73" i="4" s="1"/>
  <c r="G70" i="4"/>
  <c r="G68" i="4"/>
  <c r="G66" i="4"/>
  <c r="G64" i="4"/>
  <c r="G62" i="4"/>
  <c r="G60" i="4"/>
  <c r="G58" i="4"/>
  <c r="G56" i="4"/>
  <c r="G54" i="4"/>
  <c r="G52" i="4"/>
  <c r="G50" i="4"/>
  <c r="G48" i="4"/>
  <c r="G46" i="4"/>
  <c r="G44" i="4"/>
  <c r="G42" i="4"/>
  <c r="G40" i="4"/>
  <c r="G38" i="4"/>
  <c r="G36" i="4"/>
  <c r="G34" i="4"/>
  <c r="G32" i="4"/>
  <c r="G30" i="4"/>
  <c r="G28" i="4"/>
  <c r="E27" i="4"/>
  <c r="G25" i="4"/>
  <c r="F24" i="4"/>
  <c r="E23" i="4"/>
  <c r="G21" i="4"/>
  <c r="F20" i="4"/>
  <c r="E19" i="4"/>
  <c r="G17" i="4"/>
  <c r="F16" i="4"/>
  <c r="E15" i="4"/>
  <c r="G13" i="4"/>
  <c r="F12" i="4"/>
  <c r="E11" i="4"/>
  <c r="G9" i="4"/>
  <c r="F8" i="4"/>
  <c r="E7" i="4"/>
  <c r="G5" i="4"/>
  <c r="F4" i="4"/>
  <c r="E3" i="4"/>
  <c r="F68" i="4"/>
  <c r="F64" i="4"/>
  <c r="F60" i="4"/>
  <c r="F56" i="4"/>
  <c r="F52" i="4"/>
  <c r="F48" i="4"/>
  <c r="F44" i="4"/>
  <c r="F40" i="4"/>
  <c r="F36" i="4"/>
  <c r="F32" i="4"/>
  <c r="F28" i="4"/>
  <c r="E121" i="4"/>
  <c r="F121" i="4" s="1"/>
  <c r="E120" i="4"/>
  <c r="N83" i="6" s="1" a="1"/>
  <c r="N83" i="6" s="1"/>
  <c r="N170" i="6" s="1"/>
  <c r="N257" i="6" s="1"/>
  <c r="N344" i="6" s="1"/>
  <c r="N431" i="6" s="1"/>
  <c r="N518" i="6" s="1"/>
  <c r="E116" i="4"/>
  <c r="N79" i="6" s="1" a="1"/>
  <c r="N79" i="6" s="1"/>
  <c r="N166" i="6" s="1"/>
  <c r="N253" i="6" s="1"/>
  <c r="N340" i="6" s="1"/>
  <c r="N427" i="6" s="1"/>
  <c r="N514" i="6" s="1"/>
  <c r="E112" i="4"/>
  <c r="N75" i="6" s="1" a="1"/>
  <c r="N75" i="6" s="1"/>
  <c r="N162" i="6" s="1"/>
  <c r="N249" i="6" s="1"/>
  <c r="N336" i="6" s="1"/>
  <c r="N423" i="6" s="1"/>
  <c r="N510" i="6" s="1"/>
  <c r="E108" i="4"/>
  <c r="N71" i="6" s="1" a="1"/>
  <c r="N71" i="6" s="1"/>
  <c r="N158" i="6" s="1"/>
  <c r="N245" i="6" s="1"/>
  <c r="N332" i="6" s="1"/>
  <c r="N419" i="6" s="1"/>
  <c r="N506" i="6" s="1"/>
  <c r="E104" i="4"/>
  <c r="N67" i="6" s="1" a="1"/>
  <c r="N67" i="6" s="1"/>
  <c r="N154" i="6" s="1"/>
  <c r="N241" i="6" s="1"/>
  <c r="N328" i="6" s="1"/>
  <c r="N415" i="6" s="1"/>
  <c r="N502" i="6" s="1"/>
  <c r="E100" i="4"/>
  <c r="N63" i="6" s="1" a="1"/>
  <c r="N63" i="6" s="1"/>
  <c r="N150" i="6" s="1"/>
  <c r="N237" i="6" s="1"/>
  <c r="N324" i="6" s="1"/>
  <c r="N411" i="6" s="1"/>
  <c r="N498" i="6" s="1"/>
  <c r="E96" i="4"/>
  <c r="N59" i="6" s="1" a="1"/>
  <c r="N59" i="6" s="1"/>
  <c r="N146" i="6" s="1"/>
  <c r="N233" i="6" s="1"/>
  <c r="N320" i="6" s="1"/>
  <c r="N407" i="6" s="1"/>
  <c r="N494" i="6" s="1"/>
  <c r="E92" i="4"/>
  <c r="N55" i="6" s="1" a="1"/>
  <c r="N55" i="6" s="1"/>
  <c r="N142" i="6" s="1"/>
  <c r="N229" i="6" s="1"/>
  <c r="N316" i="6" s="1"/>
  <c r="N403" i="6" s="1"/>
  <c r="N490" i="6" s="1"/>
  <c r="E88" i="4"/>
  <c r="N51" i="6" s="1" a="1"/>
  <c r="N51" i="6" s="1"/>
  <c r="N138" i="6" s="1"/>
  <c r="N225" i="6" s="1"/>
  <c r="N312" i="6" s="1"/>
  <c r="N399" i="6" s="1"/>
  <c r="N486" i="6" s="1"/>
  <c r="E84" i="4"/>
  <c r="N47" i="6" s="1" a="1"/>
  <c r="N47" i="6" s="1"/>
  <c r="N134" i="6" s="1"/>
  <c r="N221" i="6" s="1"/>
  <c r="N308" i="6" s="1"/>
  <c r="N395" i="6" s="1"/>
  <c r="N482" i="6" s="1"/>
  <c r="E80" i="4"/>
  <c r="N43" i="6" s="1" a="1"/>
  <c r="N43" i="6" s="1"/>
  <c r="N130" i="6" s="1"/>
  <c r="N217" i="6" s="1"/>
  <c r="N304" i="6" s="1"/>
  <c r="N391" i="6" s="1"/>
  <c r="N478" i="6" s="1"/>
  <c r="E76" i="4"/>
  <c r="N39" i="6" s="1" a="1"/>
  <c r="N39" i="6" s="1"/>
  <c r="N126" i="6" s="1"/>
  <c r="N213" i="6" s="1"/>
  <c r="N300" i="6" s="1"/>
  <c r="N387" i="6" s="1"/>
  <c r="N474" i="6" s="1"/>
  <c r="E72" i="4"/>
  <c r="N35" i="6" s="1" a="1"/>
  <c r="N35" i="6" s="1"/>
  <c r="N122" i="6" s="1"/>
  <c r="N209" i="6" s="1"/>
  <c r="N296" i="6" s="1"/>
  <c r="N383" i="6" s="1"/>
  <c r="N470" i="6" s="1"/>
  <c r="E70" i="4"/>
  <c r="N33" i="6" s="1" a="1"/>
  <c r="N33" i="6" s="1"/>
  <c r="N120" i="6" s="1"/>
  <c r="N207" i="6" s="1"/>
  <c r="N294" i="6" s="1"/>
  <c r="N381" i="6" s="1"/>
  <c r="N468" i="6" s="1"/>
  <c r="E68" i="4"/>
  <c r="N31" i="6" s="1" a="1"/>
  <c r="N31" i="6" s="1"/>
  <c r="N118" i="6" s="1"/>
  <c r="N205" i="6" s="1"/>
  <c r="N292" i="6" s="1"/>
  <c r="N379" i="6" s="1"/>
  <c r="N466" i="6" s="1"/>
  <c r="E66" i="4"/>
  <c r="N29" i="6" s="1" a="1"/>
  <c r="N29" i="6" s="1"/>
  <c r="N116" i="6" s="1"/>
  <c r="N203" i="6" s="1"/>
  <c r="N290" i="6" s="1"/>
  <c r="N377" i="6" s="1"/>
  <c r="N464" i="6" s="1"/>
  <c r="E64" i="4"/>
  <c r="N27" i="6" s="1" a="1"/>
  <c r="N27" i="6" s="1"/>
  <c r="N114" i="6" s="1"/>
  <c r="N201" i="6" s="1"/>
  <c r="N288" i="6" s="1"/>
  <c r="N375" i="6" s="1"/>
  <c r="N462" i="6" s="1"/>
  <c r="E62" i="4"/>
  <c r="N25" i="6" s="1" a="1"/>
  <c r="N25" i="6" s="1"/>
  <c r="N112" i="6" s="1"/>
  <c r="N199" i="6" s="1"/>
  <c r="N286" i="6" s="1"/>
  <c r="N373" i="6" s="1"/>
  <c r="N460" i="6" s="1"/>
  <c r="E60" i="4"/>
  <c r="N23" i="6" s="1" a="1"/>
  <c r="N23" i="6" s="1"/>
  <c r="N110" i="6" s="1"/>
  <c r="N197" i="6" s="1"/>
  <c r="N284" i="6" s="1"/>
  <c r="N371" i="6" s="1"/>
  <c r="N458" i="6" s="1"/>
  <c r="E58" i="4"/>
  <c r="N21" i="6" s="1" a="1"/>
  <c r="N21" i="6" s="1"/>
  <c r="N108" i="6" s="1"/>
  <c r="N195" i="6" s="1"/>
  <c r="N282" i="6" s="1"/>
  <c r="N369" i="6" s="1"/>
  <c r="N456" i="6" s="1"/>
  <c r="E56" i="4"/>
  <c r="N19" i="6" s="1" a="1"/>
  <c r="N19" i="6" s="1"/>
  <c r="N106" i="6" s="1"/>
  <c r="N193" i="6" s="1"/>
  <c r="N280" i="6" s="1"/>
  <c r="N367" i="6" s="1"/>
  <c r="N454" i="6" s="1"/>
  <c r="E54" i="4"/>
  <c r="N17" i="6" s="1" a="1"/>
  <c r="N17" i="6" s="1"/>
  <c r="N104" i="6" s="1"/>
  <c r="N191" i="6" s="1"/>
  <c r="N278" i="6" s="1"/>
  <c r="N365" i="6" s="1"/>
  <c r="N452" i="6" s="1"/>
  <c r="E52" i="4"/>
  <c r="N15" i="6" s="1" a="1"/>
  <c r="N15" i="6" s="1"/>
  <c r="N102" i="6" s="1"/>
  <c r="N189" i="6" s="1"/>
  <c r="N276" i="6" s="1"/>
  <c r="N363" i="6" s="1"/>
  <c r="N450" i="6" s="1"/>
  <c r="E50" i="4"/>
  <c r="N13" i="6" s="1" a="1"/>
  <c r="N13" i="6" s="1"/>
  <c r="N100" i="6" s="1"/>
  <c r="N187" i="6" s="1"/>
  <c r="N274" i="6" s="1"/>
  <c r="N361" i="6" s="1"/>
  <c r="N448" i="6" s="1"/>
  <c r="E48" i="4"/>
  <c r="N11" i="6" s="1" a="1"/>
  <c r="N11" i="6" s="1"/>
  <c r="N98" i="6" s="1"/>
  <c r="N185" i="6" s="1"/>
  <c r="N272" i="6" s="1"/>
  <c r="N359" i="6" s="1"/>
  <c r="N446" i="6" s="1"/>
  <c r="E46" i="4"/>
  <c r="E44" i="4"/>
  <c r="E42" i="4"/>
  <c r="E40" i="4"/>
  <c r="E38" i="4"/>
  <c r="E36" i="4"/>
  <c r="E34" i="4"/>
  <c r="E32" i="4"/>
  <c r="E30" i="4"/>
  <c r="E28" i="4"/>
  <c r="G26" i="4"/>
  <c r="F25" i="4"/>
  <c r="E24" i="4"/>
  <c r="G22" i="4"/>
  <c r="F21" i="4"/>
  <c r="E20" i="4"/>
  <c r="G18" i="4"/>
  <c r="F17" i="4"/>
  <c r="E16" i="4"/>
  <c r="G14" i="4"/>
  <c r="F13" i="4"/>
  <c r="E12" i="4"/>
  <c r="G10" i="4"/>
  <c r="F9" i="4"/>
  <c r="E8" i="4"/>
  <c r="G6" i="4"/>
  <c r="F5" i="4"/>
  <c r="E4" i="4"/>
  <c r="F71" i="4"/>
  <c r="F67" i="4"/>
  <c r="F63" i="4"/>
  <c r="F59" i="4"/>
  <c r="M21" i="3" s="1" a="1"/>
  <c r="M21" i="3" s="1"/>
  <c r="M52" i="3" s="1"/>
  <c r="M83" i="3" s="1"/>
  <c r="M114" i="3" s="1"/>
  <c r="M145" i="3" s="1"/>
  <c r="M176" i="3" s="1"/>
  <c r="F55" i="4"/>
  <c r="M17" i="3" s="1" a="1"/>
  <c r="M17" i="3" s="1"/>
  <c r="M48" i="3" s="1"/>
  <c r="M79" i="3" s="1"/>
  <c r="M110" i="3" s="1"/>
  <c r="M141" i="3" s="1"/>
  <c r="M172" i="3" s="1"/>
  <c r="F51" i="4"/>
  <c r="F47" i="4"/>
  <c r="M9" i="3" s="1" a="1"/>
  <c r="M9" i="3" s="1"/>
  <c r="M40" i="3" s="1"/>
  <c r="M71" i="3" s="1"/>
  <c r="M102" i="3" s="1"/>
  <c r="M133" i="3" s="1"/>
  <c r="M164" i="3" s="1"/>
  <c r="F43" i="4"/>
  <c r="F39" i="4"/>
  <c r="F35" i="4"/>
  <c r="N44" i="6" a="1"/>
  <c r="N44" i="6" s="1"/>
  <c r="N131" i="6" s="1"/>
  <c r="N218" i="6" s="1"/>
  <c r="N305" i="6" s="1"/>
  <c r="N392" i="6" s="1"/>
  <c r="N479" i="6" s="1"/>
  <c r="N56" i="6" a="1"/>
  <c r="N56" i="6" s="1"/>
  <c r="N143" i="6" s="1"/>
  <c r="N230" i="6" s="1"/>
  <c r="N317" i="6" s="1"/>
  <c r="N404" i="6" s="1"/>
  <c r="N491" i="6" s="1"/>
  <c r="N72" i="6" a="1"/>
  <c r="N72" i="6" s="1"/>
  <c r="N159" i="6" s="1"/>
  <c r="N246" i="6" s="1"/>
  <c r="N333" i="6" s="1"/>
  <c r="N420" i="6" s="1"/>
  <c r="N507" i="6" s="1"/>
  <c r="N76" i="6" a="1"/>
  <c r="N76" i="6" s="1"/>
  <c r="N163" i="6" s="1"/>
  <c r="N250" i="6" s="1"/>
  <c r="N337" i="6" s="1"/>
  <c r="N424" i="6" s="1"/>
  <c r="N511" i="6" s="1"/>
  <c r="N37" i="6" a="1"/>
  <c r="N37" i="6" s="1"/>
  <c r="N124" i="6" s="1"/>
  <c r="N211" i="6" s="1"/>
  <c r="N298" i="6" s="1"/>
  <c r="N385" i="6" s="1"/>
  <c r="N472" i="6" s="1"/>
  <c r="N41" i="6" a="1"/>
  <c r="N41" i="6" s="1"/>
  <c r="N128" i="6" s="1"/>
  <c r="N215" i="6" s="1"/>
  <c r="N302" i="6" s="1"/>
  <c r="N389" i="6" s="1"/>
  <c r="N476" i="6" s="1"/>
  <c r="N53" i="6" a="1"/>
  <c r="N53" i="6" s="1"/>
  <c r="N140" i="6" s="1"/>
  <c r="N227" i="6" s="1"/>
  <c r="N314" i="6" s="1"/>
  <c r="N401" i="6" s="1"/>
  <c r="N488" i="6" s="1"/>
  <c r="N57" i="6" a="1"/>
  <c r="N57" i="6" s="1"/>
  <c r="N144" i="6" s="1"/>
  <c r="N231" i="6" s="1"/>
  <c r="N318" i="6" s="1"/>
  <c r="N405" i="6" s="1"/>
  <c r="N492" i="6" s="1"/>
  <c r="N69" i="6" a="1"/>
  <c r="N69" i="6" s="1"/>
  <c r="N156" i="6" s="1"/>
  <c r="N243" i="6" s="1"/>
  <c r="N330" i="6" s="1"/>
  <c r="N417" i="6" s="1"/>
  <c r="N504" i="6" s="1"/>
  <c r="N73" i="6" a="1"/>
  <c r="N73" i="6" s="1"/>
  <c r="N160" i="6" s="1"/>
  <c r="N247" i="6" s="1"/>
  <c r="N334" i="6" s="1"/>
  <c r="N421" i="6" s="1"/>
  <c r="N508" i="6" s="1"/>
  <c r="F116" i="4"/>
  <c r="F104" i="4"/>
  <c r="F88" i="4"/>
  <c r="N54" i="6" a="1"/>
  <c r="N54" i="6" s="1"/>
  <c r="N141" i="6" s="1"/>
  <c r="N228" i="6" s="1"/>
  <c r="N315" i="6" s="1"/>
  <c r="N402" i="6" s="1"/>
  <c r="N489" i="6" s="1"/>
  <c r="N58" i="6" a="1"/>
  <c r="N58" i="6" s="1"/>
  <c r="N145" i="6" s="1"/>
  <c r="N232" i="6" s="1"/>
  <c r="N319" i="6" s="1"/>
  <c r="N406" i="6" s="1"/>
  <c r="N493" i="6" s="1"/>
  <c r="N66" i="6" a="1"/>
  <c r="N66" i="6" s="1"/>
  <c r="N153" i="6" s="1"/>
  <c r="N240" i="6" s="1"/>
  <c r="N327" i="6" s="1"/>
  <c r="N414" i="6" s="1"/>
  <c r="N501" i="6" s="1"/>
  <c r="F8" i="3" a="1"/>
  <c r="F8" i="3" s="1"/>
  <c r="G8" i="3" s="1"/>
  <c r="X8" i="3" s="1"/>
  <c r="F26" i="3" a="1"/>
  <c r="F26" i="3" s="1"/>
  <c r="G26" i="3" s="1"/>
  <c r="F22" i="3" a="1"/>
  <c r="F22" i="3" s="1"/>
  <c r="G22" i="3" s="1"/>
  <c r="F18" i="3" a="1"/>
  <c r="F18" i="3" s="1"/>
  <c r="G18" i="3" s="1"/>
  <c r="F14" i="3" a="1"/>
  <c r="F14" i="3" s="1"/>
  <c r="G14" i="3" s="1"/>
  <c r="F39" i="3" a="1"/>
  <c r="F39" i="3" s="1"/>
  <c r="W39" i="3" s="1"/>
  <c r="F57" i="3" a="1"/>
  <c r="F57" i="3" s="1"/>
  <c r="G57" i="3" s="1"/>
  <c r="F53" i="3" a="1"/>
  <c r="F53" i="3" s="1"/>
  <c r="G53" i="3" s="1"/>
  <c r="F49" i="3" a="1"/>
  <c r="F49" i="3" s="1"/>
  <c r="G49" i="3" s="1"/>
  <c r="F45" i="3" a="1"/>
  <c r="F45" i="3" s="1"/>
  <c r="G45" i="3" s="1"/>
  <c r="F70" i="3" a="1"/>
  <c r="F70" i="3" s="1"/>
  <c r="G70" i="3" s="1"/>
  <c r="X70" i="3" s="1"/>
  <c r="F88" i="3" a="1"/>
  <c r="F88" i="3" s="1"/>
  <c r="G88" i="3" s="1"/>
  <c r="F84" i="3" a="1"/>
  <c r="F84" i="3" s="1"/>
  <c r="G84" i="3" s="1"/>
  <c r="F80" i="3" a="1"/>
  <c r="F80" i="3" s="1"/>
  <c r="G80" i="3" s="1"/>
  <c r="F76" i="3" a="1"/>
  <c r="F76" i="3" s="1"/>
  <c r="G76" i="3" s="1"/>
  <c r="F101" i="3" a="1"/>
  <c r="F101" i="3" s="1"/>
  <c r="G101" i="3" s="1"/>
  <c r="X101" i="3" s="1"/>
  <c r="F119" i="3" a="1"/>
  <c r="F119" i="3" s="1"/>
  <c r="G119" i="3" s="1"/>
  <c r="F115" i="3" a="1"/>
  <c r="F115" i="3" s="1"/>
  <c r="G115" i="3" s="1"/>
  <c r="F111" i="3" a="1"/>
  <c r="F111" i="3" s="1"/>
  <c r="G111" i="3" s="1"/>
  <c r="F107" i="3" a="1"/>
  <c r="F107" i="3" s="1"/>
  <c r="G107" i="3" s="1"/>
  <c r="F132" i="3" a="1"/>
  <c r="F132" i="3" s="1"/>
  <c r="W132" i="3" s="1"/>
  <c r="F150" i="3" a="1"/>
  <c r="F150" i="3" s="1"/>
  <c r="G150" i="3" s="1"/>
  <c r="F146" i="3" a="1"/>
  <c r="F146" i="3" s="1"/>
  <c r="G146" i="3" s="1"/>
  <c r="F142" i="3" a="1"/>
  <c r="F142" i="3" s="1"/>
  <c r="G142" i="3" s="1"/>
  <c r="F138" i="3" a="1"/>
  <c r="F138" i="3" s="1"/>
  <c r="G138" i="3" s="1"/>
  <c r="F163" i="3" a="1"/>
  <c r="F163" i="3" s="1"/>
  <c r="W163" i="3" s="1"/>
  <c r="F181" i="3" a="1"/>
  <c r="F181" i="3" s="1"/>
  <c r="G181" i="3" s="1"/>
  <c r="F177" i="3" a="1"/>
  <c r="F177" i="3" s="1"/>
  <c r="G177" i="3" s="1"/>
  <c r="F173" i="3" a="1"/>
  <c r="F173" i="3" s="1"/>
  <c r="G173" i="3" s="1"/>
  <c r="F169" i="3" a="1"/>
  <c r="F169" i="3" s="1"/>
  <c r="G169" i="3" s="1"/>
  <c r="F10" i="3" a="1"/>
  <c r="F10" i="3" s="1"/>
  <c r="G10" i="3" s="1"/>
  <c r="F25" i="3" a="1"/>
  <c r="F25" i="3" s="1"/>
  <c r="G25" i="3" s="1"/>
  <c r="F21" i="3" a="1"/>
  <c r="F21" i="3" s="1"/>
  <c r="G21" i="3" s="1"/>
  <c r="F17" i="3" a="1"/>
  <c r="F17" i="3" s="1"/>
  <c r="G17" i="3" s="1"/>
  <c r="F13" i="3" a="1"/>
  <c r="F13" i="3" s="1"/>
  <c r="G13" i="3" s="1"/>
  <c r="F41" i="3" a="1"/>
  <c r="F41" i="3" s="1"/>
  <c r="G41" i="3" s="1"/>
  <c r="F56" i="3" a="1"/>
  <c r="F56" i="3" s="1"/>
  <c r="G56" i="3" s="1"/>
  <c r="F52" i="3" a="1"/>
  <c r="F52" i="3" s="1"/>
  <c r="G52" i="3" s="1"/>
  <c r="F48" i="3" a="1"/>
  <c r="F48" i="3" s="1"/>
  <c r="G48" i="3" s="1"/>
  <c r="F44" i="3" a="1"/>
  <c r="F44" i="3" s="1"/>
  <c r="G44" i="3" s="1"/>
  <c r="F72" i="3" a="1"/>
  <c r="F72" i="3" s="1"/>
  <c r="G72" i="3" s="1"/>
  <c r="F87" i="3" a="1"/>
  <c r="F87" i="3" s="1"/>
  <c r="G87" i="3" s="1"/>
  <c r="F83" i="3" a="1"/>
  <c r="F83" i="3" s="1"/>
  <c r="G83" i="3" s="1"/>
  <c r="F79" i="3" a="1"/>
  <c r="F79" i="3" s="1"/>
  <c r="G79" i="3" s="1"/>
  <c r="F75" i="3" a="1"/>
  <c r="F75" i="3" s="1"/>
  <c r="G75" i="3" s="1"/>
  <c r="F103" i="3" a="1"/>
  <c r="F103" i="3" s="1"/>
  <c r="G103" i="3" s="1"/>
  <c r="F118" i="3" a="1"/>
  <c r="F118" i="3" s="1"/>
  <c r="G118" i="3" s="1"/>
  <c r="F114" i="3" a="1"/>
  <c r="F114" i="3" s="1"/>
  <c r="G114" i="3" s="1"/>
  <c r="F110" i="3" a="1"/>
  <c r="F110" i="3" s="1"/>
  <c r="G110" i="3" s="1"/>
  <c r="F106" i="3" a="1"/>
  <c r="F106" i="3" s="1"/>
  <c r="G106" i="3" s="1"/>
  <c r="F134" i="3" a="1"/>
  <c r="F134" i="3" s="1"/>
  <c r="G134" i="3" s="1"/>
  <c r="F149" i="3" a="1"/>
  <c r="F149" i="3" s="1"/>
  <c r="G149" i="3" s="1"/>
  <c r="F145" i="3" a="1"/>
  <c r="F145" i="3" s="1"/>
  <c r="G145" i="3" s="1"/>
  <c r="F141" i="3" a="1"/>
  <c r="F141" i="3" s="1"/>
  <c r="G141" i="3" s="1"/>
  <c r="F137" i="3" a="1"/>
  <c r="F137" i="3" s="1"/>
  <c r="G137" i="3" s="1"/>
  <c r="F165" i="3" a="1"/>
  <c r="F165" i="3" s="1"/>
  <c r="G165" i="3" s="1"/>
  <c r="F180" i="3" a="1"/>
  <c r="F180" i="3" s="1"/>
  <c r="G180" i="3" s="1"/>
  <c r="F176" i="3" a="1"/>
  <c r="F176" i="3" s="1"/>
  <c r="G176" i="3" s="1"/>
  <c r="F172" i="3" a="1"/>
  <c r="F172" i="3" s="1"/>
  <c r="G172" i="3" s="1"/>
  <c r="F168" i="3" a="1"/>
  <c r="F168" i="3" s="1"/>
  <c r="G168" i="3" s="1"/>
  <c r="F28" i="3" a="1"/>
  <c r="F28" i="3" s="1"/>
  <c r="G28" i="3" s="1"/>
  <c r="F24" i="3" a="1"/>
  <c r="F24" i="3" s="1"/>
  <c r="G24" i="3" s="1"/>
  <c r="F20" i="3" a="1"/>
  <c r="F20" i="3" s="1"/>
  <c r="G20" i="3" s="1"/>
  <c r="F16" i="3" a="1"/>
  <c r="F16" i="3" s="1"/>
  <c r="G16" i="3" s="1"/>
  <c r="F12" i="3" a="1"/>
  <c r="F12" i="3" s="1"/>
  <c r="G12" i="3" s="1"/>
  <c r="F59" i="3" a="1"/>
  <c r="F59" i="3" s="1"/>
  <c r="G59" i="3" s="1"/>
  <c r="F55" i="3" a="1"/>
  <c r="F55" i="3" s="1"/>
  <c r="G55" i="3" s="1"/>
  <c r="F51" i="3" a="1"/>
  <c r="F51" i="3" s="1"/>
  <c r="G51" i="3" s="1"/>
  <c r="F47" i="3" a="1"/>
  <c r="F47" i="3" s="1"/>
  <c r="G47" i="3" s="1"/>
  <c r="F43" i="3" a="1"/>
  <c r="F43" i="3" s="1"/>
  <c r="G43" i="3" s="1"/>
  <c r="F90" i="3" a="1"/>
  <c r="F90" i="3" s="1"/>
  <c r="G90" i="3" s="1"/>
  <c r="F86" i="3" a="1"/>
  <c r="F86" i="3" s="1"/>
  <c r="G86" i="3" s="1"/>
  <c r="F82" i="3" a="1"/>
  <c r="F82" i="3" s="1"/>
  <c r="G82" i="3" s="1"/>
  <c r="F78" i="3" a="1"/>
  <c r="F78" i="3" s="1"/>
  <c r="G78" i="3" s="1"/>
  <c r="F74" i="3" a="1"/>
  <c r="F74" i="3" s="1"/>
  <c r="G74" i="3" s="1"/>
  <c r="F121" i="3" a="1"/>
  <c r="F121" i="3" s="1"/>
  <c r="G121" i="3" s="1"/>
  <c r="F117" i="3" a="1"/>
  <c r="F117" i="3" s="1"/>
  <c r="G117" i="3" s="1"/>
  <c r="F113" i="3" a="1"/>
  <c r="F113" i="3" s="1"/>
  <c r="G113" i="3" s="1"/>
  <c r="F109" i="3" a="1"/>
  <c r="F109" i="3" s="1"/>
  <c r="G109" i="3" s="1"/>
  <c r="F105" i="3" a="1"/>
  <c r="F105" i="3" s="1"/>
  <c r="G105" i="3" s="1"/>
  <c r="F152" i="3" a="1"/>
  <c r="F152" i="3" s="1"/>
  <c r="G152" i="3" s="1"/>
  <c r="F148" i="3" a="1"/>
  <c r="F148" i="3" s="1"/>
  <c r="G148" i="3" s="1"/>
  <c r="F144" i="3" a="1"/>
  <c r="F144" i="3" s="1"/>
  <c r="G144" i="3" s="1"/>
  <c r="F140" i="3" a="1"/>
  <c r="F140" i="3" s="1"/>
  <c r="G140" i="3" s="1"/>
  <c r="F136" i="3" a="1"/>
  <c r="F136" i="3" s="1"/>
  <c r="G136" i="3" s="1"/>
  <c r="F183" i="3" a="1"/>
  <c r="F183" i="3" s="1"/>
  <c r="G183" i="3" s="1"/>
  <c r="F179" i="3" a="1"/>
  <c r="F179" i="3" s="1"/>
  <c r="G179" i="3" s="1"/>
  <c r="F175" i="3" a="1"/>
  <c r="F175" i="3" s="1"/>
  <c r="G175" i="3" s="1"/>
  <c r="F171" i="3" a="1"/>
  <c r="F171" i="3" s="1"/>
  <c r="G171" i="3" s="1"/>
  <c r="F167" i="3" a="1"/>
  <c r="F167" i="3" s="1"/>
  <c r="G167" i="3" s="1"/>
  <c r="F27" i="3" a="1"/>
  <c r="F27" i="3" s="1"/>
  <c r="G27" i="3" s="1"/>
  <c r="F23" i="3" a="1"/>
  <c r="F23" i="3" s="1"/>
  <c r="G23" i="3" s="1"/>
  <c r="F19" i="3" a="1"/>
  <c r="F19" i="3" s="1"/>
  <c r="G19" i="3" s="1"/>
  <c r="F15" i="3" a="1"/>
  <c r="F15" i="3" s="1"/>
  <c r="G15" i="3" s="1"/>
  <c r="F11" i="3" a="1"/>
  <c r="F11" i="3" s="1"/>
  <c r="G11" i="3" s="1"/>
  <c r="F58" i="3" a="1"/>
  <c r="F58" i="3" s="1"/>
  <c r="G58" i="3" s="1"/>
  <c r="F54" i="3" a="1"/>
  <c r="F54" i="3" s="1"/>
  <c r="G54" i="3" s="1"/>
  <c r="F50" i="3" a="1"/>
  <c r="F50" i="3" s="1"/>
  <c r="G50" i="3" s="1"/>
  <c r="F46" i="3" a="1"/>
  <c r="F46" i="3" s="1"/>
  <c r="G46" i="3" s="1"/>
  <c r="F42" i="3" a="1"/>
  <c r="F42" i="3" s="1"/>
  <c r="G42" i="3" s="1"/>
  <c r="F89" i="3" a="1"/>
  <c r="F89" i="3" s="1"/>
  <c r="G89" i="3" s="1"/>
  <c r="F85" i="3" a="1"/>
  <c r="F85" i="3" s="1"/>
  <c r="G85" i="3" s="1"/>
  <c r="F81" i="3" a="1"/>
  <c r="F81" i="3" s="1"/>
  <c r="G81" i="3" s="1"/>
  <c r="F77" i="3" a="1"/>
  <c r="F77" i="3" s="1"/>
  <c r="G77" i="3" s="1"/>
  <c r="F73" i="3" a="1"/>
  <c r="F73" i="3" s="1"/>
  <c r="G73" i="3" s="1"/>
  <c r="F120" i="3" a="1"/>
  <c r="F120" i="3" s="1"/>
  <c r="G120" i="3" s="1"/>
  <c r="F116" i="3" a="1"/>
  <c r="F116" i="3" s="1"/>
  <c r="G116" i="3" s="1"/>
  <c r="F112" i="3" a="1"/>
  <c r="F112" i="3" s="1"/>
  <c r="G112" i="3" s="1"/>
  <c r="F108" i="3" a="1"/>
  <c r="F108" i="3" s="1"/>
  <c r="G108" i="3" s="1"/>
  <c r="F104" i="3" a="1"/>
  <c r="F104" i="3" s="1"/>
  <c r="G104" i="3" s="1"/>
  <c r="F151" i="3" a="1"/>
  <c r="F151" i="3" s="1"/>
  <c r="G151" i="3" s="1"/>
  <c r="F147" i="3" a="1"/>
  <c r="F147" i="3" s="1"/>
  <c r="G147" i="3" s="1"/>
  <c r="F143" i="3" a="1"/>
  <c r="F143" i="3" s="1"/>
  <c r="G143" i="3" s="1"/>
  <c r="F139" i="3" a="1"/>
  <c r="F139" i="3" s="1"/>
  <c r="G139" i="3" s="1"/>
  <c r="F135" i="3" a="1"/>
  <c r="F135" i="3" s="1"/>
  <c r="G135" i="3" s="1"/>
  <c r="F182" i="3" a="1"/>
  <c r="F182" i="3" s="1"/>
  <c r="G182" i="3" s="1"/>
  <c r="F178" i="3" a="1"/>
  <c r="F178" i="3" s="1"/>
  <c r="G178" i="3" s="1"/>
  <c r="F174" i="3" a="1"/>
  <c r="F174" i="3" s="1"/>
  <c r="G174" i="3" s="1"/>
  <c r="F170" i="3" a="1"/>
  <c r="F170" i="3" s="1"/>
  <c r="G170" i="3" s="1"/>
  <c r="H270" i="6"/>
  <c r="X270" i="6" s="1"/>
  <c r="H183" i="6"/>
  <c r="X183" i="6" s="1"/>
  <c r="N22" i="7"/>
  <c r="N18" i="7"/>
  <c r="N14" i="7"/>
  <c r="N10" i="7"/>
  <c r="N21" i="7"/>
  <c r="N17" i="7"/>
  <c r="N13" i="7"/>
  <c r="N9" i="7"/>
  <c r="M18" i="7"/>
  <c r="M17" i="7"/>
  <c r="M16" i="7"/>
  <c r="M15" i="7"/>
  <c r="M9" i="7"/>
  <c r="M8" i="7"/>
  <c r="M7" i="7"/>
  <c r="L14" i="7"/>
  <c r="L13" i="7"/>
  <c r="L12" i="7"/>
  <c r="L11" i="7"/>
  <c r="L10" i="7"/>
  <c r="O10" i="7" s="1"/>
  <c r="L9" i="7"/>
  <c r="O9" i="7" s="1"/>
  <c r="L8" i="7"/>
  <c r="L7" i="7"/>
  <c r="L22" i="7"/>
  <c r="L21" i="7"/>
  <c r="L20" i="7"/>
  <c r="L19" i="7"/>
  <c r="L18" i="7"/>
  <c r="O18" i="7" s="1"/>
  <c r="L17" i="7"/>
  <c r="O17" i="7" s="1"/>
  <c r="L16" i="7"/>
  <c r="L15" i="7"/>
  <c r="V444" i="6"/>
  <c r="G444" i="6"/>
  <c r="W444" i="6" s="1"/>
  <c r="U444" i="6"/>
  <c r="X445" i="6"/>
  <c r="W445" i="6"/>
  <c r="V445" i="6"/>
  <c r="P445" i="6"/>
  <c r="M519" i="6"/>
  <c r="L519" i="6"/>
  <c r="V357" i="6"/>
  <c r="G357" i="6"/>
  <c r="W357" i="6" s="1"/>
  <c r="U357" i="6"/>
  <c r="X358" i="6"/>
  <c r="W358" i="6"/>
  <c r="V358" i="6"/>
  <c r="P358" i="6"/>
  <c r="M432" i="6"/>
  <c r="L432" i="6"/>
  <c r="V270" i="6"/>
  <c r="G270" i="6"/>
  <c r="W270" i="6" s="1"/>
  <c r="U270" i="6"/>
  <c r="X271" i="6"/>
  <c r="W271" i="6"/>
  <c r="V271" i="6"/>
  <c r="P271" i="6"/>
  <c r="M345" i="6"/>
  <c r="L345" i="6"/>
  <c r="V183" i="6"/>
  <c r="G183" i="6"/>
  <c r="W183" i="6" s="1"/>
  <c r="U183" i="6"/>
  <c r="X184" i="6"/>
  <c r="W184" i="6"/>
  <c r="V184" i="6"/>
  <c r="M258" i="6"/>
  <c r="L258" i="6"/>
  <c r="V96" i="6"/>
  <c r="G96" i="6"/>
  <c r="W96" i="6" s="1"/>
  <c r="U96" i="6"/>
  <c r="X97" i="6"/>
  <c r="W97" i="6"/>
  <c r="V97" i="6"/>
  <c r="P97" i="6"/>
  <c r="M171" i="6"/>
  <c r="L171" i="6"/>
  <c r="K2" i="7"/>
  <c r="F11" i="7"/>
  <c r="G11" i="7" s="1"/>
  <c r="F10" i="7"/>
  <c r="G10" i="7" s="1"/>
  <c r="U9" i="6"/>
  <c r="M84" i="6"/>
  <c r="L84" i="6"/>
  <c r="V9" i="6"/>
  <c r="W9" i="6"/>
  <c r="O10" i="6"/>
  <c r="L163" i="3"/>
  <c r="V163" i="3" s="1"/>
  <c r="K163" i="3"/>
  <c r="U163" i="3" s="1"/>
  <c r="O164" i="3"/>
  <c r="AB164" i="3"/>
  <c r="L164" i="3"/>
  <c r="K164" i="3"/>
  <c r="AB165" i="3"/>
  <c r="L165" i="3"/>
  <c r="K165" i="3"/>
  <c r="L166" i="3"/>
  <c r="K166" i="3"/>
  <c r="L167" i="3"/>
  <c r="K167" i="3"/>
  <c r="L168" i="3"/>
  <c r="K168" i="3"/>
  <c r="L169" i="3"/>
  <c r="K169" i="3"/>
  <c r="L170" i="3"/>
  <c r="K170" i="3"/>
  <c r="L171" i="3"/>
  <c r="K171" i="3"/>
  <c r="L172" i="3"/>
  <c r="K172" i="3"/>
  <c r="L173" i="3"/>
  <c r="K173" i="3"/>
  <c r="L174" i="3"/>
  <c r="K174" i="3"/>
  <c r="L175" i="3"/>
  <c r="K175" i="3"/>
  <c r="L176" i="3"/>
  <c r="K176" i="3"/>
  <c r="L177" i="3"/>
  <c r="K177" i="3"/>
  <c r="L178" i="3"/>
  <c r="K178" i="3"/>
  <c r="L179" i="3"/>
  <c r="K179" i="3"/>
  <c r="L180" i="3"/>
  <c r="K180" i="3"/>
  <c r="L181" i="3"/>
  <c r="K181" i="3"/>
  <c r="L182" i="3"/>
  <c r="K182" i="3"/>
  <c r="K183" i="3"/>
  <c r="L132" i="3"/>
  <c r="V132" i="3" s="1"/>
  <c r="K132" i="3"/>
  <c r="U132" i="3" s="1"/>
  <c r="O133" i="3"/>
  <c r="AB133" i="3"/>
  <c r="L133" i="3"/>
  <c r="K133" i="3"/>
  <c r="AB134" i="3"/>
  <c r="L134" i="3"/>
  <c r="K134" i="3"/>
  <c r="L135" i="3"/>
  <c r="K135" i="3"/>
  <c r="L136" i="3"/>
  <c r="K136" i="3"/>
  <c r="L137" i="3"/>
  <c r="K137" i="3"/>
  <c r="L138" i="3"/>
  <c r="K138" i="3"/>
  <c r="L139" i="3"/>
  <c r="K139" i="3"/>
  <c r="L140" i="3"/>
  <c r="K140" i="3"/>
  <c r="L141" i="3"/>
  <c r="K141" i="3"/>
  <c r="L142" i="3"/>
  <c r="K142" i="3"/>
  <c r="L143" i="3"/>
  <c r="K143" i="3"/>
  <c r="L144" i="3"/>
  <c r="K144" i="3"/>
  <c r="L145" i="3"/>
  <c r="K145" i="3"/>
  <c r="L146" i="3"/>
  <c r="K146" i="3"/>
  <c r="L147" i="3"/>
  <c r="K147" i="3"/>
  <c r="L148" i="3"/>
  <c r="K148" i="3"/>
  <c r="L149" i="3"/>
  <c r="K149" i="3"/>
  <c r="L150" i="3"/>
  <c r="K150" i="3"/>
  <c r="L151" i="3"/>
  <c r="K151" i="3"/>
  <c r="K152" i="3"/>
  <c r="L101" i="3"/>
  <c r="V101" i="3" s="1"/>
  <c r="K101" i="3"/>
  <c r="U101" i="3" s="1"/>
  <c r="O102" i="3"/>
  <c r="AB102" i="3"/>
  <c r="L102" i="3"/>
  <c r="K102" i="3"/>
  <c r="AB103" i="3"/>
  <c r="L103" i="3"/>
  <c r="K103" i="3"/>
  <c r="L104" i="3"/>
  <c r="K104" i="3"/>
  <c r="L105" i="3"/>
  <c r="K105" i="3"/>
  <c r="L106" i="3"/>
  <c r="K106" i="3"/>
  <c r="L107" i="3"/>
  <c r="K107" i="3"/>
  <c r="L108" i="3"/>
  <c r="K108" i="3"/>
  <c r="L109" i="3"/>
  <c r="K109" i="3"/>
  <c r="L110" i="3"/>
  <c r="K110" i="3"/>
  <c r="L111" i="3"/>
  <c r="K111" i="3"/>
  <c r="L112" i="3"/>
  <c r="K112" i="3"/>
  <c r="L113" i="3"/>
  <c r="K113" i="3"/>
  <c r="L114" i="3"/>
  <c r="K114" i="3"/>
  <c r="L115" i="3"/>
  <c r="K115" i="3"/>
  <c r="L116" i="3"/>
  <c r="K116" i="3"/>
  <c r="L117" i="3"/>
  <c r="K117" i="3"/>
  <c r="L118" i="3"/>
  <c r="K118" i="3"/>
  <c r="L119" i="3"/>
  <c r="K119" i="3"/>
  <c r="L120" i="3"/>
  <c r="K120" i="3"/>
  <c r="K121" i="3"/>
  <c r="L70" i="3"/>
  <c r="V70" i="3" s="1"/>
  <c r="K70" i="3"/>
  <c r="U70" i="3" s="1"/>
  <c r="O71" i="3"/>
  <c r="AB71" i="3"/>
  <c r="L71" i="3"/>
  <c r="K71" i="3"/>
  <c r="AB72" i="3"/>
  <c r="L72" i="3"/>
  <c r="K72" i="3"/>
  <c r="L73" i="3"/>
  <c r="K73" i="3"/>
  <c r="L74" i="3"/>
  <c r="K74" i="3"/>
  <c r="L75" i="3"/>
  <c r="K75" i="3"/>
  <c r="L76" i="3"/>
  <c r="K76" i="3"/>
  <c r="L77" i="3"/>
  <c r="K77" i="3"/>
  <c r="L78" i="3"/>
  <c r="K78" i="3"/>
  <c r="L79" i="3"/>
  <c r="K79" i="3"/>
  <c r="L80" i="3"/>
  <c r="K80" i="3"/>
  <c r="L81" i="3"/>
  <c r="K81" i="3"/>
  <c r="L82" i="3"/>
  <c r="K82" i="3"/>
  <c r="L83" i="3"/>
  <c r="K83" i="3"/>
  <c r="L84" i="3"/>
  <c r="K84" i="3"/>
  <c r="L85" i="3"/>
  <c r="K85" i="3"/>
  <c r="L86" i="3"/>
  <c r="K86" i="3"/>
  <c r="L87" i="3"/>
  <c r="K87" i="3"/>
  <c r="L88" i="3"/>
  <c r="K88" i="3"/>
  <c r="L89" i="3"/>
  <c r="K89" i="3"/>
  <c r="K90" i="3"/>
  <c r="L39" i="3"/>
  <c r="V39" i="3" s="1"/>
  <c r="K39" i="3"/>
  <c r="U39" i="3" s="1"/>
  <c r="O40" i="3"/>
  <c r="AB40" i="3"/>
  <c r="L40" i="3"/>
  <c r="K40" i="3"/>
  <c r="AB41" i="3"/>
  <c r="L41" i="3"/>
  <c r="K41" i="3"/>
  <c r="L42" i="3"/>
  <c r="K42" i="3"/>
  <c r="L43" i="3"/>
  <c r="K43" i="3"/>
  <c r="L44" i="3"/>
  <c r="K44" i="3"/>
  <c r="L45" i="3"/>
  <c r="K45" i="3"/>
  <c r="L46" i="3"/>
  <c r="K46" i="3"/>
  <c r="L47" i="3"/>
  <c r="K47" i="3"/>
  <c r="L48" i="3"/>
  <c r="K48" i="3"/>
  <c r="L49" i="3"/>
  <c r="K49" i="3"/>
  <c r="L50" i="3"/>
  <c r="K50" i="3"/>
  <c r="L51" i="3"/>
  <c r="K51" i="3"/>
  <c r="L52" i="3"/>
  <c r="K52" i="3"/>
  <c r="L53" i="3"/>
  <c r="K53" i="3"/>
  <c r="L54" i="3"/>
  <c r="K54" i="3"/>
  <c r="L55" i="3"/>
  <c r="K55" i="3"/>
  <c r="L56" i="3"/>
  <c r="K56" i="3"/>
  <c r="L57" i="3"/>
  <c r="K57" i="3"/>
  <c r="L58" i="3"/>
  <c r="K58" i="3"/>
  <c r="K59" i="3"/>
  <c r="W9" i="3"/>
  <c r="X9" i="3"/>
  <c r="Y9" i="3"/>
  <c r="L8" i="3"/>
  <c r="V8" i="3" s="1"/>
  <c r="K8" i="3"/>
  <c r="U8" i="3" s="1"/>
  <c r="L27" i="3"/>
  <c r="K27" i="3"/>
  <c r="L26" i="3"/>
  <c r="K26" i="3"/>
  <c r="L25" i="3"/>
  <c r="K25" i="3"/>
  <c r="L24" i="3"/>
  <c r="K24" i="3"/>
  <c r="L23" i="3"/>
  <c r="K23" i="3"/>
  <c r="L22" i="3"/>
  <c r="K22" i="3"/>
  <c r="L21" i="3"/>
  <c r="K21" i="3"/>
  <c r="L20" i="3"/>
  <c r="K20" i="3"/>
  <c r="L19" i="3"/>
  <c r="K19" i="3"/>
  <c r="L18" i="3"/>
  <c r="K18" i="3"/>
  <c r="L17" i="3"/>
  <c r="K17" i="3"/>
  <c r="L16" i="3"/>
  <c r="K16" i="3"/>
  <c r="L15" i="3"/>
  <c r="K15" i="3"/>
  <c r="L14" i="3"/>
  <c r="K14" i="3"/>
  <c r="L13" i="3"/>
  <c r="K13" i="3"/>
  <c r="L12" i="3"/>
  <c r="K12" i="3"/>
  <c r="L11" i="3"/>
  <c r="K11" i="3"/>
  <c r="L10" i="3"/>
  <c r="K10" i="3"/>
  <c r="L9" i="3"/>
  <c r="K9" i="3"/>
  <c r="N40" i="6" l="1" a="1"/>
  <c r="N40" i="6" s="1"/>
  <c r="N127" i="6" s="1"/>
  <c r="N214" i="6" s="1"/>
  <c r="N301" i="6" s="1"/>
  <c r="N388" i="6" s="1"/>
  <c r="N475" i="6" s="1"/>
  <c r="M25" i="3" a="1"/>
  <c r="M25" i="3" s="1"/>
  <c r="M56" i="3" s="1"/>
  <c r="M87" i="3" s="1"/>
  <c r="M118" i="3" s="1"/>
  <c r="M149" i="3" s="1"/>
  <c r="M180" i="3" s="1"/>
  <c r="N82" i="6" a="1"/>
  <c r="N82" i="6" s="1"/>
  <c r="N169" i="6" s="1"/>
  <c r="N256" i="6" s="1"/>
  <c r="N343" i="6" s="1"/>
  <c r="N430" i="6" s="1"/>
  <c r="N517" i="6" s="1"/>
  <c r="AI10" i="6"/>
  <c r="AI97" i="6" s="1"/>
  <c r="AI184" i="6" s="1"/>
  <c r="AI271" i="6" s="1"/>
  <c r="AI358" i="6" s="1"/>
  <c r="AI445" i="6" s="1"/>
  <c r="P184" i="6"/>
  <c r="Y184" i="6" s="1"/>
  <c r="Z184" i="6" s="1"/>
  <c r="N61" i="6" a="1"/>
  <c r="N61" i="6" s="1"/>
  <c r="N148" i="6" s="1"/>
  <c r="N235" i="6" s="1"/>
  <c r="N322" i="6" s="1"/>
  <c r="N409" i="6" s="1"/>
  <c r="N496" i="6" s="1"/>
  <c r="N78" i="6" a="1"/>
  <c r="N78" i="6" s="1"/>
  <c r="N165" i="6" s="1"/>
  <c r="N252" i="6" s="1"/>
  <c r="N339" i="6" s="1"/>
  <c r="N426" i="6" s="1"/>
  <c r="N513" i="6" s="1"/>
  <c r="N50" i="6" a="1"/>
  <c r="N50" i="6" s="1"/>
  <c r="N137" i="6" s="1"/>
  <c r="N224" i="6" s="1"/>
  <c r="N311" i="6" s="1"/>
  <c r="N398" i="6" s="1"/>
  <c r="N485" i="6" s="1"/>
  <c r="N65" i="6" a="1"/>
  <c r="N65" i="6" s="1"/>
  <c r="N152" i="6" s="1"/>
  <c r="N239" i="6" s="1"/>
  <c r="N326" i="6" s="1"/>
  <c r="N413" i="6" s="1"/>
  <c r="N500" i="6" s="1"/>
  <c r="N46" i="6" a="1"/>
  <c r="N46" i="6" s="1"/>
  <c r="N133" i="6" s="1"/>
  <c r="N220" i="6" s="1"/>
  <c r="N307" i="6" s="1"/>
  <c r="N394" i="6" s="1"/>
  <c r="N481" i="6" s="1"/>
  <c r="N81" i="6" a="1"/>
  <c r="N81" i="6" s="1"/>
  <c r="N168" i="6" s="1"/>
  <c r="N255" i="6" s="1"/>
  <c r="N342" i="6" s="1"/>
  <c r="N429" i="6" s="1"/>
  <c r="N516" i="6" s="1"/>
  <c r="N62" i="6" a="1"/>
  <c r="N62" i="6" s="1"/>
  <c r="N149" i="6" s="1"/>
  <c r="N236" i="6" s="1"/>
  <c r="N323" i="6" s="1"/>
  <c r="N410" i="6" s="1"/>
  <c r="N497" i="6" s="1"/>
  <c r="F120" i="4"/>
  <c r="N60" i="6" a="1"/>
  <c r="N60" i="6" s="1"/>
  <c r="N147" i="6" s="1"/>
  <c r="N234" i="6" s="1"/>
  <c r="N321" i="6" s="1"/>
  <c r="N408" i="6" s="1"/>
  <c r="N495" i="6" s="1"/>
  <c r="M13" i="3" a="1"/>
  <c r="M13" i="3" s="1"/>
  <c r="M44" i="3" s="1"/>
  <c r="M75" i="3" s="1"/>
  <c r="M106" i="3" s="1"/>
  <c r="M137" i="3" s="1"/>
  <c r="M168" i="3" s="1"/>
  <c r="N49" i="6" a="1"/>
  <c r="N49" i="6" s="1"/>
  <c r="N136" i="6" s="1"/>
  <c r="N223" i="6" s="1"/>
  <c r="N310" i="6" s="1"/>
  <c r="N397" i="6" s="1"/>
  <c r="N484" i="6" s="1"/>
  <c r="N80" i="6" a="1"/>
  <c r="N80" i="6" s="1"/>
  <c r="N167" i="6" s="1"/>
  <c r="N254" i="6" s="1"/>
  <c r="N341" i="6" s="1"/>
  <c r="N428" i="6" s="1"/>
  <c r="N515" i="6" s="1"/>
  <c r="N77" i="6" a="1"/>
  <c r="N77" i="6" s="1"/>
  <c r="N164" i="6" s="1"/>
  <c r="N251" i="6" s="1"/>
  <c r="N338" i="6" s="1"/>
  <c r="N425" i="6" s="1"/>
  <c r="N512" i="6" s="1"/>
  <c r="N42" i="6" a="1"/>
  <c r="N42" i="6" s="1"/>
  <c r="N129" i="6" s="1"/>
  <c r="N216" i="6" s="1"/>
  <c r="N303" i="6" s="1"/>
  <c r="N390" i="6" s="1"/>
  <c r="N477" i="6" s="1"/>
  <c r="F108" i="4"/>
  <c r="N45" i="6" a="1"/>
  <c r="N45" i="6" s="1"/>
  <c r="N132" i="6" s="1"/>
  <c r="N219" i="6" s="1"/>
  <c r="N306" i="6" s="1"/>
  <c r="N393" i="6" s="1"/>
  <c r="N480" i="6" s="1"/>
  <c r="N48" i="6" a="1"/>
  <c r="N48" i="6" s="1"/>
  <c r="N135" i="6" s="1"/>
  <c r="N222" i="6" s="1"/>
  <c r="N309" i="6" s="1"/>
  <c r="N396" i="6" s="1"/>
  <c r="N483" i="6" s="1"/>
  <c r="N74" i="6" a="1"/>
  <c r="N74" i="6" s="1"/>
  <c r="N161" i="6" s="1"/>
  <c r="N248" i="6" s="1"/>
  <c r="N335" i="6" s="1"/>
  <c r="N422" i="6" s="1"/>
  <c r="N509" i="6" s="1"/>
  <c r="F84" i="4"/>
  <c r="F72" i="4"/>
  <c r="M10" i="3" a="1"/>
  <c r="M10" i="3" s="1"/>
  <c r="M41" i="3" s="1"/>
  <c r="M72" i="3" s="1"/>
  <c r="M103" i="3" s="1"/>
  <c r="M134" i="3" s="1"/>
  <c r="M165" i="3" s="1"/>
  <c r="M26" i="3" a="1"/>
  <c r="M26" i="3" s="1"/>
  <c r="M57" i="3" s="1"/>
  <c r="M88" i="3" s="1"/>
  <c r="M119" i="3" s="1"/>
  <c r="M150" i="3" s="1"/>
  <c r="M181" i="3" s="1"/>
  <c r="N70" i="6" a="1"/>
  <c r="N70" i="6" s="1"/>
  <c r="N157" i="6" s="1"/>
  <c r="N244" i="6" s="1"/>
  <c r="N331" i="6" s="1"/>
  <c r="N418" i="6" s="1"/>
  <c r="N505" i="6" s="1"/>
  <c r="N38" i="6" a="1"/>
  <c r="N38" i="6" s="1"/>
  <c r="N125" i="6" s="1"/>
  <c r="N212" i="6" s="1"/>
  <c r="N299" i="6" s="1"/>
  <c r="N386" i="6" s="1"/>
  <c r="N473" i="6" s="1"/>
  <c r="F100" i="4"/>
  <c r="N64" i="6" a="1"/>
  <c r="N64" i="6" s="1"/>
  <c r="N151" i="6" s="1"/>
  <c r="N238" i="6" s="1"/>
  <c r="N325" i="6" s="1"/>
  <c r="N412" i="6" s="1"/>
  <c r="N499" i="6" s="1"/>
  <c r="M23" i="3" a="1"/>
  <c r="M23" i="3" s="1"/>
  <c r="M54" i="3" s="1"/>
  <c r="M85" i="3" s="1"/>
  <c r="M116" i="3" s="1"/>
  <c r="M147" i="3" s="1"/>
  <c r="M178" i="3" s="1"/>
  <c r="M22" i="3" a="1"/>
  <c r="M22" i="3" s="1"/>
  <c r="M53" i="3" s="1"/>
  <c r="M84" i="3" s="1"/>
  <c r="M115" i="3" s="1"/>
  <c r="M146" i="3" s="1"/>
  <c r="M177" i="3" s="1"/>
  <c r="M16" i="3" a="1"/>
  <c r="M16" i="3" s="1"/>
  <c r="M47" i="3" s="1"/>
  <c r="M78" i="3" s="1"/>
  <c r="M109" i="3" s="1"/>
  <c r="M140" i="3" s="1"/>
  <c r="M171" i="3" s="1"/>
  <c r="M20" i="3" a="1"/>
  <c r="M20" i="3" s="1"/>
  <c r="M51" i="3" s="1"/>
  <c r="M82" i="3" s="1"/>
  <c r="M113" i="3" s="1"/>
  <c r="M144" i="3" s="1"/>
  <c r="M175" i="3" s="1"/>
  <c r="M24" i="3" a="1"/>
  <c r="M24" i="3" s="1"/>
  <c r="M55" i="3" s="1"/>
  <c r="M86" i="3" s="1"/>
  <c r="M117" i="3" s="1"/>
  <c r="M148" i="3" s="1"/>
  <c r="M179" i="3" s="1"/>
  <c r="M28" i="3" a="1"/>
  <c r="M28" i="3" s="1"/>
  <c r="M59" i="3" s="1"/>
  <c r="M90" i="3" s="1"/>
  <c r="M121" i="3" s="1"/>
  <c r="M152" i="3" s="1"/>
  <c r="M183" i="3" s="1"/>
  <c r="M27" i="3" a="1"/>
  <c r="M27" i="3" s="1"/>
  <c r="M58" i="3" s="1"/>
  <c r="M89" i="3" s="1"/>
  <c r="M120" i="3" s="1"/>
  <c r="M151" i="3" s="1"/>
  <c r="M182" i="3" s="1"/>
  <c r="M14" i="3" a="1"/>
  <c r="M14" i="3" s="1"/>
  <c r="M45" i="3" s="1"/>
  <c r="M76" i="3" s="1"/>
  <c r="M107" i="3" s="1"/>
  <c r="M138" i="3" s="1"/>
  <c r="M169" i="3" s="1"/>
  <c r="M11" i="3" a="1"/>
  <c r="M11" i="3" s="1"/>
  <c r="M42" i="3" s="1"/>
  <c r="M73" i="3" s="1"/>
  <c r="M104" i="3" s="1"/>
  <c r="M135" i="3" s="1"/>
  <c r="M166" i="3" s="1"/>
  <c r="M18" i="3" a="1"/>
  <c r="M18" i="3" s="1"/>
  <c r="M49" i="3" s="1"/>
  <c r="M80" i="3" s="1"/>
  <c r="M111" i="3" s="1"/>
  <c r="M142" i="3" s="1"/>
  <c r="M173" i="3" s="1"/>
  <c r="M15" i="3" a="1"/>
  <c r="M15" i="3" s="1"/>
  <c r="M46" i="3" s="1"/>
  <c r="M77" i="3" s="1"/>
  <c r="M108" i="3" s="1"/>
  <c r="M139" i="3" s="1"/>
  <c r="M170" i="3" s="1"/>
  <c r="M12" i="3" a="1"/>
  <c r="M12" i="3" s="1"/>
  <c r="M43" i="3" s="1"/>
  <c r="M74" i="3" s="1"/>
  <c r="M105" i="3" s="1"/>
  <c r="M136" i="3" s="1"/>
  <c r="M167" i="3" s="1"/>
  <c r="M19" i="3" a="1"/>
  <c r="M19" i="3" s="1"/>
  <c r="M50" i="3" s="1"/>
  <c r="M81" i="3" s="1"/>
  <c r="M112" i="3" s="1"/>
  <c r="M143" i="3" s="1"/>
  <c r="M174" i="3" s="1"/>
  <c r="P9" i="3"/>
  <c r="Z9" i="3" s="1"/>
  <c r="AA9" i="3" s="1"/>
  <c r="F92" i="4"/>
  <c r="F76" i="4"/>
  <c r="N84" i="6" a="1"/>
  <c r="N84" i="6" s="1"/>
  <c r="N171" i="6" s="1"/>
  <c r="N258" i="6" s="1"/>
  <c r="N345" i="6" s="1"/>
  <c r="N432" i="6" s="1"/>
  <c r="N519" i="6" s="1"/>
  <c r="F80" i="4"/>
  <c r="F96" i="4"/>
  <c r="F112" i="4"/>
  <c r="N68" i="6" a="1"/>
  <c r="N68" i="6" s="1"/>
  <c r="N155" i="6" s="1"/>
  <c r="N242" i="6" s="1"/>
  <c r="N329" i="6" s="1"/>
  <c r="N416" i="6" s="1"/>
  <c r="N503" i="6" s="1"/>
  <c r="N52" i="6" a="1"/>
  <c r="N52" i="6" s="1"/>
  <c r="N139" i="6" s="1"/>
  <c r="N226" i="6" s="1"/>
  <c r="N313" i="6" s="1"/>
  <c r="N400" i="6" s="1"/>
  <c r="N487" i="6" s="1"/>
  <c r="N36" i="6" a="1"/>
  <c r="N36" i="6" s="1"/>
  <c r="N123" i="6" s="1"/>
  <c r="N210" i="6" s="1"/>
  <c r="N297" i="6" s="1"/>
  <c r="N384" i="6" s="1"/>
  <c r="N471" i="6" s="1"/>
  <c r="W8" i="3"/>
  <c r="AA8" i="3" s="1"/>
  <c r="W101" i="3"/>
  <c r="AA101" i="3" s="1"/>
  <c r="G132" i="3"/>
  <c r="X132" i="3" s="1"/>
  <c r="AA132" i="3" s="1"/>
  <c r="W70" i="3"/>
  <c r="AA70" i="3" s="1"/>
  <c r="G39" i="3"/>
  <c r="X39" i="3" s="1"/>
  <c r="AA39" i="3" s="1"/>
  <c r="G163" i="3"/>
  <c r="X163" i="3" s="1"/>
  <c r="AA163" i="3" s="1"/>
  <c r="AH11" i="6"/>
  <c r="K4" i="7"/>
  <c r="N19" i="7"/>
  <c r="N15" i="7"/>
  <c r="N11" i="7"/>
  <c r="N7" i="7"/>
  <c r="N20" i="7"/>
  <c r="N16" i="7"/>
  <c r="N12" i="7"/>
  <c r="N8" i="7"/>
  <c r="O15" i="7"/>
  <c r="O16" i="7"/>
  <c r="O7" i="7"/>
  <c r="O8" i="7"/>
  <c r="Y445" i="6"/>
  <c r="Z445" i="6" s="1"/>
  <c r="Q445" i="6"/>
  <c r="S445" i="6"/>
  <c r="AD444" i="6"/>
  <c r="Z444" i="6"/>
  <c r="Y358" i="6"/>
  <c r="Z358" i="6" s="1"/>
  <c r="Q358" i="6"/>
  <c r="S358" i="6"/>
  <c r="AD357" i="6"/>
  <c r="Z357" i="6"/>
  <c r="Y271" i="6"/>
  <c r="Z271" i="6" s="1"/>
  <c r="Q271" i="6"/>
  <c r="S271" i="6"/>
  <c r="AD270" i="6"/>
  <c r="Z270" i="6"/>
  <c r="S184" i="6"/>
  <c r="AD183" i="6"/>
  <c r="Z183" i="6"/>
  <c r="Y97" i="6"/>
  <c r="Z97" i="6" s="1"/>
  <c r="Q97" i="6"/>
  <c r="S97" i="6"/>
  <c r="AD96" i="6"/>
  <c r="Z96" i="6"/>
  <c r="X10" i="6"/>
  <c r="W10" i="6"/>
  <c r="V10" i="6"/>
  <c r="P10" i="6"/>
  <c r="Z9" i="6"/>
  <c r="S164" i="3"/>
  <c r="AB163" i="3"/>
  <c r="T164" i="3"/>
  <c r="AE163" i="3"/>
  <c r="Y164" i="3"/>
  <c r="X164" i="3"/>
  <c r="W164" i="3"/>
  <c r="P164" i="3"/>
  <c r="S133" i="3"/>
  <c r="AB132" i="3"/>
  <c r="T133" i="3"/>
  <c r="AE132" i="3"/>
  <c r="Y133" i="3"/>
  <c r="X133" i="3"/>
  <c r="W133" i="3"/>
  <c r="P133" i="3"/>
  <c r="S102" i="3"/>
  <c r="AB101" i="3"/>
  <c r="T102" i="3"/>
  <c r="AE101" i="3"/>
  <c r="Y102" i="3"/>
  <c r="X102" i="3"/>
  <c r="W102" i="3"/>
  <c r="P102" i="3"/>
  <c r="S71" i="3"/>
  <c r="AB70" i="3"/>
  <c r="T71" i="3"/>
  <c r="AE70" i="3"/>
  <c r="Y71" i="3"/>
  <c r="X71" i="3"/>
  <c r="W71" i="3"/>
  <c r="P71" i="3"/>
  <c r="S40" i="3"/>
  <c r="AB39" i="3"/>
  <c r="T40" i="3"/>
  <c r="AE39" i="3"/>
  <c r="Y40" i="3"/>
  <c r="X40" i="3"/>
  <c r="W40" i="3"/>
  <c r="P40" i="3"/>
  <c r="AB8" i="3"/>
  <c r="S9" i="3"/>
  <c r="AE8" i="3"/>
  <c r="T9" i="3"/>
  <c r="Q184" i="6" l="1"/>
  <c r="U184" i="6" s="1"/>
  <c r="Q9" i="3"/>
  <c r="R9" i="3" s="1"/>
  <c r="U9" i="3" s="1"/>
  <c r="S10" i="3" s="1"/>
  <c r="AH98" i="6"/>
  <c r="AH185" i="6" s="1"/>
  <c r="AH272" i="6" s="1"/>
  <c r="AH359" i="6" s="1"/>
  <c r="AH446" i="6" s="1"/>
  <c r="AI11" i="6"/>
  <c r="O446" i="6"/>
  <c r="U445" i="6"/>
  <c r="O359" i="6"/>
  <c r="U358" i="6"/>
  <c r="O272" i="6"/>
  <c r="U271" i="6"/>
  <c r="O185" i="6"/>
  <c r="O98" i="6"/>
  <c r="U97" i="6"/>
  <c r="Y10" i="6"/>
  <c r="Q10" i="6"/>
  <c r="U10" i="6" s="1"/>
  <c r="AD163" i="3"/>
  <c r="Z164" i="3"/>
  <c r="AA164" i="3" s="1"/>
  <c r="Q164" i="3"/>
  <c r="R164" i="3" s="1"/>
  <c r="AC164" i="3"/>
  <c r="AD132" i="3"/>
  <c r="Z133" i="3"/>
  <c r="AA133" i="3" s="1"/>
  <c r="Q133" i="3"/>
  <c r="R133" i="3" s="1"/>
  <c r="AC133" i="3"/>
  <c r="AD101" i="3"/>
  <c r="Z102" i="3"/>
  <c r="AA102" i="3" s="1"/>
  <c r="Q102" i="3"/>
  <c r="R102" i="3" s="1"/>
  <c r="AC102" i="3"/>
  <c r="AD70" i="3"/>
  <c r="Z71" i="3"/>
  <c r="AA71" i="3" s="1"/>
  <c r="Q71" i="3"/>
  <c r="R71" i="3" s="1"/>
  <c r="AC71" i="3"/>
  <c r="AD39" i="3"/>
  <c r="Z40" i="3"/>
  <c r="AA40" i="3" s="1"/>
  <c r="Q40" i="3"/>
  <c r="R40" i="3" s="1"/>
  <c r="AC40" i="3"/>
  <c r="AC9" i="3"/>
  <c r="AD9" i="3" s="1"/>
  <c r="AD8" i="3"/>
  <c r="O10" i="3" l="1"/>
  <c r="W10" i="3" s="1"/>
  <c r="V9" i="3"/>
  <c r="T10" i="3" s="1"/>
  <c r="X10" i="3"/>
  <c r="AI98" i="6"/>
  <c r="AI185" i="6" s="1"/>
  <c r="AI272" i="6" s="1"/>
  <c r="AI359" i="6" s="1"/>
  <c r="AI446" i="6" s="1"/>
  <c r="AH12" i="6"/>
  <c r="S446" i="6"/>
  <c r="AD445" i="6"/>
  <c r="X446" i="6"/>
  <c r="W446" i="6"/>
  <c r="V446" i="6"/>
  <c r="P446" i="6"/>
  <c r="S359" i="6"/>
  <c r="AD358" i="6"/>
  <c r="X359" i="6"/>
  <c r="W359" i="6"/>
  <c r="V359" i="6"/>
  <c r="P359" i="6"/>
  <c r="S272" i="6"/>
  <c r="AD271" i="6"/>
  <c r="X272" i="6"/>
  <c r="W272" i="6"/>
  <c r="V272" i="6"/>
  <c r="P272" i="6"/>
  <c r="S185" i="6"/>
  <c r="AD184" i="6"/>
  <c r="X185" i="6"/>
  <c r="W185" i="6"/>
  <c r="V185" i="6"/>
  <c r="P185" i="6"/>
  <c r="S98" i="6"/>
  <c r="AD97" i="6"/>
  <c r="X98" i="6"/>
  <c r="W98" i="6"/>
  <c r="V98" i="6"/>
  <c r="P98" i="6"/>
  <c r="Z10" i="6"/>
  <c r="O11" i="6"/>
  <c r="AD164" i="3"/>
  <c r="O165" i="3"/>
  <c r="V164" i="3"/>
  <c r="U164" i="3"/>
  <c r="S165" i="3" s="1"/>
  <c r="AF163" i="3"/>
  <c r="AD133" i="3"/>
  <c r="O134" i="3"/>
  <c r="V133" i="3"/>
  <c r="U133" i="3"/>
  <c r="S134" i="3" s="1"/>
  <c r="AF132" i="3"/>
  <c r="AD102" i="3"/>
  <c r="O103" i="3"/>
  <c r="V102" i="3"/>
  <c r="U102" i="3"/>
  <c r="S103" i="3" s="1"/>
  <c r="AF101" i="3"/>
  <c r="AD71" i="3"/>
  <c r="O72" i="3"/>
  <c r="V71" i="3"/>
  <c r="U71" i="3"/>
  <c r="S72" i="3" s="1"/>
  <c r="AF70" i="3"/>
  <c r="AD40" i="3"/>
  <c r="O41" i="3"/>
  <c r="V40" i="3"/>
  <c r="U40" i="3"/>
  <c r="S41" i="3" s="1"/>
  <c r="AF39" i="3"/>
  <c r="AF8" i="3"/>
  <c r="Y10" i="3" l="1"/>
  <c r="P10" i="3"/>
  <c r="Z10" i="3" s="1"/>
  <c r="AA10" i="3" s="1"/>
  <c r="AB11" i="3"/>
  <c r="AC10" i="3"/>
  <c r="AE9" i="3"/>
  <c r="AF9" i="3" s="1"/>
  <c r="Q10" i="3"/>
  <c r="R10" i="3" s="1"/>
  <c r="U10" i="3" s="1"/>
  <c r="S11" i="3" s="1"/>
  <c r="AH99" i="6"/>
  <c r="AH186" i="6" s="1"/>
  <c r="AH273" i="6" s="1"/>
  <c r="AH360" i="6" s="1"/>
  <c r="AH447" i="6" s="1"/>
  <c r="AI12" i="6"/>
  <c r="Y446" i="6"/>
  <c r="Z446" i="6" s="1"/>
  <c r="Q446" i="6"/>
  <c r="Y359" i="6"/>
  <c r="Z359" i="6" s="1"/>
  <c r="Q359" i="6"/>
  <c r="Y272" i="6"/>
  <c r="Z272" i="6" s="1"/>
  <c r="Q272" i="6"/>
  <c r="Y185" i="6"/>
  <c r="Z185" i="6" s="1"/>
  <c r="Q185" i="6"/>
  <c r="Y98" i="6"/>
  <c r="Z98" i="6" s="1"/>
  <c r="Q98" i="6"/>
  <c r="X11" i="6"/>
  <c r="W11" i="6"/>
  <c r="V11" i="6"/>
  <c r="P11" i="6"/>
  <c r="Y11" i="6" s="1"/>
  <c r="T165" i="3"/>
  <c r="AE164" i="3"/>
  <c r="AF164" i="3" s="1"/>
  <c r="Y165" i="3"/>
  <c r="X165" i="3"/>
  <c r="W165" i="3"/>
  <c r="P165" i="3"/>
  <c r="Q165" i="3" s="1"/>
  <c r="AB166" i="3"/>
  <c r="T134" i="3"/>
  <c r="AE133" i="3"/>
  <c r="AF133" i="3" s="1"/>
  <c r="Y134" i="3"/>
  <c r="X134" i="3"/>
  <c r="W134" i="3"/>
  <c r="P134" i="3"/>
  <c r="Q134" i="3" s="1"/>
  <c r="AB135" i="3"/>
  <c r="T103" i="3"/>
  <c r="AE102" i="3"/>
  <c r="AF102" i="3" s="1"/>
  <c r="Y103" i="3"/>
  <c r="X103" i="3"/>
  <c r="W103" i="3"/>
  <c r="P103" i="3"/>
  <c r="Q103" i="3" s="1"/>
  <c r="AB104" i="3"/>
  <c r="T72" i="3"/>
  <c r="AE71" i="3"/>
  <c r="AF71" i="3" s="1"/>
  <c r="Y72" i="3"/>
  <c r="X72" i="3"/>
  <c r="W72" i="3"/>
  <c r="P72" i="3"/>
  <c r="Q72" i="3" s="1"/>
  <c r="AB73" i="3"/>
  <c r="T41" i="3"/>
  <c r="AE40" i="3"/>
  <c r="AF40" i="3" s="1"/>
  <c r="Y41" i="3"/>
  <c r="X41" i="3"/>
  <c r="W41" i="3"/>
  <c r="P41" i="3"/>
  <c r="Q41" i="3" s="1"/>
  <c r="AB42" i="3"/>
  <c r="AD10" i="3" l="1"/>
  <c r="V10" i="3"/>
  <c r="O11" i="3"/>
  <c r="X11" i="3" s="1"/>
  <c r="AI99" i="6"/>
  <c r="AI186" i="6" s="1"/>
  <c r="AI273" i="6" s="1"/>
  <c r="AI360" i="6" s="1"/>
  <c r="AI447" i="6" s="1"/>
  <c r="AH13" i="6"/>
  <c r="O447" i="6"/>
  <c r="U446" i="6"/>
  <c r="O360" i="6"/>
  <c r="U359" i="6"/>
  <c r="O273" i="6"/>
  <c r="U272" i="6"/>
  <c r="O186" i="6"/>
  <c r="U185" i="6"/>
  <c r="O99" i="6"/>
  <c r="U98" i="6"/>
  <c r="Z11" i="6"/>
  <c r="Q11" i="6"/>
  <c r="U11" i="6" s="1"/>
  <c r="Z165" i="3"/>
  <c r="AA165" i="3" s="1"/>
  <c r="R165" i="3"/>
  <c r="AC165" i="3"/>
  <c r="Z134" i="3"/>
  <c r="AA134" i="3" s="1"/>
  <c r="R134" i="3"/>
  <c r="AC134" i="3"/>
  <c r="Z103" i="3"/>
  <c r="AA103" i="3" s="1"/>
  <c r="R103" i="3"/>
  <c r="AC103" i="3"/>
  <c r="Z72" i="3"/>
  <c r="AA72" i="3" s="1"/>
  <c r="R72" i="3"/>
  <c r="AC72" i="3"/>
  <c r="Z41" i="3"/>
  <c r="AA41" i="3" s="1"/>
  <c r="R41" i="3"/>
  <c r="AC41" i="3"/>
  <c r="AE10" i="3" l="1"/>
  <c r="AF10" i="3" s="1"/>
  <c r="T11" i="3"/>
  <c r="AB12" i="3"/>
  <c r="Y11" i="3"/>
  <c r="P11" i="3"/>
  <c r="W11" i="3"/>
  <c r="AH100" i="6"/>
  <c r="AH187" i="6" s="1"/>
  <c r="AH274" i="6" s="1"/>
  <c r="AH361" i="6" s="1"/>
  <c r="AH448" i="6" s="1"/>
  <c r="AI13" i="6"/>
  <c r="S447" i="6"/>
  <c r="AD446" i="6"/>
  <c r="X447" i="6"/>
  <c r="W447" i="6"/>
  <c r="V447" i="6"/>
  <c r="P447" i="6"/>
  <c r="S360" i="6"/>
  <c r="AD359" i="6"/>
  <c r="X360" i="6"/>
  <c r="W360" i="6"/>
  <c r="V360" i="6"/>
  <c r="P360" i="6"/>
  <c r="S273" i="6"/>
  <c r="AD272" i="6"/>
  <c r="X273" i="6"/>
  <c r="W273" i="6"/>
  <c r="V273" i="6"/>
  <c r="P273" i="6"/>
  <c r="S186" i="6"/>
  <c r="AD185" i="6"/>
  <c r="X186" i="6"/>
  <c r="W186" i="6"/>
  <c r="V186" i="6"/>
  <c r="P186" i="6"/>
  <c r="S99" i="6"/>
  <c r="AD98" i="6"/>
  <c r="X99" i="6"/>
  <c r="W99" i="6"/>
  <c r="V99" i="6"/>
  <c r="P99" i="6"/>
  <c r="O12" i="6"/>
  <c r="AD165" i="3"/>
  <c r="O166" i="3"/>
  <c r="V165" i="3"/>
  <c r="U165" i="3"/>
  <c r="S166" i="3" s="1"/>
  <c r="AD134" i="3"/>
  <c r="O135" i="3"/>
  <c r="V134" i="3"/>
  <c r="U134" i="3"/>
  <c r="S135" i="3" s="1"/>
  <c r="AD103" i="3"/>
  <c r="O104" i="3"/>
  <c r="V103" i="3"/>
  <c r="U103" i="3"/>
  <c r="S104" i="3" s="1"/>
  <c r="AD72" i="3"/>
  <c r="O73" i="3"/>
  <c r="V72" i="3"/>
  <c r="U72" i="3"/>
  <c r="S73" i="3" s="1"/>
  <c r="AD41" i="3"/>
  <c r="O42" i="3"/>
  <c r="V41" i="3"/>
  <c r="U41" i="3"/>
  <c r="S42" i="3" s="1"/>
  <c r="Z11" i="3" l="1"/>
  <c r="AA11" i="3" s="1"/>
  <c r="Q11" i="3"/>
  <c r="R11" i="3" s="1"/>
  <c r="AC11" i="3"/>
  <c r="AI100" i="6"/>
  <c r="AI187" i="6" s="1"/>
  <c r="AI274" i="6" s="1"/>
  <c r="AI361" i="6" s="1"/>
  <c r="AI448" i="6" s="1"/>
  <c r="AH14" i="6"/>
  <c r="Y447" i="6"/>
  <c r="Z447" i="6" s="1"/>
  <c r="Q447" i="6"/>
  <c r="Y360" i="6"/>
  <c r="Z360" i="6" s="1"/>
  <c r="Q360" i="6"/>
  <c r="Y273" i="6"/>
  <c r="Z273" i="6" s="1"/>
  <c r="Q273" i="6"/>
  <c r="Y186" i="6"/>
  <c r="Z186" i="6" s="1"/>
  <c r="Q186" i="6"/>
  <c r="Y99" i="6"/>
  <c r="Z99" i="6" s="1"/>
  <c r="Q99" i="6"/>
  <c r="X12" i="6"/>
  <c r="W12" i="6"/>
  <c r="V12" i="6"/>
  <c r="P12" i="6"/>
  <c r="Y12" i="6" s="1"/>
  <c r="T166" i="3"/>
  <c r="AE165" i="3"/>
  <c r="AF165" i="3" s="1"/>
  <c r="Y166" i="3"/>
  <c r="X166" i="3"/>
  <c r="W166" i="3"/>
  <c r="P166" i="3"/>
  <c r="Q166" i="3" s="1"/>
  <c r="AB167" i="3"/>
  <c r="T135" i="3"/>
  <c r="AE134" i="3"/>
  <c r="AF134" i="3" s="1"/>
  <c r="Y135" i="3"/>
  <c r="X135" i="3"/>
  <c r="W135" i="3"/>
  <c r="P135" i="3"/>
  <c r="Q135" i="3" s="1"/>
  <c r="AB136" i="3"/>
  <c r="T104" i="3"/>
  <c r="AE103" i="3"/>
  <c r="AF103" i="3" s="1"/>
  <c r="Y104" i="3"/>
  <c r="X104" i="3"/>
  <c r="W104" i="3"/>
  <c r="P104" i="3"/>
  <c r="Q104" i="3" s="1"/>
  <c r="AB105" i="3"/>
  <c r="T73" i="3"/>
  <c r="AE72" i="3"/>
  <c r="AF72" i="3" s="1"/>
  <c r="Y73" i="3"/>
  <c r="X73" i="3"/>
  <c r="W73" i="3"/>
  <c r="P73" i="3"/>
  <c r="Q73" i="3" s="1"/>
  <c r="AB74" i="3"/>
  <c r="T42" i="3"/>
  <c r="AE41" i="3"/>
  <c r="AF41" i="3" s="1"/>
  <c r="Y42" i="3"/>
  <c r="X42" i="3"/>
  <c r="W42" i="3"/>
  <c r="P42" i="3"/>
  <c r="Q42" i="3" s="1"/>
  <c r="AB43" i="3"/>
  <c r="AD11" i="3" l="1"/>
  <c r="V11" i="3"/>
  <c r="U11" i="3"/>
  <c r="S12" i="3" s="1"/>
  <c r="O12" i="3"/>
  <c r="AH101" i="6"/>
  <c r="AH188" i="6" s="1"/>
  <c r="AH275" i="6" s="1"/>
  <c r="AH362" i="6" s="1"/>
  <c r="AH449" i="6" s="1"/>
  <c r="AI14" i="6"/>
  <c r="O448" i="6"/>
  <c r="U447" i="6"/>
  <c r="O361" i="6"/>
  <c r="U360" i="6"/>
  <c r="O274" i="6"/>
  <c r="U273" i="6"/>
  <c r="O187" i="6"/>
  <c r="U186" i="6"/>
  <c r="O100" i="6"/>
  <c r="U99" i="6"/>
  <c r="Z12" i="6"/>
  <c r="Q12" i="6"/>
  <c r="U12" i="6" s="1"/>
  <c r="Z166" i="3"/>
  <c r="AA166" i="3" s="1"/>
  <c r="R166" i="3"/>
  <c r="AC166" i="3"/>
  <c r="Z135" i="3"/>
  <c r="AA135" i="3" s="1"/>
  <c r="R135" i="3"/>
  <c r="AC135" i="3"/>
  <c r="Z104" i="3"/>
  <c r="AA104" i="3" s="1"/>
  <c r="R104" i="3"/>
  <c r="AC104" i="3"/>
  <c r="Z73" i="3"/>
  <c r="AA73" i="3" s="1"/>
  <c r="R73" i="3"/>
  <c r="AC73" i="3"/>
  <c r="Z42" i="3"/>
  <c r="AA42" i="3" s="1"/>
  <c r="R42" i="3"/>
  <c r="AC42" i="3"/>
  <c r="X12" i="3" l="1"/>
  <c r="W12" i="3"/>
  <c r="P12" i="3"/>
  <c r="AB13" i="3"/>
  <c r="Y12" i="3"/>
  <c r="T12" i="3"/>
  <c r="AE11" i="3"/>
  <c r="AF11" i="3" s="1"/>
  <c r="AI101" i="6"/>
  <c r="AI188" i="6" s="1"/>
  <c r="AI275" i="6" s="1"/>
  <c r="AI362" i="6" s="1"/>
  <c r="AI449" i="6" s="1"/>
  <c r="AH15" i="6"/>
  <c r="S448" i="6"/>
  <c r="AD447" i="6"/>
  <c r="X448" i="6"/>
  <c r="W448" i="6"/>
  <c r="V448" i="6"/>
  <c r="P448" i="6"/>
  <c r="S361" i="6"/>
  <c r="AD360" i="6"/>
  <c r="X361" i="6"/>
  <c r="W361" i="6"/>
  <c r="V361" i="6"/>
  <c r="P361" i="6"/>
  <c r="S274" i="6"/>
  <c r="AD273" i="6"/>
  <c r="X274" i="6"/>
  <c r="W274" i="6"/>
  <c r="V274" i="6"/>
  <c r="P274" i="6"/>
  <c r="S187" i="6"/>
  <c r="AD186" i="6"/>
  <c r="X187" i="6"/>
  <c r="W187" i="6"/>
  <c r="V187" i="6"/>
  <c r="P187" i="6"/>
  <c r="S100" i="6"/>
  <c r="AD99" i="6"/>
  <c r="X100" i="6"/>
  <c r="W100" i="6"/>
  <c r="V100" i="6"/>
  <c r="P100" i="6"/>
  <c r="O13" i="6"/>
  <c r="AD166" i="3"/>
  <c r="O167" i="3"/>
  <c r="V166" i="3"/>
  <c r="U166" i="3"/>
  <c r="S167" i="3" s="1"/>
  <c r="AD135" i="3"/>
  <c r="O136" i="3"/>
  <c r="V135" i="3"/>
  <c r="U135" i="3"/>
  <c r="S136" i="3" s="1"/>
  <c r="AD104" i="3"/>
  <c r="O105" i="3"/>
  <c r="V104" i="3"/>
  <c r="U104" i="3"/>
  <c r="S105" i="3" s="1"/>
  <c r="AD73" i="3"/>
  <c r="O74" i="3"/>
  <c r="V73" i="3"/>
  <c r="U73" i="3"/>
  <c r="S74" i="3" s="1"/>
  <c r="AD42" i="3"/>
  <c r="O43" i="3"/>
  <c r="V42" i="3"/>
  <c r="U42" i="3"/>
  <c r="S43" i="3" s="1"/>
  <c r="Z12" i="3" l="1"/>
  <c r="AA12" i="3" s="1"/>
  <c r="Q12" i="3"/>
  <c r="R12" i="3" s="1"/>
  <c r="AC12" i="3"/>
  <c r="AH102" i="6"/>
  <c r="AH189" i="6" s="1"/>
  <c r="AH276" i="6" s="1"/>
  <c r="AH363" i="6" s="1"/>
  <c r="AH450" i="6" s="1"/>
  <c r="AI15" i="6"/>
  <c r="Y448" i="6"/>
  <c r="Z448" i="6" s="1"/>
  <c r="Q448" i="6"/>
  <c r="Y361" i="6"/>
  <c r="Z361" i="6" s="1"/>
  <c r="Q361" i="6"/>
  <c r="Y274" i="6"/>
  <c r="Z274" i="6" s="1"/>
  <c r="Q274" i="6"/>
  <c r="Y187" i="6"/>
  <c r="Z187" i="6" s="1"/>
  <c r="Q187" i="6"/>
  <c r="Y100" i="6"/>
  <c r="Z100" i="6" s="1"/>
  <c r="Q100" i="6"/>
  <c r="X13" i="6"/>
  <c r="W13" i="6"/>
  <c r="V13" i="6"/>
  <c r="P13" i="6"/>
  <c r="Y13" i="6" s="1"/>
  <c r="T167" i="3"/>
  <c r="AE166" i="3"/>
  <c r="AF166" i="3" s="1"/>
  <c r="Y167" i="3"/>
  <c r="X167" i="3"/>
  <c r="W167" i="3"/>
  <c r="P167" i="3"/>
  <c r="Q167" i="3" s="1"/>
  <c r="AB168" i="3"/>
  <c r="T136" i="3"/>
  <c r="AE135" i="3"/>
  <c r="AF135" i="3" s="1"/>
  <c r="Y136" i="3"/>
  <c r="X136" i="3"/>
  <c r="W136" i="3"/>
  <c r="P136" i="3"/>
  <c r="Q136" i="3" s="1"/>
  <c r="AB137" i="3"/>
  <c r="T105" i="3"/>
  <c r="AE104" i="3"/>
  <c r="AF104" i="3" s="1"/>
  <c r="Y105" i="3"/>
  <c r="X105" i="3"/>
  <c r="W105" i="3"/>
  <c r="P105" i="3"/>
  <c r="Q105" i="3" s="1"/>
  <c r="AB106" i="3"/>
  <c r="T74" i="3"/>
  <c r="AE73" i="3"/>
  <c r="AF73" i="3" s="1"/>
  <c r="Y74" i="3"/>
  <c r="X74" i="3"/>
  <c r="W74" i="3"/>
  <c r="P74" i="3"/>
  <c r="Q74" i="3" s="1"/>
  <c r="AB75" i="3"/>
  <c r="T43" i="3"/>
  <c r="AE42" i="3"/>
  <c r="AF42" i="3" s="1"/>
  <c r="Y43" i="3"/>
  <c r="X43" i="3"/>
  <c r="W43" i="3"/>
  <c r="P43" i="3"/>
  <c r="Q43" i="3" s="1"/>
  <c r="AB44" i="3"/>
  <c r="V12" i="3" l="1"/>
  <c r="U12" i="3"/>
  <c r="S13" i="3" s="1"/>
  <c r="O13" i="3"/>
  <c r="AD12" i="3"/>
  <c r="AI102" i="6"/>
  <c r="AI189" i="6" s="1"/>
  <c r="AI276" i="6" s="1"/>
  <c r="AI363" i="6" s="1"/>
  <c r="AI450" i="6" s="1"/>
  <c r="AH16" i="6"/>
  <c r="O449" i="6"/>
  <c r="U448" i="6"/>
  <c r="O362" i="6"/>
  <c r="U361" i="6"/>
  <c r="O275" i="6"/>
  <c r="U274" i="6"/>
  <c r="O188" i="6"/>
  <c r="U187" i="6"/>
  <c r="O101" i="6"/>
  <c r="U100" i="6"/>
  <c r="Z13" i="6"/>
  <c r="Q13" i="6"/>
  <c r="U13" i="6" s="1"/>
  <c r="Z167" i="3"/>
  <c r="AA167" i="3" s="1"/>
  <c r="R167" i="3"/>
  <c r="AC167" i="3"/>
  <c r="Z136" i="3"/>
  <c r="AA136" i="3" s="1"/>
  <c r="R136" i="3"/>
  <c r="AC136" i="3"/>
  <c r="Z105" i="3"/>
  <c r="AA105" i="3" s="1"/>
  <c r="R105" i="3"/>
  <c r="AC105" i="3"/>
  <c r="Z74" i="3"/>
  <c r="AA74" i="3" s="1"/>
  <c r="R74" i="3"/>
  <c r="AC74" i="3"/>
  <c r="Z43" i="3"/>
  <c r="AA43" i="3" s="1"/>
  <c r="R43" i="3"/>
  <c r="AC43" i="3"/>
  <c r="X13" i="3" l="1"/>
  <c r="AB14" i="3"/>
  <c r="Y13" i="3"/>
  <c r="P13" i="3"/>
  <c r="W13" i="3"/>
  <c r="T13" i="3"/>
  <c r="AE12" i="3"/>
  <c r="AF12" i="3" s="1"/>
  <c r="AH103" i="6"/>
  <c r="AH190" i="6" s="1"/>
  <c r="AH277" i="6" s="1"/>
  <c r="AH364" i="6" s="1"/>
  <c r="AH451" i="6" s="1"/>
  <c r="AI16" i="6"/>
  <c r="S449" i="6"/>
  <c r="AD448" i="6"/>
  <c r="X449" i="6"/>
  <c r="W449" i="6"/>
  <c r="V449" i="6"/>
  <c r="P449" i="6"/>
  <c r="S362" i="6"/>
  <c r="AD361" i="6"/>
  <c r="X362" i="6"/>
  <c r="W362" i="6"/>
  <c r="V362" i="6"/>
  <c r="P362" i="6"/>
  <c r="S275" i="6"/>
  <c r="AD274" i="6"/>
  <c r="X275" i="6"/>
  <c r="W275" i="6"/>
  <c r="V275" i="6"/>
  <c r="P275" i="6"/>
  <c r="S188" i="6"/>
  <c r="AD187" i="6"/>
  <c r="X188" i="6"/>
  <c r="W188" i="6"/>
  <c r="V188" i="6"/>
  <c r="P188" i="6"/>
  <c r="S101" i="6"/>
  <c r="AD100" i="6"/>
  <c r="X101" i="6"/>
  <c r="W101" i="6"/>
  <c r="V101" i="6"/>
  <c r="P101" i="6"/>
  <c r="O14" i="6"/>
  <c r="P14" i="6" s="1"/>
  <c r="AD167" i="3"/>
  <c r="O168" i="3"/>
  <c r="V167" i="3"/>
  <c r="U167" i="3"/>
  <c r="S168" i="3" s="1"/>
  <c r="AD136" i="3"/>
  <c r="O137" i="3"/>
  <c r="V136" i="3"/>
  <c r="U136" i="3"/>
  <c r="S137" i="3" s="1"/>
  <c r="AD105" i="3"/>
  <c r="O106" i="3"/>
  <c r="V105" i="3"/>
  <c r="U105" i="3"/>
  <c r="S106" i="3" s="1"/>
  <c r="AD74" i="3"/>
  <c r="O75" i="3"/>
  <c r="V74" i="3"/>
  <c r="U74" i="3"/>
  <c r="S75" i="3" s="1"/>
  <c r="AD43" i="3"/>
  <c r="O44" i="3"/>
  <c r="V43" i="3"/>
  <c r="U43" i="3"/>
  <c r="S44" i="3" s="1"/>
  <c r="AC13" i="3" l="1"/>
  <c r="Z13" i="3"/>
  <c r="AA13" i="3" s="1"/>
  <c r="Q13" i="3"/>
  <c r="R13" i="3" s="1"/>
  <c r="AI103" i="6"/>
  <c r="AI190" i="6" s="1"/>
  <c r="AI277" i="6" s="1"/>
  <c r="AI364" i="6" s="1"/>
  <c r="AI451" i="6" s="1"/>
  <c r="AH17" i="6"/>
  <c r="Y449" i="6"/>
  <c r="Z449" i="6" s="1"/>
  <c r="Q449" i="6"/>
  <c r="Y362" i="6"/>
  <c r="Z362" i="6" s="1"/>
  <c r="Q362" i="6"/>
  <c r="Y275" i="6"/>
  <c r="Z275" i="6" s="1"/>
  <c r="Q275" i="6"/>
  <c r="Y188" i="6"/>
  <c r="Z188" i="6" s="1"/>
  <c r="Q188" i="6"/>
  <c r="Y101" i="6"/>
  <c r="Z101" i="6" s="1"/>
  <c r="Q101" i="6"/>
  <c r="X14" i="6"/>
  <c r="W14" i="6"/>
  <c r="V14" i="6"/>
  <c r="Y14" i="6"/>
  <c r="T168" i="3"/>
  <c r="AE167" i="3"/>
  <c r="AF167" i="3" s="1"/>
  <c r="Y168" i="3"/>
  <c r="X168" i="3"/>
  <c r="W168" i="3"/>
  <c r="P168" i="3"/>
  <c r="Q168" i="3" s="1"/>
  <c r="AB169" i="3"/>
  <c r="T137" i="3"/>
  <c r="AE136" i="3"/>
  <c r="AF136" i="3" s="1"/>
  <c r="Y137" i="3"/>
  <c r="X137" i="3"/>
  <c r="W137" i="3"/>
  <c r="P137" i="3"/>
  <c r="Q137" i="3" s="1"/>
  <c r="AB138" i="3"/>
  <c r="T106" i="3"/>
  <c r="AE105" i="3"/>
  <c r="AF105" i="3" s="1"/>
  <c r="Y106" i="3"/>
  <c r="X106" i="3"/>
  <c r="W106" i="3"/>
  <c r="P106" i="3"/>
  <c r="Q106" i="3" s="1"/>
  <c r="AB107" i="3"/>
  <c r="T75" i="3"/>
  <c r="AE74" i="3"/>
  <c r="AF74" i="3" s="1"/>
  <c r="Y75" i="3"/>
  <c r="X75" i="3"/>
  <c r="W75" i="3"/>
  <c r="P75" i="3"/>
  <c r="Q75" i="3" s="1"/>
  <c r="AB76" i="3"/>
  <c r="T44" i="3"/>
  <c r="AE43" i="3"/>
  <c r="AF43" i="3" s="1"/>
  <c r="Y44" i="3"/>
  <c r="X44" i="3"/>
  <c r="W44" i="3"/>
  <c r="P44" i="3"/>
  <c r="Q44" i="3" s="1"/>
  <c r="AB45" i="3"/>
  <c r="AD13" i="3" l="1"/>
  <c r="O14" i="3"/>
  <c r="V13" i="3"/>
  <c r="U13" i="3"/>
  <c r="S14" i="3" s="1"/>
  <c r="AH104" i="6"/>
  <c r="AH191" i="6" s="1"/>
  <c r="AH278" i="6" s="1"/>
  <c r="AH365" i="6" s="1"/>
  <c r="AH452" i="6" s="1"/>
  <c r="AI17" i="6"/>
  <c r="O450" i="6"/>
  <c r="U449" i="6"/>
  <c r="O363" i="6"/>
  <c r="U362" i="6"/>
  <c r="O276" i="6"/>
  <c r="U275" i="6"/>
  <c r="O189" i="6"/>
  <c r="U188" i="6"/>
  <c r="O102" i="6"/>
  <c r="U101" i="6"/>
  <c r="Z14" i="6"/>
  <c r="Q14" i="6"/>
  <c r="U14" i="6" s="1"/>
  <c r="Z168" i="3"/>
  <c r="AA168" i="3" s="1"/>
  <c r="R168" i="3"/>
  <c r="AC168" i="3"/>
  <c r="Z137" i="3"/>
  <c r="AA137" i="3" s="1"/>
  <c r="R137" i="3"/>
  <c r="AC137" i="3"/>
  <c r="Z106" i="3"/>
  <c r="AA106" i="3" s="1"/>
  <c r="R106" i="3"/>
  <c r="AC106" i="3"/>
  <c r="Z75" i="3"/>
  <c r="AA75" i="3" s="1"/>
  <c r="R75" i="3"/>
  <c r="AC75" i="3"/>
  <c r="Z44" i="3"/>
  <c r="AA44" i="3" s="1"/>
  <c r="R44" i="3"/>
  <c r="AC44" i="3"/>
  <c r="AE13" i="3" l="1"/>
  <c r="AF13" i="3" s="1"/>
  <c r="T14" i="3"/>
  <c r="P14" i="3"/>
  <c r="Y14" i="3"/>
  <c r="AB15" i="3"/>
  <c r="W14" i="3"/>
  <c r="X14" i="3"/>
  <c r="AI104" i="6"/>
  <c r="AI191" i="6" s="1"/>
  <c r="AI278" i="6" s="1"/>
  <c r="AI365" i="6" s="1"/>
  <c r="AI452" i="6" s="1"/>
  <c r="AH18" i="6"/>
  <c r="S450" i="6"/>
  <c r="AD449" i="6"/>
  <c r="X450" i="6"/>
  <c r="W450" i="6"/>
  <c r="V450" i="6"/>
  <c r="P450" i="6"/>
  <c r="S363" i="6"/>
  <c r="AD362" i="6"/>
  <c r="X363" i="6"/>
  <c r="W363" i="6"/>
  <c r="V363" i="6"/>
  <c r="P363" i="6"/>
  <c r="S276" i="6"/>
  <c r="AD275" i="6"/>
  <c r="X276" i="6"/>
  <c r="W276" i="6"/>
  <c r="V276" i="6"/>
  <c r="P276" i="6"/>
  <c r="S189" i="6"/>
  <c r="AD188" i="6"/>
  <c r="X189" i="6"/>
  <c r="W189" i="6"/>
  <c r="V189" i="6"/>
  <c r="P189" i="6"/>
  <c r="S102" i="6"/>
  <c r="AD101" i="6"/>
  <c r="X102" i="6"/>
  <c r="W102" i="6"/>
  <c r="V102" i="6"/>
  <c r="P102" i="6"/>
  <c r="O15" i="6"/>
  <c r="AD168" i="3"/>
  <c r="O169" i="3"/>
  <c r="V168" i="3"/>
  <c r="U168" i="3"/>
  <c r="S169" i="3" s="1"/>
  <c r="AD137" i="3"/>
  <c r="O138" i="3"/>
  <c r="V137" i="3"/>
  <c r="U137" i="3"/>
  <c r="S138" i="3" s="1"/>
  <c r="AD106" i="3"/>
  <c r="O107" i="3"/>
  <c r="V106" i="3"/>
  <c r="U106" i="3"/>
  <c r="S107" i="3" s="1"/>
  <c r="AD75" i="3"/>
  <c r="O76" i="3"/>
  <c r="V75" i="3"/>
  <c r="U75" i="3"/>
  <c r="S76" i="3" s="1"/>
  <c r="AD44" i="3"/>
  <c r="O45" i="3"/>
  <c r="V44" i="3"/>
  <c r="U44" i="3"/>
  <c r="S45" i="3" s="1"/>
  <c r="Z14" i="3" l="1"/>
  <c r="AA14" i="3" s="1"/>
  <c r="Q14" i="3"/>
  <c r="R14" i="3" s="1"/>
  <c r="AC14" i="3"/>
  <c r="AH105" i="6"/>
  <c r="AH192" i="6" s="1"/>
  <c r="AH279" i="6" s="1"/>
  <c r="AH366" i="6" s="1"/>
  <c r="AH453" i="6" s="1"/>
  <c r="AI18" i="6"/>
  <c r="Y450" i="6"/>
  <c r="Z450" i="6" s="1"/>
  <c r="Q450" i="6"/>
  <c r="Y363" i="6"/>
  <c r="Z363" i="6" s="1"/>
  <c r="Q363" i="6"/>
  <c r="Y276" i="6"/>
  <c r="Z276" i="6" s="1"/>
  <c r="Q276" i="6"/>
  <c r="Y189" i="6"/>
  <c r="Z189" i="6" s="1"/>
  <c r="Q189" i="6"/>
  <c r="Y102" i="6"/>
  <c r="Z102" i="6" s="1"/>
  <c r="Q102" i="6"/>
  <c r="X15" i="6"/>
  <c r="W15" i="6"/>
  <c r="V15" i="6"/>
  <c r="P15" i="6"/>
  <c r="Y15" i="6" s="1"/>
  <c r="T169" i="3"/>
  <c r="AE168" i="3"/>
  <c r="AF168" i="3" s="1"/>
  <c r="Y169" i="3"/>
  <c r="X169" i="3"/>
  <c r="W169" i="3"/>
  <c r="P169" i="3"/>
  <c r="Q169" i="3" s="1"/>
  <c r="AB170" i="3"/>
  <c r="T138" i="3"/>
  <c r="AE137" i="3"/>
  <c r="AF137" i="3" s="1"/>
  <c r="Y138" i="3"/>
  <c r="X138" i="3"/>
  <c r="W138" i="3"/>
  <c r="P138" i="3"/>
  <c r="Q138" i="3" s="1"/>
  <c r="AB139" i="3"/>
  <c r="T107" i="3"/>
  <c r="AE106" i="3"/>
  <c r="AF106" i="3" s="1"/>
  <c r="Y107" i="3"/>
  <c r="X107" i="3"/>
  <c r="W107" i="3"/>
  <c r="P107" i="3"/>
  <c r="Q107" i="3" s="1"/>
  <c r="AB108" i="3"/>
  <c r="T76" i="3"/>
  <c r="AE75" i="3"/>
  <c r="AF75" i="3" s="1"/>
  <c r="Y76" i="3"/>
  <c r="X76" i="3"/>
  <c r="W76" i="3"/>
  <c r="P76" i="3"/>
  <c r="Q76" i="3" s="1"/>
  <c r="AB77" i="3"/>
  <c r="T45" i="3"/>
  <c r="AE44" i="3"/>
  <c r="AF44" i="3" s="1"/>
  <c r="Y45" i="3"/>
  <c r="X45" i="3"/>
  <c r="W45" i="3"/>
  <c r="P45" i="3"/>
  <c r="Q45" i="3" s="1"/>
  <c r="AB46" i="3"/>
  <c r="V14" i="3" l="1"/>
  <c r="O15" i="3"/>
  <c r="U14" i="3"/>
  <c r="S15" i="3" s="1"/>
  <c r="AD14" i="3"/>
  <c r="AI105" i="6"/>
  <c r="AI192" i="6" s="1"/>
  <c r="AI279" i="6" s="1"/>
  <c r="AI366" i="6" s="1"/>
  <c r="AI453" i="6" s="1"/>
  <c r="AH19" i="6"/>
  <c r="O451" i="6"/>
  <c r="U450" i="6"/>
  <c r="O364" i="6"/>
  <c r="U363" i="6"/>
  <c r="O277" i="6"/>
  <c r="U276" i="6"/>
  <c r="O190" i="6"/>
  <c r="U189" i="6"/>
  <c r="O103" i="6"/>
  <c r="U102" i="6"/>
  <c r="Z15" i="6"/>
  <c r="Q15" i="6"/>
  <c r="U15" i="6" s="1"/>
  <c r="Z169" i="3"/>
  <c r="AA169" i="3" s="1"/>
  <c r="R169" i="3"/>
  <c r="AC169" i="3"/>
  <c r="Z138" i="3"/>
  <c r="AA138" i="3" s="1"/>
  <c r="R138" i="3"/>
  <c r="AC138" i="3"/>
  <c r="Z107" i="3"/>
  <c r="AA107" i="3" s="1"/>
  <c r="R107" i="3"/>
  <c r="AC107" i="3"/>
  <c r="Z76" i="3"/>
  <c r="AA76" i="3" s="1"/>
  <c r="R76" i="3"/>
  <c r="AC76" i="3"/>
  <c r="Z45" i="3"/>
  <c r="AA45" i="3" s="1"/>
  <c r="R45" i="3"/>
  <c r="AC45" i="3"/>
  <c r="X15" i="3" l="1"/>
  <c r="P15" i="3"/>
  <c r="Z15" i="3" s="1"/>
  <c r="W15" i="3"/>
  <c r="AB16" i="3"/>
  <c r="Y15" i="3"/>
  <c r="T15" i="3"/>
  <c r="AE14" i="3"/>
  <c r="AF14" i="3" s="1"/>
  <c r="AH106" i="6"/>
  <c r="AH193" i="6" s="1"/>
  <c r="AH280" i="6" s="1"/>
  <c r="AH367" i="6" s="1"/>
  <c r="AH454" i="6" s="1"/>
  <c r="AI19" i="6"/>
  <c r="S451" i="6"/>
  <c r="AD450" i="6"/>
  <c r="X451" i="6"/>
  <c r="W451" i="6"/>
  <c r="V451" i="6"/>
  <c r="P451" i="6"/>
  <c r="S364" i="6"/>
  <c r="AD363" i="6"/>
  <c r="X364" i="6"/>
  <c r="W364" i="6"/>
  <c r="V364" i="6"/>
  <c r="P364" i="6"/>
  <c r="S277" i="6"/>
  <c r="AD276" i="6"/>
  <c r="X277" i="6"/>
  <c r="W277" i="6"/>
  <c r="V277" i="6"/>
  <c r="P277" i="6"/>
  <c r="S190" i="6"/>
  <c r="AD189" i="6"/>
  <c r="X190" i="6"/>
  <c r="W190" i="6"/>
  <c r="V190" i="6"/>
  <c r="P190" i="6"/>
  <c r="S103" i="6"/>
  <c r="AD102" i="6"/>
  <c r="X103" i="6"/>
  <c r="W103" i="6"/>
  <c r="V103" i="6"/>
  <c r="P103" i="6"/>
  <c r="O16" i="6"/>
  <c r="AD169" i="3"/>
  <c r="O170" i="3"/>
  <c r="V169" i="3"/>
  <c r="U169" i="3"/>
  <c r="S170" i="3" s="1"/>
  <c r="AD138" i="3"/>
  <c r="O139" i="3"/>
  <c r="V138" i="3"/>
  <c r="U138" i="3"/>
  <c r="S139" i="3" s="1"/>
  <c r="AD107" i="3"/>
  <c r="O108" i="3"/>
  <c r="V107" i="3"/>
  <c r="U107" i="3"/>
  <c r="S108" i="3" s="1"/>
  <c r="AD76" i="3"/>
  <c r="O77" i="3"/>
  <c r="V76" i="3"/>
  <c r="U76" i="3"/>
  <c r="S77" i="3" s="1"/>
  <c r="AD45" i="3"/>
  <c r="O46" i="3"/>
  <c r="V45" i="3"/>
  <c r="U45" i="3"/>
  <c r="S46" i="3" s="1"/>
  <c r="AC15" i="3" l="1"/>
  <c r="AA15" i="3"/>
  <c r="Q15" i="3"/>
  <c r="R15" i="3" s="1"/>
  <c r="AI106" i="6"/>
  <c r="AI193" i="6" s="1"/>
  <c r="AI280" i="6" s="1"/>
  <c r="AI367" i="6" s="1"/>
  <c r="AI454" i="6" s="1"/>
  <c r="AH20" i="6"/>
  <c r="Y451" i="6"/>
  <c r="Z451" i="6" s="1"/>
  <c r="Q451" i="6"/>
  <c r="Y364" i="6"/>
  <c r="Z364" i="6" s="1"/>
  <c r="Q364" i="6"/>
  <c r="Y277" i="6"/>
  <c r="Z277" i="6" s="1"/>
  <c r="Q277" i="6"/>
  <c r="Y190" i="6"/>
  <c r="Z190" i="6" s="1"/>
  <c r="Q190" i="6"/>
  <c r="Y103" i="6"/>
  <c r="Z103" i="6" s="1"/>
  <c r="Q103" i="6"/>
  <c r="X16" i="6"/>
  <c r="W16" i="6"/>
  <c r="V16" i="6"/>
  <c r="P16" i="6"/>
  <c r="Y16" i="6" s="1"/>
  <c r="T170" i="3"/>
  <c r="AE169" i="3"/>
  <c r="AF169" i="3" s="1"/>
  <c r="Y170" i="3"/>
  <c r="X170" i="3"/>
  <c r="W170" i="3"/>
  <c r="P170" i="3"/>
  <c r="Q170" i="3" s="1"/>
  <c r="AB171" i="3"/>
  <c r="T139" i="3"/>
  <c r="AE138" i="3"/>
  <c r="AF138" i="3" s="1"/>
  <c r="Y139" i="3"/>
  <c r="X139" i="3"/>
  <c r="W139" i="3"/>
  <c r="P139" i="3"/>
  <c r="Q139" i="3" s="1"/>
  <c r="AB140" i="3"/>
  <c r="T108" i="3"/>
  <c r="AE107" i="3"/>
  <c r="AF107" i="3" s="1"/>
  <c r="Y108" i="3"/>
  <c r="X108" i="3"/>
  <c r="W108" i="3"/>
  <c r="P108" i="3"/>
  <c r="Q108" i="3" s="1"/>
  <c r="AB109" i="3"/>
  <c r="T77" i="3"/>
  <c r="AE76" i="3"/>
  <c r="AF76" i="3" s="1"/>
  <c r="Y77" i="3"/>
  <c r="X77" i="3"/>
  <c r="W77" i="3"/>
  <c r="P77" i="3"/>
  <c r="Q77" i="3" s="1"/>
  <c r="AB78" i="3"/>
  <c r="T46" i="3"/>
  <c r="AE45" i="3"/>
  <c r="AF45" i="3" s="1"/>
  <c r="Y46" i="3"/>
  <c r="X46" i="3"/>
  <c r="W46" i="3"/>
  <c r="P46" i="3"/>
  <c r="Q46" i="3" s="1"/>
  <c r="AB47" i="3"/>
  <c r="AD15" i="3" l="1"/>
  <c r="U15" i="3"/>
  <c r="S16" i="3" s="1"/>
  <c r="V15" i="3"/>
  <c r="O16" i="3"/>
  <c r="AH107" i="6"/>
  <c r="AH194" i="6" s="1"/>
  <c r="AH281" i="6" s="1"/>
  <c r="AH368" i="6" s="1"/>
  <c r="AH455" i="6" s="1"/>
  <c r="AI20" i="6"/>
  <c r="O452" i="6"/>
  <c r="U451" i="6"/>
  <c r="O365" i="6"/>
  <c r="U364" i="6"/>
  <c r="O278" i="6"/>
  <c r="U277" i="6"/>
  <c r="O191" i="6"/>
  <c r="U190" i="6"/>
  <c r="O104" i="6"/>
  <c r="U103" i="6"/>
  <c r="Z16" i="6"/>
  <c r="Q16" i="6"/>
  <c r="U16" i="6" s="1"/>
  <c r="Z170" i="3"/>
  <c r="AA170" i="3" s="1"/>
  <c r="R170" i="3"/>
  <c r="AC170" i="3"/>
  <c r="Z139" i="3"/>
  <c r="AA139" i="3" s="1"/>
  <c r="R139" i="3"/>
  <c r="AC139" i="3"/>
  <c r="Z108" i="3"/>
  <c r="AA108" i="3" s="1"/>
  <c r="R108" i="3"/>
  <c r="AC108" i="3"/>
  <c r="Z77" i="3"/>
  <c r="AA77" i="3" s="1"/>
  <c r="R77" i="3"/>
  <c r="AC77" i="3"/>
  <c r="Z46" i="3"/>
  <c r="AA46" i="3" s="1"/>
  <c r="R46" i="3"/>
  <c r="AC46" i="3"/>
  <c r="T16" i="3" l="1"/>
  <c r="AE15" i="3"/>
  <c r="AF15" i="3" s="1"/>
  <c r="Y16" i="3"/>
  <c r="X16" i="3"/>
  <c r="W16" i="3"/>
  <c r="AB17" i="3"/>
  <c r="P16" i="3"/>
  <c r="Z16" i="3" s="1"/>
  <c r="AI107" i="6"/>
  <c r="AI194" i="6" s="1"/>
  <c r="AI281" i="6" s="1"/>
  <c r="AI368" i="6" s="1"/>
  <c r="AI455" i="6" s="1"/>
  <c r="AH21" i="6"/>
  <c r="S452" i="6"/>
  <c r="AD451" i="6"/>
  <c r="X452" i="6"/>
  <c r="W452" i="6"/>
  <c r="V452" i="6"/>
  <c r="P452" i="6"/>
  <c r="S365" i="6"/>
  <c r="AD364" i="6"/>
  <c r="X365" i="6"/>
  <c r="W365" i="6"/>
  <c r="V365" i="6"/>
  <c r="P365" i="6"/>
  <c r="S278" i="6"/>
  <c r="AD277" i="6"/>
  <c r="X278" i="6"/>
  <c r="W278" i="6"/>
  <c r="V278" i="6"/>
  <c r="P278" i="6"/>
  <c r="S191" i="6"/>
  <c r="AD190" i="6"/>
  <c r="X191" i="6"/>
  <c r="W191" i="6"/>
  <c r="V191" i="6"/>
  <c r="P191" i="6"/>
  <c r="S104" i="6"/>
  <c r="AD103" i="6"/>
  <c r="X104" i="6"/>
  <c r="W104" i="6"/>
  <c r="V104" i="6"/>
  <c r="P104" i="6"/>
  <c r="O17" i="6"/>
  <c r="AD170" i="3"/>
  <c r="O171" i="3"/>
  <c r="V170" i="3"/>
  <c r="U170" i="3"/>
  <c r="S171" i="3" s="1"/>
  <c r="AD139" i="3"/>
  <c r="O140" i="3"/>
  <c r="V139" i="3"/>
  <c r="U139" i="3"/>
  <c r="S140" i="3" s="1"/>
  <c r="AD108" i="3"/>
  <c r="O109" i="3"/>
  <c r="V108" i="3"/>
  <c r="U108" i="3"/>
  <c r="S109" i="3" s="1"/>
  <c r="AD77" i="3"/>
  <c r="O78" i="3"/>
  <c r="V77" i="3"/>
  <c r="U77" i="3"/>
  <c r="S78" i="3" s="1"/>
  <c r="AD46" i="3"/>
  <c r="O47" i="3"/>
  <c r="V46" i="3"/>
  <c r="U46" i="3"/>
  <c r="S47" i="3" s="1"/>
  <c r="AC16" i="3" l="1"/>
  <c r="AA16" i="3"/>
  <c r="Q16" i="3"/>
  <c r="R16" i="3" s="1"/>
  <c r="AH108" i="6"/>
  <c r="AH195" i="6" s="1"/>
  <c r="AH282" i="6" s="1"/>
  <c r="AH369" i="6" s="1"/>
  <c r="AH456" i="6" s="1"/>
  <c r="AI21" i="6"/>
  <c r="Y452" i="6"/>
  <c r="Z452" i="6" s="1"/>
  <c r="Q452" i="6"/>
  <c r="Y365" i="6"/>
  <c r="Z365" i="6" s="1"/>
  <c r="Q365" i="6"/>
  <c r="Y278" i="6"/>
  <c r="Z278" i="6" s="1"/>
  <c r="Q278" i="6"/>
  <c r="Y191" i="6"/>
  <c r="Z191" i="6" s="1"/>
  <c r="Q191" i="6"/>
  <c r="Y104" i="6"/>
  <c r="Z104" i="6" s="1"/>
  <c r="Q104" i="6"/>
  <c r="X17" i="6"/>
  <c r="W17" i="6"/>
  <c r="V17" i="6"/>
  <c r="P17" i="6"/>
  <c r="Y17" i="6" s="1"/>
  <c r="T171" i="3"/>
  <c r="AE170" i="3"/>
  <c r="AF170" i="3" s="1"/>
  <c r="Y171" i="3"/>
  <c r="X171" i="3"/>
  <c r="W171" i="3"/>
  <c r="P171" i="3"/>
  <c r="Q171" i="3" s="1"/>
  <c r="AB172" i="3"/>
  <c r="T140" i="3"/>
  <c r="AE139" i="3"/>
  <c r="AF139" i="3" s="1"/>
  <c r="Y140" i="3"/>
  <c r="X140" i="3"/>
  <c r="W140" i="3"/>
  <c r="P140" i="3"/>
  <c r="Q140" i="3" s="1"/>
  <c r="AB141" i="3"/>
  <c r="T109" i="3"/>
  <c r="AE108" i="3"/>
  <c r="AF108" i="3" s="1"/>
  <c r="Y109" i="3"/>
  <c r="X109" i="3"/>
  <c r="W109" i="3"/>
  <c r="P109" i="3"/>
  <c r="Q109" i="3" s="1"/>
  <c r="AB110" i="3"/>
  <c r="T78" i="3"/>
  <c r="AE77" i="3"/>
  <c r="AF77" i="3" s="1"/>
  <c r="Y78" i="3"/>
  <c r="X78" i="3"/>
  <c r="W78" i="3"/>
  <c r="P78" i="3"/>
  <c r="Q78" i="3" s="1"/>
  <c r="AB79" i="3"/>
  <c r="T47" i="3"/>
  <c r="AE46" i="3"/>
  <c r="AF46" i="3" s="1"/>
  <c r="Y47" i="3"/>
  <c r="X47" i="3"/>
  <c r="W47" i="3"/>
  <c r="P47" i="3"/>
  <c r="Q47" i="3" s="1"/>
  <c r="AB48" i="3"/>
  <c r="AD16" i="3" l="1"/>
  <c r="U16" i="3"/>
  <c r="S17" i="3" s="1"/>
  <c r="O17" i="3"/>
  <c r="V16" i="3"/>
  <c r="AI108" i="6"/>
  <c r="AI195" i="6" s="1"/>
  <c r="AI282" i="6" s="1"/>
  <c r="AI369" i="6" s="1"/>
  <c r="AI456" i="6" s="1"/>
  <c r="AH22" i="6"/>
  <c r="O453" i="6"/>
  <c r="U452" i="6"/>
  <c r="O366" i="6"/>
  <c r="U365" i="6"/>
  <c r="O279" i="6"/>
  <c r="U278" i="6"/>
  <c r="O192" i="6"/>
  <c r="U191" i="6"/>
  <c r="O105" i="6"/>
  <c r="U104" i="6"/>
  <c r="Z17" i="6"/>
  <c r="Q17" i="6"/>
  <c r="U17" i="6" s="1"/>
  <c r="Z171" i="3"/>
  <c r="AA171" i="3" s="1"/>
  <c r="R171" i="3"/>
  <c r="AC171" i="3"/>
  <c r="Z140" i="3"/>
  <c r="AA140" i="3" s="1"/>
  <c r="R140" i="3"/>
  <c r="AC140" i="3"/>
  <c r="Z109" i="3"/>
  <c r="AA109" i="3" s="1"/>
  <c r="R109" i="3"/>
  <c r="AC109" i="3"/>
  <c r="Z78" i="3"/>
  <c r="AA78" i="3" s="1"/>
  <c r="R78" i="3"/>
  <c r="AC78" i="3"/>
  <c r="Z47" i="3"/>
  <c r="AA47" i="3" s="1"/>
  <c r="R47" i="3"/>
  <c r="AC47" i="3"/>
  <c r="T17" i="3" l="1"/>
  <c r="AE16" i="3"/>
  <c r="AF16" i="3" s="1"/>
  <c r="AB18" i="3"/>
  <c r="P17" i="3"/>
  <c r="Z17" i="3" s="1"/>
  <c r="X17" i="3"/>
  <c r="Y17" i="3"/>
  <c r="W17" i="3"/>
  <c r="AH109" i="6"/>
  <c r="AH196" i="6" s="1"/>
  <c r="AH283" i="6" s="1"/>
  <c r="AH370" i="6" s="1"/>
  <c r="AH457" i="6" s="1"/>
  <c r="AI22" i="6"/>
  <c r="S453" i="6"/>
  <c r="AD452" i="6"/>
  <c r="X453" i="6"/>
  <c r="W453" i="6"/>
  <c r="V453" i="6"/>
  <c r="P453" i="6"/>
  <c r="S366" i="6"/>
  <c r="AD365" i="6"/>
  <c r="X366" i="6"/>
  <c r="W366" i="6"/>
  <c r="V366" i="6"/>
  <c r="P366" i="6"/>
  <c r="S279" i="6"/>
  <c r="AD278" i="6"/>
  <c r="X279" i="6"/>
  <c r="W279" i="6"/>
  <c r="V279" i="6"/>
  <c r="P279" i="6"/>
  <c r="S192" i="6"/>
  <c r="AD191" i="6"/>
  <c r="X192" i="6"/>
  <c r="W192" i="6"/>
  <c r="V192" i="6"/>
  <c r="P192" i="6"/>
  <c r="S105" i="6"/>
  <c r="AD104" i="6"/>
  <c r="X105" i="6"/>
  <c r="W105" i="6"/>
  <c r="V105" i="6"/>
  <c r="P105" i="6"/>
  <c r="O18" i="6"/>
  <c r="AD171" i="3"/>
  <c r="O172" i="3"/>
  <c r="V171" i="3"/>
  <c r="U171" i="3"/>
  <c r="S172" i="3" s="1"/>
  <c r="AD140" i="3"/>
  <c r="O141" i="3"/>
  <c r="V140" i="3"/>
  <c r="U140" i="3"/>
  <c r="S141" i="3" s="1"/>
  <c r="AD109" i="3"/>
  <c r="O110" i="3"/>
  <c r="V109" i="3"/>
  <c r="U109" i="3"/>
  <c r="S110" i="3" s="1"/>
  <c r="AD78" i="3"/>
  <c r="O79" i="3"/>
  <c r="V78" i="3"/>
  <c r="U78" i="3"/>
  <c r="S79" i="3" s="1"/>
  <c r="AD47" i="3"/>
  <c r="O48" i="3"/>
  <c r="V47" i="3"/>
  <c r="U47" i="3"/>
  <c r="S48" i="3" s="1"/>
  <c r="Q17" i="3" l="1"/>
  <c r="R17" i="3" s="1"/>
  <c r="O18" i="3" s="1"/>
  <c r="AA17" i="3"/>
  <c r="AC17" i="3"/>
  <c r="AI109" i="6"/>
  <c r="AI196" i="6" s="1"/>
  <c r="AI283" i="6" s="1"/>
  <c r="AI370" i="6" s="1"/>
  <c r="AI457" i="6" s="1"/>
  <c r="AH23" i="6"/>
  <c r="Y453" i="6"/>
  <c r="Z453" i="6" s="1"/>
  <c r="Q453" i="6"/>
  <c r="Y366" i="6"/>
  <c r="Z366" i="6" s="1"/>
  <c r="Q366" i="6"/>
  <c r="Y279" i="6"/>
  <c r="Z279" i="6" s="1"/>
  <c r="Q279" i="6"/>
  <c r="Y192" i="6"/>
  <c r="Z192" i="6" s="1"/>
  <c r="Q192" i="6"/>
  <c r="Y105" i="6"/>
  <c r="Z105" i="6" s="1"/>
  <c r="Q105" i="6"/>
  <c r="X18" i="6"/>
  <c r="W18" i="6"/>
  <c r="V18" i="6"/>
  <c r="P18" i="6"/>
  <c r="Y18" i="6" s="1"/>
  <c r="T172" i="3"/>
  <c r="AE171" i="3"/>
  <c r="AF171" i="3" s="1"/>
  <c r="Y172" i="3"/>
  <c r="X172" i="3"/>
  <c r="W172" i="3"/>
  <c r="P172" i="3"/>
  <c r="Q172" i="3" s="1"/>
  <c r="AB173" i="3"/>
  <c r="T141" i="3"/>
  <c r="AE140" i="3"/>
  <c r="AF140" i="3" s="1"/>
  <c r="Y141" i="3"/>
  <c r="X141" i="3"/>
  <c r="W141" i="3"/>
  <c r="P141" i="3"/>
  <c r="Q141" i="3" s="1"/>
  <c r="AB142" i="3"/>
  <c r="T110" i="3"/>
  <c r="AE109" i="3"/>
  <c r="AF109" i="3" s="1"/>
  <c r="Y110" i="3"/>
  <c r="X110" i="3"/>
  <c r="W110" i="3"/>
  <c r="P110" i="3"/>
  <c r="Q110" i="3" s="1"/>
  <c r="AB111" i="3"/>
  <c r="T79" i="3"/>
  <c r="AE78" i="3"/>
  <c r="AF78" i="3" s="1"/>
  <c r="Y79" i="3"/>
  <c r="X79" i="3"/>
  <c r="W79" i="3"/>
  <c r="P79" i="3"/>
  <c r="Q79" i="3" s="1"/>
  <c r="AB80" i="3"/>
  <c r="T48" i="3"/>
  <c r="AE47" i="3"/>
  <c r="AF47" i="3" s="1"/>
  <c r="Y48" i="3"/>
  <c r="X48" i="3"/>
  <c r="W48" i="3"/>
  <c r="P48" i="3"/>
  <c r="Q48" i="3" s="1"/>
  <c r="AB49" i="3"/>
  <c r="V17" i="3" l="1"/>
  <c r="T18" i="3" s="1"/>
  <c r="U17" i="3"/>
  <c r="S18" i="3" s="1"/>
  <c r="AD17" i="3"/>
  <c r="W18" i="3"/>
  <c r="Y18" i="3"/>
  <c r="P18" i="3"/>
  <c r="Z18" i="3" s="1"/>
  <c r="X18" i="3"/>
  <c r="AB19" i="3"/>
  <c r="AH110" i="6"/>
  <c r="AH197" i="6" s="1"/>
  <c r="AH284" i="6" s="1"/>
  <c r="AH371" i="6" s="1"/>
  <c r="AH458" i="6" s="1"/>
  <c r="AI23" i="6"/>
  <c r="O454" i="6"/>
  <c r="U453" i="6"/>
  <c r="O367" i="6"/>
  <c r="U366" i="6"/>
  <c r="O280" i="6"/>
  <c r="U279" i="6"/>
  <c r="O193" i="6"/>
  <c r="U192" i="6"/>
  <c r="O106" i="6"/>
  <c r="U105" i="6"/>
  <c r="Z18" i="6"/>
  <c r="Q18" i="6"/>
  <c r="U18" i="6" s="1"/>
  <c r="Z172" i="3"/>
  <c r="AA172" i="3" s="1"/>
  <c r="R172" i="3"/>
  <c r="AC172" i="3"/>
  <c r="Z141" i="3"/>
  <c r="AA141" i="3" s="1"/>
  <c r="R141" i="3"/>
  <c r="AC141" i="3"/>
  <c r="Z110" i="3"/>
  <c r="AA110" i="3" s="1"/>
  <c r="R110" i="3"/>
  <c r="AC110" i="3"/>
  <c r="Z79" i="3"/>
  <c r="AA79" i="3" s="1"/>
  <c r="R79" i="3"/>
  <c r="AC79" i="3"/>
  <c r="Z48" i="3"/>
  <c r="AA48" i="3" s="1"/>
  <c r="R48" i="3"/>
  <c r="AC48" i="3"/>
  <c r="AE17" i="3" l="1"/>
  <c r="AF17" i="3" s="1"/>
  <c r="AC18" i="3"/>
  <c r="AA18" i="3"/>
  <c r="Q18" i="3"/>
  <c r="R18" i="3" s="1"/>
  <c r="AI110" i="6"/>
  <c r="AI197" i="6" s="1"/>
  <c r="AI284" i="6" s="1"/>
  <c r="AI371" i="6" s="1"/>
  <c r="AI458" i="6" s="1"/>
  <c r="AH24" i="6"/>
  <c r="S454" i="6"/>
  <c r="AD453" i="6"/>
  <c r="X454" i="6"/>
  <c r="W454" i="6"/>
  <c r="V454" i="6"/>
  <c r="P454" i="6"/>
  <c r="S367" i="6"/>
  <c r="AD366" i="6"/>
  <c r="X367" i="6"/>
  <c r="W367" i="6"/>
  <c r="V367" i="6"/>
  <c r="P367" i="6"/>
  <c r="S280" i="6"/>
  <c r="AD279" i="6"/>
  <c r="X280" i="6"/>
  <c r="W280" i="6"/>
  <c r="V280" i="6"/>
  <c r="P280" i="6"/>
  <c r="S193" i="6"/>
  <c r="AD192" i="6"/>
  <c r="X193" i="6"/>
  <c r="W193" i="6"/>
  <c r="V193" i="6"/>
  <c r="P193" i="6"/>
  <c r="S106" i="6"/>
  <c r="AD105" i="6"/>
  <c r="X106" i="6"/>
  <c r="W106" i="6"/>
  <c r="V106" i="6"/>
  <c r="P106" i="6"/>
  <c r="O19" i="6"/>
  <c r="AD172" i="3"/>
  <c r="O173" i="3"/>
  <c r="V172" i="3"/>
  <c r="U172" i="3"/>
  <c r="S173" i="3" s="1"/>
  <c r="AD141" i="3"/>
  <c r="O142" i="3"/>
  <c r="V141" i="3"/>
  <c r="U141" i="3"/>
  <c r="S142" i="3" s="1"/>
  <c r="AD110" i="3"/>
  <c r="O111" i="3"/>
  <c r="V110" i="3"/>
  <c r="U110" i="3"/>
  <c r="S111" i="3" s="1"/>
  <c r="AD79" i="3"/>
  <c r="O80" i="3"/>
  <c r="V79" i="3"/>
  <c r="U79" i="3"/>
  <c r="S80" i="3" s="1"/>
  <c r="AD48" i="3"/>
  <c r="O49" i="3"/>
  <c r="V48" i="3"/>
  <c r="U48" i="3"/>
  <c r="S49" i="3" s="1"/>
  <c r="AD18" i="3" l="1"/>
  <c r="U18" i="3"/>
  <c r="S19" i="3" s="1"/>
  <c r="O19" i="3"/>
  <c r="V18" i="3"/>
  <c r="AH111" i="6"/>
  <c r="AH198" i="6" s="1"/>
  <c r="AH285" i="6" s="1"/>
  <c r="AH372" i="6" s="1"/>
  <c r="AH459" i="6" s="1"/>
  <c r="AI24" i="6"/>
  <c r="Y454" i="6"/>
  <c r="Z454" i="6" s="1"/>
  <c r="Q454" i="6"/>
  <c r="Y367" i="6"/>
  <c r="Z367" i="6" s="1"/>
  <c r="Q367" i="6"/>
  <c r="Y280" i="6"/>
  <c r="Z280" i="6" s="1"/>
  <c r="Q280" i="6"/>
  <c r="Y193" i="6"/>
  <c r="Z193" i="6" s="1"/>
  <c r="Q193" i="6"/>
  <c r="Y106" i="6"/>
  <c r="Z106" i="6" s="1"/>
  <c r="Q106" i="6"/>
  <c r="X19" i="6"/>
  <c r="W19" i="6"/>
  <c r="V19" i="6"/>
  <c r="P19" i="6"/>
  <c r="Y19" i="6" s="1"/>
  <c r="T173" i="3"/>
  <c r="AE172" i="3"/>
  <c r="AF172" i="3" s="1"/>
  <c r="Y173" i="3"/>
  <c r="X173" i="3"/>
  <c r="W173" i="3"/>
  <c r="P173" i="3"/>
  <c r="Q173" i="3" s="1"/>
  <c r="AB174" i="3"/>
  <c r="T142" i="3"/>
  <c r="AE141" i="3"/>
  <c r="AF141" i="3" s="1"/>
  <c r="Y142" i="3"/>
  <c r="X142" i="3"/>
  <c r="W142" i="3"/>
  <c r="P142" i="3"/>
  <c r="Q142" i="3" s="1"/>
  <c r="AB143" i="3"/>
  <c r="T111" i="3"/>
  <c r="AE110" i="3"/>
  <c r="AF110" i="3" s="1"/>
  <c r="Y111" i="3"/>
  <c r="X111" i="3"/>
  <c r="W111" i="3"/>
  <c r="P111" i="3"/>
  <c r="Q111" i="3" s="1"/>
  <c r="AB112" i="3"/>
  <c r="T80" i="3"/>
  <c r="AE79" i="3"/>
  <c r="AF79" i="3" s="1"/>
  <c r="Y80" i="3"/>
  <c r="X80" i="3"/>
  <c r="W80" i="3"/>
  <c r="P80" i="3"/>
  <c r="Q80" i="3" s="1"/>
  <c r="AB81" i="3"/>
  <c r="T49" i="3"/>
  <c r="AE48" i="3"/>
  <c r="AF48" i="3" s="1"/>
  <c r="Y49" i="3"/>
  <c r="X49" i="3"/>
  <c r="W49" i="3"/>
  <c r="P49" i="3"/>
  <c r="Q49" i="3" s="1"/>
  <c r="AB50" i="3"/>
  <c r="T19" i="3" l="1"/>
  <c r="AE18" i="3"/>
  <c r="AF18" i="3" s="1"/>
  <c r="W19" i="3"/>
  <c r="X19" i="3"/>
  <c r="P19" i="3"/>
  <c r="Z19" i="3" s="1"/>
  <c r="AB20" i="3"/>
  <c r="Y19" i="3"/>
  <c r="AI111" i="6"/>
  <c r="AI198" i="6" s="1"/>
  <c r="AI285" i="6" s="1"/>
  <c r="AI372" i="6" s="1"/>
  <c r="AI459" i="6" s="1"/>
  <c r="AH25" i="6"/>
  <c r="O455" i="6"/>
  <c r="U454" i="6"/>
  <c r="O368" i="6"/>
  <c r="U367" i="6"/>
  <c r="O281" i="6"/>
  <c r="U280" i="6"/>
  <c r="O194" i="6"/>
  <c r="U193" i="6"/>
  <c r="O107" i="6"/>
  <c r="U106" i="6"/>
  <c r="Z19" i="6"/>
  <c r="Q19" i="6"/>
  <c r="U19" i="6" s="1"/>
  <c r="Z173" i="3"/>
  <c r="AA173" i="3" s="1"/>
  <c r="R173" i="3"/>
  <c r="AC173" i="3"/>
  <c r="Z142" i="3"/>
  <c r="AA142" i="3" s="1"/>
  <c r="R142" i="3"/>
  <c r="AC142" i="3"/>
  <c r="Z111" i="3"/>
  <c r="AA111" i="3" s="1"/>
  <c r="R111" i="3"/>
  <c r="AC111" i="3"/>
  <c r="Z80" i="3"/>
  <c r="AA80" i="3" s="1"/>
  <c r="R80" i="3"/>
  <c r="AC80" i="3"/>
  <c r="Z49" i="3"/>
  <c r="AA49" i="3" s="1"/>
  <c r="R49" i="3"/>
  <c r="AC49" i="3"/>
  <c r="Q19" i="3" l="1"/>
  <c r="R19" i="3" s="1"/>
  <c r="U19" i="3" s="1"/>
  <c r="S20" i="3" s="1"/>
  <c r="AC19" i="3"/>
  <c r="AA19" i="3"/>
  <c r="AH112" i="6"/>
  <c r="AH199" i="6" s="1"/>
  <c r="AH286" i="6" s="1"/>
  <c r="AH373" i="6" s="1"/>
  <c r="AH460" i="6" s="1"/>
  <c r="AI25" i="6"/>
  <c r="S455" i="6"/>
  <c r="AD454" i="6"/>
  <c r="X455" i="6"/>
  <c r="W455" i="6"/>
  <c r="V455" i="6"/>
  <c r="P455" i="6"/>
  <c r="S368" i="6"/>
  <c r="AD367" i="6"/>
  <c r="X368" i="6"/>
  <c r="W368" i="6"/>
  <c r="V368" i="6"/>
  <c r="P368" i="6"/>
  <c r="S281" i="6"/>
  <c r="AD280" i="6"/>
  <c r="X281" i="6"/>
  <c r="W281" i="6"/>
  <c r="V281" i="6"/>
  <c r="P281" i="6"/>
  <c r="S194" i="6"/>
  <c r="AD193" i="6"/>
  <c r="X194" i="6"/>
  <c r="W194" i="6"/>
  <c r="V194" i="6"/>
  <c r="P194" i="6"/>
  <c r="S107" i="6"/>
  <c r="AD106" i="6"/>
  <c r="X107" i="6"/>
  <c r="W107" i="6"/>
  <c r="V107" i="6"/>
  <c r="P107" i="6"/>
  <c r="O20" i="6"/>
  <c r="AD173" i="3"/>
  <c r="O174" i="3"/>
  <c r="V173" i="3"/>
  <c r="U173" i="3"/>
  <c r="S174" i="3" s="1"/>
  <c r="AD142" i="3"/>
  <c r="O143" i="3"/>
  <c r="V142" i="3"/>
  <c r="U142" i="3"/>
  <c r="S143" i="3" s="1"/>
  <c r="AD111" i="3"/>
  <c r="O112" i="3"/>
  <c r="V111" i="3"/>
  <c r="U111" i="3"/>
  <c r="S112" i="3" s="1"/>
  <c r="AD80" i="3"/>
  <c r="O81" i="3"/>
  <c r="V80" i="3"/>
  <c r="U80" i="3"/>
  <c r="S81" i="3" s="1"/>
  <c r="AD49" i="3"/>
  <c r="O50" i="3"/>
  <c r="V49" i="3"/>
  <c r="U49" i="3"/>
  <c r="S50" i="3" s="1"/>
  <c r="O20" i="3" l="1"/>
  <c r="Y20" i="3" s="1"/>
  <c r="V19" i="3"/>
  <c r="T20" i="3" s="1"/>
  <c r="AD19" i="3"/>
  <c r="AI112" i="6"/>
  <c r="AI199" i="6" s="1"/>
  <c r="AI286" i="6" s="1"/>
  <c r="AI373" i="6" s="1"/>
  <c r="AI460" i="6" s="1"/>
  <c r="AH26" i="6"/>
  <c r="Y455" i="6"/>
  <c r="Z455" i="6" s="1"/>
  <c r="Q455" i="6"/>
  <c r="Y368" i="6"/>
  <c r="Z368" i="6" s="1"/>
  <c r="Q368" i="6"/>
  <c r="Y281" i="6"/>
  <c r="Z281" i="6" s="1"/>
  <c r="Q281" i="6"/>
  <c r="Y194" i="6"/>
  <c r="Z194" i="6" s="1"/>
  <c r="Q194" i="6"/>
  <c r="Y107" i="6"/>
  <c r="Z107" i="6" s="1"/>
  <c r="Q107" i="6"/>
  <c r="X20" i="6"/>
  <c r="W20" i="6"/>
  <c r="V20" i="6"/>
  <c r="P20" i="6"/>
  <c r="Y20" i="6" s="1"/>
  <c r="T174" i="3"/>
  <c r="AE173" i="3"/>
  <c r="AF173" i="3" s="1"/>
  <c r="Y174" i="3"/>
  <c r="X174" i="3"/>
  <c r="W174" i="3"/>
  <c r="P174" i="3"/>
  <c r="Q174" i="3" s="1"/>
  <c r="AB175" i="3"/>
  <c r="T143" i="3"/>
  <c r="AE142" i="3"/>
  <c r="AF142" i="3" s="1"/>
  <c r="Y143" i="3"/>
  <c r="X143" i="3"/>
  <c r="W143" i="3"/>
  <c r="P143" i="3"/>
  <c r="Q143" i="3" s="1"/>
  <c r="AB144" i="3"/>
  <c r="T112" i="3"/>
  <c r="AE111" i="3"/>
  <c r="AF111" i="3" s="1"/>
  <c r="Y112" i="3"/>
  <c r="X112" i="3"/>
  <c r="W112" i="3"/>
  <c r="P112" i="3"/>
  <c r="Q112" i="3" s="1"/>
  <c r="AB113" i="3"/>
  <c r="T81" i="3"/>
  <c r="AE80" i="3"/>
  <c r="AF80" i="3" s="1"/>
  <c r="Y81" i="3"/>
  <c r="X81" i="3"/>
  <c r="W81" i="3"/>
  <c r="P81" i="3"/>
  <c r="Q81" i="3" s="1"/>
  <c r="AB82" i="3"/>
  <c r="T50" i="3"/>
  <c r="AE49" i="3"/>
  <c r="AF49" i="3" s="1"/>
  <c r="Y50" i="3"/>
  <c r="X50" i="3"/>
  <c r="W50" i="3"/>
  <c r="P50" i="3"/>
  <c r="Q50" i="3" s="1"/>
  <c r="AB51" i="3"/>
  <c r="AB21" i="3" l="1"/>
  <c r="W20" i="3"/>
  <c r="X20" i="3"/>
  <c r="P20" i="3"/>
  <c r="Z20" i="3" s="1"/>
  <c r="AE19" i="3"/>
  <c r="AF19" i="3" s="1"/>
  <c r="AH113" i="6"/>
  <c r="AH200" i="6" s="1"/>
  <c r="AH287" i="6" s="1"/>
  <c r="AH374" i="6" s="1"/>
  <c r="AH461" i="6" s="1"/>
  <c r="AI26" i="6"/>
  <c r="O456" i="6"/>
  <c r="U455" i="6"/>
  <c r="O369" i="6"/>
  <c r="U368" i="6"/>
  <c r="O282" i="6"/>
  <c r="U281" i="6"/>
  <c r="O195" i="6"/>
  <c r="U194" i="6"/>
  <c r="O108" i="6"/>
  <c r="U107" i="6"/>
  <c r="Z20" i="6"/>
  <c r="Q20" i="6"/>
  <c r="U20" i="6" s="1"/>
  <c r="Z174" i="3"/>
  <c r="AA174" i="3" s="1"/>
  <c r="R174" i="3"/>
  <c r="AC174" i="3"/>
  <c r="Z143" i="3"/>
  <c r="AA143" i="3" s="1"/>
  <c r="R143" i="3"/>
  <c r="AC143" i="3"/>
  <c r="Z112" i="3"/>
  <c r="AA112" i="3" s="1"/>
  <c r="R112" i="3"/>
  <c r="AC112" i="3"/>
  <c r="Z81" i="3"/>
  <c r="AA81" i="3" s="1"/>
  <c r="R81" i="3"/>
  <c r="AC81" i="3"/>
  <c r="Z50" i="3"/>
  <c r="AA50" i="3" s="1"/>
  <c r="R50" i="3"/>
  <c r="AC50" i="3"/>
  <c r="AC20" i="3" l="1"/>
  <c r="AA20" i="3"/>
  <c r="Q20" i="3"/>
  <c r="R20" i="3" s="1"/>
  <c r="V20" i="3" s="1"/>
  <c r="AI113" i="6"/>
  <c r="AI200" i="6" s="1"/>
  <c r="AI287" i="6" s="1"/>
  <c r="AI374" i="6" s="1"/>
  <c r="AI461" i="6" s="1"/>
  <c r="AH27" i="6"/>
  <c r="S456" i="6"/>
  <c r="AD455" i="6"/>
  <c r="X456" i="6"/>
  <c r="W456" i="6"/>
  <c r="V456" i="6"/>
  <c r="P456" i="6"/>
  <c r="S369" i="6"/>
  <c r="AD368" i="6"/>
  <c r="X369" i="6"/>
  <c r="W369" i="6"/>
  <c r="V369" i="6"/>
  <c r="P369" i="6"/>
  <c r="S282" i="6"/>
  <c r="AD281" i="6"/>
  <c r="X282" i="6"/>
  <c r="W282" i="6"/>
  <c r="V282" i="6"/>
  <c r="P282" i="6"/>
  <c r="S195" i="6"/>
  <c r="AD194" i="6"/>
  <c r="X195" i="6"/>
  <c r="W195" i="6"/>
  <c r="V195" i="6"/>
  <c r="P195" i="6"/>
  <c r="S108" i="6"/>
  <c r="AD107" i="6"/>
  <c r="X108" i="6"/>
  <c r="W108" i="6"/>
  <c r="V108" i="6"/>
  <c r="P108" i="6"/>
  <c r="O21" i="6"/>
  <c r="AD174" i="3"/>
  <c r="O175" i="3"/>
  <c r="V174" i="3"/>
  <c r="U174" i="3"/>
  <c r="S175" i="3" s="1"/>
  <c r="AD143" i="3"/>
  <c r="O144" i="3"/>
  <c r="V143" i="3"/>
  <c r="U143" i="3"/>
  <c r="S144" i="3" s="1"/>
  <c r="AD112" i="3"/>
  <c r="O113" i="3"/>
  <c r="V112" i="3"/>
  <c r="U112" i="3"/>
  <c r="S113" i="3" s="1"/>
  <c r="AD81" i="3"/>
  <c r="O82" i="3"/>
  <c r="V81" i="3"/>
  <c r="U81" i="3"/>
  <c r="S82" i="3" s="1"/>
  <c r="AD50" i="3"/>
  <c r="O51" i="3"/>
  <c r="V50" i="3"/>
  <c r="U50" i="3"/>
  <c r="S51" i="3" s="1"/>
  <c r="AD20" i="3" l="1"/>
  <c r="U20" i="3"/>
  <c r="S21" i="3" s="1"/>
  <c r="O21" i="3"/>
  <c r="AB22" i="3" s="1"/>
  <c r="AE20" i="3"/>
  <c r="T21" i="3"/>
  <c r="AH114" i="6"/>
  <c r="AH201" i="6" s="1"/>
  <c r="AH288" i="6" s="1"/>
  <c r="AH375" i="6" s="1"/>
  <c r="AH462" i="6" s="1"/>
  <c r="AI27" i="6"/>
  <c r="Y456" i="6"/>
  <c r="Z456" i="6" s="1"/>
  <c r="Q456" i="6"/>
  <c r="Y369" i="6"/>
  <c r="Z369" i="6" s="1"/>
  <c r="Q369" i="6"/>
  <c r="Y282" i="6"/>
  <c r="Z282" i="6" s="1"/>
  <c r="Q282" i="6"/>
  <c r="Y195" i="6"/>
  <c r="Z195" i="6" s="1"/>
  <c r="Q195" i="6"/>
  <c r="Y108" i="6"/>
  <c r="Z108" i="6" s="1"/>
  <c r="Q108" i="6"/>
  <c r="X21" i="6"/>
  <c r="W21" i="6"/>
  <c r="V21" i="6"/>
  <c r="P21" i="6"/>
  <c r="Y21" i="6" s="1"/>
  <c r="T175" i="3"/>
  <c r="AE174" i="3"/>
  <c r="AF174" i="3" s="1"/>
  <c r="Y175" i="3"/>
  <c r="X175" i="3"/>
  <c r="W175" i="3"/>
  <c r="P175" i="3"/>
  <c r="Q175" i="3" s="1"/>
  <c r="AB176" i="3"/>
  <c r="T144" i="3"/>
  <c r="AE143" i="3"/>
  <c r="AF143" i="3" s="1"/>
  <c r="Y144" i="3"/>
  <c r="X144" i="3"/>
  <c r="W144" i="3"/>
  <c r="P144" i="3"/>
  <c r="Q144" i="3" s="1"/>
  <c r="AB145" i="3"/>
  <c r="T113" i="3"/>
  <c r="AE112" i="3"/>
  <c r="AF112" i="3" s="1"/>
  <c r="Y113" i="3"/>
  <c r="X113" i="3"/>
  <c r="W113" i="3"/>
  <c r="P113" i="3"/>
  <c r="Q113" i="3" s="1"/>
  <c r="AB114" i="3"/>
  <c r="T82" i="3"/>
  <c r="AE81" i="3"/>
  <c r="AF81" i="3" s="1"/>
  <c r="Y82" i="3"/>
  <c r="X82" i="3"/>
  <c r="W82" i="3"/>
  <c r="P82" i="3"/>
  <c r="Q82" i="3" s="1"/>
  <c r="AB83" i="3"/>
  <c r="T51" i="3"/>
  <c r="AE50" i="3"/>
  <c r="AF50" i="3" s="1"/>
  <c r="Y51" i="3"/>
  <c r="X51" i="3"/>
  <c r="W51" i="3"/>
  <c r="P51" i="3"/>
  <c r="Q51" i="3" s="1"/>
  <c r="AB52" i="3"/>
  <c r="AF20" i="3" l="1"/>
  <c r="X21" i="3"/>
  <c r="W21" i="3"/>
  <c r="P21" i="3"/>
  <c r="Q21" i="3" s="1"/>
  <c r="R21" i="3" s="1"/>
  <c r="Y21" i="3"/>
  <c r="AI114" i="6"/>
  <c r="AI201" i="6" s="1"/>
  <c r="AI288" i="6" s="1"/>
  <c r="AI375" i="6" s="1"/>
  <c r="AI462" i="6" s="1"/>
  <c r="AH28" i="6"/>
  <c r="O457" i="6"/>
  <c r="U456" i="6"/>
  <c r="O370" i="6"/>
  <c r="U369" i="6"/>
  <c r="O283" i="6"/>
  <c r="U282" i="6"/>
  <c r="O196" i="6"/>
  <c r="U195" i="6"/>
  <c r="O109" i="6"/>
  <c r="U108" i="6"/>
  <c r="Z21" i="6"/>
  <c r="Q21" i="6"/>
  <c r="U21" i="6" s="1"/>
  <c r="Z175" i="3"/>
  <c r="AA175" i="3" s="1"/>
  <c r="R175" i="3"/>
  <c r="AC175" i="3"/>
  <c r="Z144" i="3"/>
  <c r="AA144" i="3" s="1"/>
  <c r="R144" i="3"/>
  <c r="AC144" i="3"/>
  <c r="Z113" i="3"/>
  <c r="AA113" i="3" s="1"/>
  <c r="R113" i="3"/>
  <c r="AC113" i="3"/>
  <c r="Z82" i="3"/>
  <c r="AA82" i="3" s="1"/>
  <c r="R82" i="3"/>
  <c r="AC82" i="3"/>
  <c r="Z51" i="3"/>
  <c r="AA51" i="3" s="1"/>
  <c r="R51" i="3"/>
  <c r="AC51" i="3"/>
  <c r="Z21" i="3" l="1"/>
  <c r="AA21" i="3" s="1"/>
  <c r="AC21" i="3"/>
  <c r="V21" i="3"/>
  <c r="U21" i="3"/>
  <c r="S22" i="3" s="1"/>
  <c r="O22" i="3"/>
  <c r="AH115" i="6"/>
  <c r="AH202" i="6" s="1"/>
  <c r="AH289" i="6" s="1"/>
  <c r="AH376" i="6" s="1"/>
  <c r="AH463" i="6" s="1"/>
  <c r="AI28" i="6"/>
  <c r="S457" i="6"/>
  <c r="AD456" i="6"/>
  <c r="X457" i="6"/>
  <c r="W457" i="6"/>
  <c r="V457" i="6"/>
  <c r="P457" i="6"/>
  <c r="S370" i="6"/>
  <c r="AD369" i="6"/>
  <c r="X370" i="6"/>
  <c r="W370" i="6"/>
  <c r="V370" i="6"/>
  <c r="P370" i="6"/>
  <c r="S283" i="6"/>
  <c r="AD282" i="6"/>
  <c r="X283" i="6"/>
  <c r="W283" i="6"/>
  <c r="V283" i="6"/>
  <c r="P283" i="6"/>
  <c r="S196" i="6"/>
  <c r="AD195" i="6"/>
  <c r="X196" i="6"/>
  <c r="W196" i="6"/>
  <c r="V196" i="6"/>
  <c r="P196" i="6"/>
  <c r="S109" i="6"/>
  <c r="AD108" i="6"/>
  <c r="X109" i="6"/>
  <c r="W109" i="6"/>
  <c r="V109" i="6"/>
  <c r="P109" i="6"/>
  <c r="O22" i="6"/>
  <c r="AD175" i="3"/>
  <c r="O176" i="3"/>
  <c r="V175" i="3"/>
  <c r="U175" i="3"/>
  <c r="S176" i="3" s="1"/>
  <c r="AD144" i="3"/>
  <c r="O145" i="3"/>
  <c r="V144" i="3"/>
  <c r="U144" i="3"/>
  <c r="S145" i="3" s="1"/>
  <c r="AD113" i="3"/>
  <c r="O114" i="3"/>
  <c r="V113" i="3"/>
  <c r="U113" i="3"/>
  <c r="S114" i="3" s="1"/>
  <c r="AD82" i="3"/>
  <c r="O83" i="3"/>
  <c r="V82" i="3"/>
  <c r="U82" i="3"/>
  <c r="S83" i="3" s="1"/>
  <c r="AD51" i="3"/>
  <c r="O52" i="3"/>
  <c r="V51" i="3"/>
  <c r="U51" i="3"/>
  <c r="S52" i="3" s="1"/>
  <c r="AD21" i="3" l="1"/>
  <c r="Y22" i="3"/>
  <c r="AB23" i="3"/>
  <c r="W22" i="3"/>
  <c r="X22" i="3"/>
  <c r="P22" i="3"/>
  <c r="Z22" i="3" s="1"/>
  <c r="T22" i="3"/>
  <c r="AE21" i="3"/>
  <c r="AI115" i="6"/>
  <c r="AI202" i="6" s="1"/>
  <c r="AI289" i="6" s="1"/>
  <c r="AI376" i="6" s="1"/>
  <c r="AI463" i="6" s="1"/>
  <c r="AH29" i="6"/>
  <c r="Y457" i="6"/>
  <c r="Z457" i="6" s="1"/>
  <c r="Q457" i="6"/>
  <c r="Y370" i="6"/>
  <c r="Z370" i="6" s="1"/>
  <c r="Q370" i="6"/>
  <c r="Y283" i="6"/>
  <c r="Z283" i="6" s="1"/>
  <c r="Q283" i="6"/>
  <c r="Y196" i="6"/>
  <c r="Z196" i="6" s="1"/>
  <c r="Q196" i="6"/>
  <c r="Y109" i="6"/>
  <c r="Z109" i="6" s="1"/>
  <c r="Q109" i="6"/>
  <c r="X22" i="6"/>
  <c r="W22" i="6"/>
  <c r="V22" i="6"/>
  <c r="P22" i="6"/>
  <c r="Y22" i="6" s="1"/>
  <c r="T176" i="3"/>
  <c r="AE175" i="3"/>
  <c r="AF175" i="3" s="1"/>
  <c r="Y176" i="3"/>
  <c r="X176" i="3"/>
  <c r="W176" i="3"/>
  <c r="P176" i="3"/>
  <c r="Q176" i="3" s="1"/>
  <c r="AB177" i="3"/>
  <c r="T145" i="3"/>
  <c r="AE144" i="3"/>
  <c r="AF144" i="3" s="1"/>
  <c r="Y145" i="3"/>
  <c r="X145" i="3"/>
  <c r="W145" i="3"/>
  <c r="P145" i="3"/>
  <c r="Q145" i="3" s="1"/>
  <c r="AB146" i="3"/>
  <c r="T114" i="3"/>
  <c r="AE113" i="3"/>
  <c r="AF113" i="3" s="1"/>
  <c r="Y114" i="3"/>
  <c r="X114" i="3"/>
  <c r="W114" i="3"/>
  <c r="P114" i="3"/>
  <c r="Q114" i="3" s="1"/>
  <c r="AB115" i="3"/>
  <c r="T83" i="3"/>
  <c r="AE82" i="3"/>
  <c r="AF82" i="3" s="1"/>
  <c r="Y83" i="3"/>
  <c r="X83" i="3"/>
  <c r="W83" i="3"/>
  <c r="P83" i="3"/>
  <c r="Q83" i="3" s="1"/>
  <c r="AB84" i="3"/>
  <c r="T52" i="3"/>
  <c r="AE51" i="3"/>
  <c r="AF51" i="3" s="1"/>
  <c r="Y52" i="3"/>
  <c r="X52" i="3"/>
  <c r="W52" i="3"/>
  <c r="P52" i="3"/>
  <c r="Q52" i="3" s="1"/>
  <c r="AB53" i="3"/>
  <c r="AF21" i="3" l="1"/>
  <c r="Q22" i="3"/>
  <c r="R22" i="3" s="1"/>
  <c r="U22" i="3" s="1"/>
  <c r="S23" i="3" s="1"/>
  <c r="AC22" i="3"/>
  <c r="AA22" i="3"/>
  <c r="AH116" i="6"/>
  <c r="AH203" i="6" s="1"/>
  <c r="AH290" i="6" s="1"/>
  <c r="AH377" i="6" s="1"/>
  <c r="AH464" i="6" s="1"/>
  <c r="AI29" i="6"/>
  <c r="O458" i="6"/>
  <c r="U457" i="6"/>
  <c r="O371" i="6"/>
  <c r="U370" i="6"/>
  <c r="O284" i="6"/>
  <c r="U283" i="6"/>
  <c r="O197" i="6"/>
  <c r="U196" i="6"/>
  <c r="O110" i="6"/>
  <c r="U109" i="6"/>
  <c r="Z22" i="6"/>
  <c r="Q22" i="6"/>
  <c r="U22" i="6" s="1"/>
  <c r="Z176" i="3"/>
  <c r="AA176" i="3" s="1"/>
  <c r="R176" i="3"/>
  <c r="AC176" i="3"/>
  <c r="Z145" i="3"/>
  <c r="AA145" i="3" s="1"/>
  <c r="R145" i="3"/>
  <c r="AC145" i="3"/>
  <c r="Z114" i="3"/>
  <c r="AA114" i="3" s="1"/>
  <c r="R114" i="3"/>
  <c r="AC114" i="3"/>
  <c r="Z83" i="3"/>
  <c r="AA83" i="3" s="1"/>
  <c r="R83" i="3"/>
  <c r="AC83" i="3"/>
  <c r="Z52" i="3"/>
  <c r="AA52" i="3" s="1"/>
  <c r="R52" i="3"/>
  <c r="AC52" i="3"/>
  <c r="O23" i="3" l="1"/>
  <c r="Y23" i="3" s="1"/>
  <c r="V22" i="3"/>
  <c r="T23" i="3" s="1"/>
  <c r="AD22" i="3"/>
  <c r="AI116" i="6"/>
  <c r="AI203" i="6" s="1"/>
  <c r="AI290" i="6" s="1"/>
  <c r="AI377" i="6" s="1"/>
  <c r="AI464" i="6" s="1"/>
  <c r="AH30" i="6"/>
  <c r="S458" i="6"/>
  <c r="AD457" i="6"/>
  <c r="X458" i="6"/>
  <c r="W458" i="6"/>
  <c r="V458" i="6"/>
  <c r="P458" i="6"/>
  <c r="S371" i="6"/>
  <c r="AD370" i="6"/>
  <c r="X371" i="6"/>
  <c r="W371" i="6"/>
  <c r="V371" i="6"/>
  <c r="P371" i="6"/>
  <c r="S284" i="6"/>
  <c r="AD283" i="6"/>
  <c r="X284" i="6"/>
  <c r="W284" i="6"/>
  <c r="V284" i="6"/>
  <c r="P284" i="6"/>
  <c r="S197" i="6"/>
  <c r="AD196" i="6"/>
  <c r="X197" i="6"/>
  <c r="W197" i="6"/>
  <c r="V197" i="6"/>
  <c r="P197" i="6"/>
  <c r="S110" i="6"/>
  <c r="AD109" i="6"/>
  <c r="X110" i="6"/>
  <c r="W110" i="6"/>
  <c r="V110" i="6"/>
  <c r="P110" i="6"/>
  <c r="O23" i="6"/>
  <c r="AD176" i="3"/>
  <c r="O177" i="3"/>
  <c r="V176" i="3"/>
  <c r="U176" i="3"/>
  <c r="S177" i="3" s="1"/>
  <c r="AD145" i="3"/>
  <c r="O146" i="3"/>
  <c r="V145" i="3"/>
  <c r="U145" i="3"/>
  <c r="S146" i="3" s="1"/>
  <c r="AD114" i="3"/>
  <c r="O115" i="3"/>
  <c r="V114" i="3"/>
  <c r="U114" i="3"/>
  <c r="S115" i="3" s="1"/>
  <c r="AD83" i="3"/>
  <c r="O84" i="3"/>
  <c r="V83" i="3"/>
  <c r="U83" i="3"/>
  <c r="S84" i="3" s="1"/>
  <c r="AD52" i="3"/>
  <c r="O53" i="3"/>
  <c r="V52" i="3"/>
  <c r="U52" i="3"/>
  <c r="S53" i="3" s="1"/>
  <c r="P23" i="3" l="1"/>
  <c r="Z23" i="3" s="1"/>
  <c r="X23" i="3"/>
  <c r="W23" i="3"/>
  <c r="AB24" i="3"/>
  <c r="AE22" i="3"/>
  <c r="AF22" i="3" s="1"/>
  <c r="AH117" i="6"/>
  <c r="AH204" i="6" s="1"/>
  <c r="AH291" i="6" s="1"/>
  <c r="AH378" i="6" s="1"/>
  <c r="AH465" i="6" s="1"/>
  <c r="AI30" i="6"/>
  <c r="Y458" i="6"/>
  <c r="Z458" i="6" s="1"/>
  <c r="Q458" i="6"/>
  <c r="Y371" i="6"/>
  <c r="Z371" i="6" s="1"/>
  <c r="Q371" i="6"/>
  <c r="Y284" i="6"/>
  <c r="Z284" i="6" s="1"/>
  <c r="Q284" i="6"/>
  <c r="Y197" i="6"/>
  <c r="Z197" i="6" s="1"/>
  <c r="Q197" i="6"/>
  <c r="Y110" i="6"/>
  <c r="Z110" i="6" s="1"/>
  <c r="Q110" i="6"/>
  <c r="X23" i="6"/>
  <c r="W23" i="6"/>
  <c r="V23" i="6"/>
  <c r="P23" i="6"/>
  <c r="Y23" i="6" s="1"/>
  <c r="T177" i="3"/>
  <c r="AE176" i="3"/>
  <c r="AF176" i="3" s="1"/>
  <c r="Y177" i="3"/>
  <c r="X177" i="3"/>
  <c r="W177" i="3"/>
  <c r="P177" i="3"/>
  <c r="Q177" i="3" s="1"/>
  <c r="AB178" i="3"/>
  <c r="T146" i="3"/>
  <c r="AE145" i="3"/>
  <c r="AF145" i="3" s="1"/>
  <c r="Y146" i="3"/>
  <c r="X146" i="3"/>
  <c r="W146" i="3"/>
  <c r="P146" i="3"/>
  <c r="Q146" i="3" s="1"/>
  <c r="AB147" i="3"/>
  <c r="T115" i="3"/>
  <c r="AE114" i="3"/>
  <c r="AF114" i="3" s="1"/>
  <c r="Y115" i="3"/>
  <c r="X115" i="3"/>
  <c r="W115" i="3"/>
  <c r="P115" i="3"/>
  <c r="Q115" i="3" s="1"/>
  <c r="AB116" i="3"/>
  <c r="T84" i="3"/>
  <c r="AE83" i="3"/>
  <c r="AF83" i="3" s="1"/>
  <c r="Y84" i="3"/>
  <c r="X84" i="3"/>
  <c r="W84" i="3"/>
  <c r="P84" i="3"/>
  <c r="Q84" i="3" s="1"/>
  <c r="AB85" i="3"/>
  <c r="T53" i="3"/>
  <c r="AE52" i="3"/>
  <c r="AF52" i="3" s="1"/>
  <c r="Y53" i="3"/>
  <c r="X53" i="3"/>
  <c r="W53" i="3"/>
  <c r="P53" i="3"/>
  <c r="Q53" i="3" s="1"/>
  <c r="AB54" i="3"/>
  <c r="Q23" i="3" l="1"/>
  <c r="R23" i="3" s="1"/>
  <c r="U23" i="3" s="1"/>
  <c r="S24" i="3" s="1"/>
  <c r="AC23" i="3"/>
  <c r="AA23" i="3"/>
  <c r="AI117" i="6"/>
  <c r="AI204" i="6" s="1"/>
  <c r="AI291" i="6" s="1"/>
  <c r="AI378" i="6" s="1"/>
  <c r="AI465" i="6" s="1"/>
  <c r="AH31" i="6"/>
  <c r="O459" i="6"/>
  <c r="U458" i="6"/>
  <c r="O372" i="6"/>
  <c r="U371" i="6"/>
  <c r="O285" i="6"/>
  <c r="U284" i="6"/>
  <c r="O198" i="6"/>
  <c r="U197" i="6"/>
  <c r="O111" i="6"/>
  <c r="U110" i="6"/>
  <c r="Z23" i="6"/>
  <c r="Q23" i="6"/>
  <c r="U23" i="6" s="1"/>
  <c r="Z177" i="3"/>
  <c r="AA177" i="3" s="1"/>
  <c r="R177" i="3"/>
  <c r="AC177" i="3"/>
  <c r="Z146" i="3"/>
  <c r="AA146" i="3" s="1"/>
  <c r="R146" i="3"/>
  <c r="AC146" i="3"/>
  <c r="Z115" i="3"/>
  <c r="AA115" i="3" s="1"/>
  <c r="R115" i="3"/>
  <c r="AC115" i="3"/>
  <c r="Z84" i="3"/>
  <c r="AA84" i="3" s="1"/>
  <c r="R84" i="3"/>
  <c r="AC84" i="3"/>
  <c r="Z53" i="3"/>
  <c r="AA53" i="3" s="1"/>
  <c r="R53" i="3"/>
  <c r="AC53" i="3"/>
  <c r="V23" i="3" l="1"/>
  <c r="T24" i="3" s="1"/>
  <c r="O24" i="3"/>
  <c r="Y24" i="3" s="1"/>
  <c r="AD23" i="3"/>
  <c r="AH118" i="6"/>
  <c r="AH205" i="6" s="1"/>
  <c r="AH292" i="6" s="1"/>
  <c r="AH379" i="6" s="1"/>
  <c r="AH466" i="6" s="1"/>
  <c r="AI31" i="6"/>
  <c r="S459" i="6"/>
  <c r="AD458" i="6"/>
  <c r="X459" i="6"/>
  <c r="W459" i="6"/>
  <c r="V459" i="6"/>
  <c r="P459" i="6"/>
  <c r="S372" i="6"/>
  <c r="AD371" i="6"/>
  <c r="X372" i="6"/>
  <c r="W372" i="6"/>
  <c r="V372" i="6"/>
  <c r="P372" i="6"/>
  <c r="S285" i="6"/>
  <c r="AD284" i="6"/>
  <c r="X285" i="6"/>
  <c r="W285" i="6"/>
  <c r="V285" i="6"/>
  <c r="P285" i="6"/>
  <c r="S198" i="6"/>
  <c r="AD197" i="6"/>
  <c r="X198" i="6"/>
  <c r="W198" i="6"/>
  <c r="V198" i="6"/>
  <c r="P198" i="6"/>
  <c r="S111" i="6"/>
  <c r="AD110" i="6"/>
  <c r="X111" i="6"/>
  <c r="W111" i="6"/>
  <c r="V111" i="6"/>
  <c r="P111" i="6"/>
  <c r="O24" i="6"/>
  <c r="AD177" i="3"/>
  <c r="O178" i="3"/>
  <c r="V177" i="3"/>
  <c r="U177" i="3"/>
  <c r="S178" i="3" s="1"/>
  <c r="AD146" i="3"/>
  <c r="O147" i="3"/>
  <c r="V146" i="3"/>
  <c r="U146" i="3"/>
  <c r="S147" i="3" s="1"/>
  <c r="AD115" i="3"/>
  <c r="O116" i="3"/>
  <c r="V115" i="3"/>
  <c r="U115" i="3"/>
  <c r="S116" i="3" s="1"/>
  <c r="AD84" i="3"/>
  <c r="O85" i="3"/>
  <c r="V84" i="3"/>
  <c r="U84" i="3"/>
  <c r="S85" i="3" s="1"/>
  <c r="AD53" i="3"/>
  <c r="O54" i="3"/>
  <c r="V53" i="3"/>
  <c r="U53" i="3"/>
  <c r="S54" i="3" s="1"/>
  <c r="AE23" i="3" l="1"/>
  <c r="AF23" i="3" s="1"/>
  <c r="AB25" i="3"/>
  <c r="P24" i="3"/>
  <c r="Z24" i="3" s="1"/>
  <c r="X24" i="3"/>
  <c r="W24" i="3"/>
  <c r="AI118" i="6"/>
  <c r="AI205" i="6" s="1"/>
  <c r="AI292" i="6" s="1"/>
  <c r="AI379" i="6" s="1"/>
  <c r="AI466" i="6" s="1"/>
  <c r="AH32" i="6"/>
  <c r="Y459" i="6"/>
  <c r="Z459" i="6" s="1"/>
  <c r="Q459" i="6"/>
  <c r="Y372" i="6"/>
  <c r="Z372" i="6" s="1"/>
  <c r="Q372" i="6"/>
  <c r="Y285" i="6"/>
  <c r="Z285" i="6" s="1"/>
  <c r="Q285" i="6"/>
  <c r="Y198" i="6"/>
  <c r="Z198" i="6" s="1"/>
  <c r="Q198" i="6"/>
  <c r="Y111" i="6"/>
  <c r="Z111" i="6" s="1"/>
  <c r="Q111" i="6"/>
  <c r="X24" i="6"/>
  <c r="W24" i="6"/>
  <c r="V24" i="6"/>
  <c r="P24" i="6"/>
  <c r="Y24" i="6" s="1"/>
  <c r="T178" i="3"/>
  <c r="AE177" i="3"/>
  <c r="AF177" i="3" s="1"/>
  <c r="Y178" i="3"/>
  <c r="X178" i="3"/>
  <c r="W178" i="3"/>
  <c r="P178" i="3"/>
  <c r="Q178" i="3" s="1"/>
  <c r="AB179" i="3"/>
  <c r="T147" i="3"/>
  <c r="AE146" i="3"/>
  <c r="AF146" i="3" s="1"/>
  <c r="Y147" i="3"/>
  <c r="X147" i="3"/>
  <c r="W147" i="3"/>
  <c r="P147" i="3"/>
  <c r="Q147" i="3" s="1"/>
  <c r="AB148" i="3"/>
  <c r="T116" i="3"/>
  <c r="AE115" i="3"/>
  <c r="AF115" i="3" s="1"/>
  <c r="Y116" i="3"/>
  <c r="X116" i="3"/>
  <c r="W116" i="3"/>
  <c r="P116" i="3"/>
  <c r="Q116" i="3" s="1"/>
  <c r="AB117" i="3"/>
  <c r="T85" i="3"/>
  <c r="AE84" i="3"/>
  <c r="AF84" i="3" s="1"/>
  <c r="Y85" i="3"/>
  <c r="X85" i="3"/>
  <c r="W85" i="3"/>
  <c r="P85" i="3"/>
  <c r="Q85" i="3" s="1"/>
  <c r="AB86" i="3"/>
  <c r="T54" i="3"/>
  <c r="AE53" i="3"/>
  <c r="AF53" i="3" s="1"/>
  <c r="Y54" i="3"/>
  <c r="X54" i="3"/>
  <c r="W54" i="3"/>
  <c r="P54" i="3"/>
  <c r="Q54" i="3" s="1"/>
  <c r="AB55" i="3"/>
  <c r="AC24" i="3" l="1"/>
  <c r="Q24" i="3"/>
  <c r="R24" i="3" s="1"/>
  <c r="AA24" i="3"/>
  <c r="AH119" i="6"/>
  <c r="AH206" i="6" s="1"/>
  <c r="AH293" i="6" s="1"/>
  <c r="AH380" i="6" s="1"/>
  <c r="AH467" i="6" s="1"/>
  <c r="AI32" i="6"/>
  <c r="O460" i="6"/>
  <c r="U459" i="6"/>
  <c r="O373" i="6"/>
  <c r="U372" i="6"/>
  <c r="O286" i="6"/>
  <c r="U285" i="6"/>
  <c r="O199" i="6"/>
  <c r="U198" i="6"/>
  <c r="O112" i="6"/>
  <c r="U111" i="6"/>
  <c r="Z24" i="6"/>
  <c r="Q24" i="6"/>
  <c r="U24" i="6" s="1"/>
  <c r="Z178" i="3"/>
  <c r="AA178" i="3" s="1"/>
  <c r="R178" i="3"/>
  <c r="AC178" i="3"/>
  <c r="Z147" i="3"/>
  <c r="AA147" i="3" s="1"/>
  <c r="R147" i="3"/>
  <c r="AC147" i="3"/>
  <c r="Z116" i="3"/>
  <c r="AA116" i="3" s="1"/>
  <c r="R116" i="3"/>
  <c r="AC116" i="3"/>
  <c r="Z85" i="3"/>
  <c r="AA85" i="3" s="1"/>
  <c r="R85" i="3"/>
  <c r="AC85" i="3"/>
  <c r="Z54" i="3"/>
  <c r="AA54" i="3" s="1"/>
  <c r="R54" i="3"/>
  <c r="AC54" i="3"/>
  <c r="AD24" i="3" l="1"/>
  <c r="V24" i="3"/>
  <c r="O25" i="3"/>
  <c r="U24" i="3"/>
  <c r="S25" i="3" s="1"/>
  <c r="AI119" i="6"/>
  <c r="AI206" i="6" s="1"/>
  <c r="AI293" i="6" s="1"/>
  <c r="AI380" i="6" s="1"/>
  <c r="AI467" i="6" s="1"/>
  <c r="AH33" i="6"/>
  <c r="S460" i="6"/>
  <c r="AD459" i="6"/>
  <c r="X460" i="6"/>
  <c r="W460" i="6"/>
  <c r="V460" i="6"/>
  <c r="P460" i="6"/>
  <c r="S373" i="6"/>
  <c r="AD372" i="6"/>
  <c r="X373" i="6"/>
  <c r="W373" i="6"/>
  <c r="V373" i="6"/>
  <c r="P373" i="6"/>
  <c r="S286" i="6"/>
  <c r="AD285" i="6"/>
  <c r="X286" i="6"/>
  <c r="W286" i="6"/>
  <c r="V286" i="6"/>
  <c r="P286" i="6"/>
  <c r="S199" i="6"/>
  <c r="AD198" i="6"/>
  <c r="X199" i="6"/>
  <c r="W199" i="6"/>
  <c r="V199" i="6"/>
  <c r="P199" i="6"/>
  <c r="S112" i="6"/>
  <c r="AD111" i="6"/>
  <c r="X112" i="6"/>
  <c r="W112" i="6"/>
  <c r="V112" i="6"/>
  <c r="P112" i="6"/>
  <c r="O25" i="6"/>
  <c r="AD178" i="3"/>
  <c r="O179" i="3"/>
  <c r="V178" i="3"/>
  <c r="U178" i="3"/>
  <c r="S179" i="3" s="1"/>
  <c r="AD147" i="3"/>
  <c r="O148" i="3"/>
  <c r="V147" i="3"/>
  <c r="U147" i="3"/>
  <c r="S148" i="3" s="1"/>
  <c r="AD116" i="3"/>
  <c r="O117" i="3"/>
  <c r="V116" i="3"/>
  <c r="U116" i="3"/>
  <c r="S117" i="3" s="1"/>
  <c r="AD85" i="3"/>
  <c r="O86" i="3"/>
  <c r="V85" i="3"/>
  <c r="U85" i="3"/>
  <c r="S86" i="3" s="1"/>
  <c r="AD54" i="3"/>
  <c r="O55" i="3"/>
  <c r="V54" i="3"/>
  <c r="U54" i="3"/>
  <c r="S55" i="3" s="1"/>
  <c r="T25" i="3" l="1"/>
  <c r="AE24" i="3"/>
  <c r="AF24" i="3" s="1"/>
  <c r="X25" i="3"/>
  <c r="P25" i="3"/>
  <c r="Y25" i="3"/>
  <c r="W25" i="3"/>
  <c r="AB26" i="3"/>
  <c r="AH120" i="6"/>
  <c r="AH207" i="6" s="1"/>
  <c r="AH294" i="6" s="1"/>
  <c r="AH381" i="6" s="1"/>
  <c r="AH468" i="6" s="1"/>
  <c r="AI33" i="6"/>
  <c r="Y460" i="6"/>
  <c r="Z460" i="6" s="1"/>
  <c r="Q460" i="6"/>
  <c r="Y373" i="6"/>
  <c r="Z373" i="6" s="1"/>
  <c r="Q373" i="6"/>
  <c r="Y286" i="6"/>
  <c r="Z286" i="6" s="1"/>
  <c r="Q286" i="6"/>
  <c r="Y199" i="6"/>
  <c r="Z199" i="6" s="1"/>
  <c r="Q199" i="6"/>
  <c r="Y112" i="6"/>
  <c r="Z112" i="6" s="1"/>
  <c r="Q112" i="6"/>
  <c r="X25" i="6"/>
  <c r="W25" i="6"/>
  <c r="V25" i="6"/>
  <c r="P25" i="6"/>
  <c r="Y25" i="6" s="1"/>
  <c r="T179" i="3"/>
  <c r="AE178" i="3"/>
  <c r="AF178" i="3" s="1"/>
  <c r="Y179" i="3"/>
  <c r="X179" i="3"/>
  <c r="W179" i="3"/>
  <c r="P179" i="3"/>
  <c r="Q179" i="3" s="1"/>
  <c r="AB180" i="3"/>
  <c r="T148" i="3"/>
  <c r="AE147" i="3"/>
  <c r="AF147" i="3" s="1"/>
  <c r="Y148" i="3"/>
  <c r="X148" i="3"/>
  <c r="W148" i="3"/>
  <c r="P148" i="3"/>
  <c r="Q148" i="3" s="1"/>
  <c r="AB149" i="3"/>
  <c r="T117" i="3"/>
  <c r="AE116" i="3"/>
  <c r="AF116" i="3" s="1"/>
  <c r="Y117" i="3"/>
  <c r="X117" i="3"/>
  <c r="W117" i="3"/>
  <c r="P117" i="3"/>
  <c r="Q117" i="3" s="1"/>
  <c r="AB118" i="3"/>
  <c r="T86" i="3"/>
  <c r="AE85" i="3"/>
  <c r="AF85" i="3" s="1"/>
  <c r="Y86" i="3"/>
  <c r="X86" i="3"/>
  <c r="W86" i="3"/>
  <c r="P86" i="3"/>
  <c r="Q86" i="3" s="1"/>
  <c r="AB87" i="3"/>
  <c r="T55" i="3"/>
  <c r="AE54" i="3"/>
  <c r="AF54" i="3" s="1"/>
  <c r="Y55" i="3"/>
  <c r="X55" i="3"/>
  <c r="W55" i="3"/>
  <c r="P55" i="3"/>
  <c r="Q55" i="3" s="1"/>
  <c r="AB56" i="3"/>
  <c r="Z25" i="3" l="1"/>
  <c r="AA25" i="3" s="1"/>
  <c r="Q25" i="3"/>
  <c r="R25" i="3" s="1"/>
  <c r="AC25" i="3"/>
  <c r="AI120" i="6"/>
  <c r="AI207" i="6" s="1"/>
  <c r="AI294" i="6" s="1"/>
  <c r="AI381" i="6" s="1"/>
  <c r="AI468" i="6" s="1"/>
  <c r="AH34" i="6"/>
  <c r="O461" i="6"/>
  <c r="U460" i="6"/>
  <c r="O374" i="6"/>
  <c r="U373" i="6"/>
  <c r="O287" i="6"/>
  <c r="U286" i="6"/>
  <c r="O200" i="6"/>
  <c r="U199" i="6"/>
  <c r="O113" i="6"/>
  <c r="U112" i="6"/>
  <c r="Z25" i="6"/>
  <c r="Q25" i="6"/>
  <c r="U25" i="6" s="1"/>
  <c r="Z179" i="3"/>
  <c r="AA179" i="3" s="1"/>
  <c r="R179" i="3"/>
  <c r="AC179" i="3"/>
  <c r="Z148" i="3"/>
  <c r="AA148" i="3" s="1"/>
  <c r="R148" i="3"/>
  <c r="AC148" i="3"/>
  <c r="Z117" i="3"/>
  <c r="AA117" i="3" s="1"/>
  <c r="R117" i="3"/>
  <c r="AC117" i="3"/>
  <c r="Z86" i="3"/>
  <c r="AA86" i="3" s="1"/>
  <c r="R86" i="3"/>
  <c r="AC86" i="3"/>
  <c r="Z55" i="3"/>
  <c r="AA55" i="3" s="1"/>
  <c r="R55" i="3"/>
  <c r="AC55" i="3"/>
  <c r="AD25" i="3" l="1"/>
  <c r="O26" i="3"/>
  <c r="U25" i="3"/>
  <c r="S26" i="3" s="1"/>
  <c r="V25" i="3"/>
  <c r="AH121" i="6"/>
  <c r="AH208" i="6" s="1"/>
  <c r="AH295" i="6" s="1"/>
  <c r="AH382" i="6" s="1"/>
  <c r="AH469" i="6" s="1"/>
  <c r="AI34" i="6"/>
  <c r="S461" i="6"/>
  <c r="AD460" i="6"/>
  <c r="X461" i="6"/>
  <c r="W461" i="6"/>
  <c r="V461" i="6"/>
  <c r="P461" i="6"/>
  <c r="S374" i="6"/>
  <c r="AD373" i="6"/>
  <c r="X374" i="6"/>
  <c r="W374" i="6"/>
  <c r="V374" i="6"/>
  <c r="P374" i="6"/>
  <c r="S287" i="6"/>
  <c r="AD286" i="6"/>
  <c r="X287" i="6"/>
  <c r="W287" i="6"/>
  <c r="V287" i="6"/>
  <c r="P287" i="6"/>
  <c r="S200" i="6"/>
  <c r="AD199" i="6"/>
  <c r="X200" i="6"/>
  <c r="W200" i="6"/>
  <c r="V200" i="6"/>
  <c r="P200" i="6"/>
  <c r="S113" i="6"/>
  <c r="AD112" i="6"/>
  <c r="X113" i="6"/>
  <c r="W113" i="6"/>
  <c r="V113" i="6"/>
  <c r="P113" i="6"/>
  <c r="O26" i="6"/>
  <c r="AD179" i="3"/>
  <c r="O180" i="3"/>
  <c r="V179" i="3"/>
  <c r="U179" i="3"/>
  <c r="S180" i="3" s="1"/>
  <c r="AD148" i="3"/>
  <c r="O149" i="3"/>
  <c r="V148" i="3"/>
  <c r="U148" i="3"/>
  <c r="S149" i="3" s="1"/>
  <c r="AD117" i="3"/>
  <c r="O118" i="3"/>
  <c r="V117" i="3"/>
  <c r="U117" i="3"/>
  <c r="S118" i="3" s="1"/>
  <c r="AD86" i="3"/>
  <c r="O87" i="3"/>
  <c r="V86" i="3"/>
  <c r="U86" i="3"/>
  <c r="S87" i="3" s="1"/>
  <c r="AD55" i="3"/>
  <c r="O56" i="3"/>
  <c r="V55" i="3"/>
  <c r="U55" i="3"/>
  <c r="S56" i="3" s="1"/>
  <c r="X26" i="3" l="1"/>
  <c r="W26" i="3"/>
  <c r="Y26" i="3"/>
  <c r="AB27" i="3"/>
  <c r="P26" i="3"/>
  <c r="Z26" i="3" s="1"/>
  <c r="T26" i="3"/>
  <c r="AE25" i="3"/>
  <c r="AF25" i="3" s="1"/>
  <c r="AI121" i="6"/>
  <c r="AI208" i="6" s="1"/>
  <c r="AI295" i="6" s="1"/>
  <c r="AI382" i="6" s="1"/>
  <c r="AI469" i="6" s="1"/>
  <c r="AH35" i="6"/>
  <c r="Y461" i="6"/>
  <c r="Z461" i="6" s="1"/>
  <c r="Q461" i="6"/>
  <c r="Y374" i="6"/>
  <c r="Z374" i="6" s="1"/>
  <c r="Q374" i="6"/>
  <c r="Y287" i="6"/>
  <c r="Z287" i="6" s="1"/>
  <c r="Q287" i="6"/>
  <c r="Y200" i="6"/>
  <c r="Z200" i="6" s="1"/>
  <c r="Q200" i="6"/>
  <c r="Y113" i="6"/>
  <c r="Z113" i="6" s="1"/>
  <c r="Q113" i="6"/>
  <c r="X26" i="6"/>
  <c r="W26" i="6"/>
  <c r="V26" i="6"/>
  <c r="P26" i="6"/>
  <c r="Y26" i="6" s="1"/>
  <c r="T180" i="3"/>
  <c r="AE179" i="3"/>
  <c r="AF179" i="3" s="1"/>
  <c r="Y180" i="3"/>
  <c r="X180" i="3"/>
  <c r="W180" i="3"/>
  <c r="P180" i="3"/>
  <c r="Q180" i="3" s="1"/>
  <c r="AB181" i="3"/>
  <c r="T149" i="3"/>
  <c r="AE148" i="3"/>
  <c r="AF148" i="3" s="1"/>
  <c r="Y149" i="3"/>
  <c r="X149" i="3"/>
  <c r="W149" i="3"/>
  <c r="P149" i="3"/>
  <c r="Q149" i="3" s="1"/>
  <c r="AB150" i="3"/>
  <c r="T118" i="3"/>
  <c r="AE117" i="3"/>
  <c r="AF117" i="3" s="1"/>
  <c r="Y118" i="3"/>
  <c r="X118" i="3"/>
  <c r="W118" i="3"/>
  <c r="P118" i="3"/>
  <c r="Q118" i="3" s="1"/>
  <c r="AB119" i="3"/>
  <c r="T87" i="3"/>
  <c r="AE86" i="3"/>
  <c r="AF86" i="3" s="1"/>
  <c r="Y87" i="3"/>
  <c r="X87" i="3"/>
  <c r="W87" i="3"/>
  <c r="P87" i="3"/>
  <c r="Q87" i="3" s="1"/>
  <c r="AB88" i="3"/>
  <c r="T56" i="3"/>
  <c r="AE55" i="3"/>
  <c r="AF55" i="3" s="1"/>
  <c r="Y56" i="3"/>
  <c r="X56" i="3"/>
  <c r="W56" i="3"/>
  <c r="P56" i="3"/>
  <c r="Q56" i="3" s="1"/>
  <c r="AB57" i="3"/>
  <c r="AC26" i="3" l="1"/>
  <c r="Q26" i="3"/>
  <c r="R26" i="3" s="1"/>
  <c r="AA26" i="3"/>
  <c r="AH122" i="6"/>
  <c r="AH209" i="6" s="1"/>
  <c r="AH296" i="6" s="1"/>
  <c r="AH383" i="6" s="1"/>
  <c r="AH470" i="6" s="1"/>
  <c r="AI35" i="6"/>
  <c r="O462" i="6"/>
  <c r="U461" i="6"/>
  <c r="O375" i="6"/>
  <c r="U374" i="6"/>
  <c r="O288" i="6"/>
  <c r="U287" i="6"/>
  <c r="O201" i="6"/>
  <c r="U200" i="6"/>
  <c r="O114" i="6"/>
  <c r="U113" i="6"/>
  <c r="Z26" i="6"/>
  <c r="Q26" i="6"/>
  <c r="U26" i="6" s="1"/>
  <c r="Z180" i="3"/>
  <c r="AA180" i="3" s="1"/>
  <c r="R180" i="3"/>
  <c r="AC180" i="3"/>
  <c r="Z149" i="3"/>
  <c r="AA149" i="3" s="1"/>
  <c r="R149" i="3"/>
  <c r="AC149" i="3"/>
  <c r="Z118" i="3"/>
  <c r="AA118" i="3" s="1"/>
  <c r="R118" i="3"/>
  <c r="AC118" i="3"/>
  <c r="Z87" i="3"/>
  <c r="AA87" i="3" s="1"/>
  <c r="R87" i="3"/>
  <c r="AC87" i="3"/>
  <c r="Z56" i="3"/>
  <c r="AA56" i="3" s="1"/>
  <c r="R56" i="3"/>
  <c r="AC56" i="3"/>
  <c r="AD26" i="3" l="1"/>
  <c r="V26" i="3"/>
  <c r="U26" i="3"/>
  <c r="S27" i="3" s="1"/>
  <c r="O27" i="3"/>
  <c r="AI122" i="6"/>
  <c r="AI209" i="6" s="1"/>
  <c r="AI296" i="6" s="1"/>
  <c r="AI383" i="6" s="1"/>
  <c r="AI470" i="6" s="1"/>
  <c r="AH36" i="6"/>
  <c r="S462" i="6"/>
  <c r="AD461" i="6"/>
  <c r="X462" i="6"/>
  <c r="W462" i="6"/>
  <c r="V462" i="6"/>
  <c r="P462" i="6"/>
  <c r="S375" i="6"/>
  <c r="AD374" i="6"/>
  <c r="X375" i="6"/>
  <c r="W375" i="6"/>
  <c r="V375" i="6"/>
  <c r="P375" i="6"/>
  <c r="S288" i="6"/>
  <c r="AD287" i="6"/>
  <c r="X288" i="6"/>
  <c r="W288" i="6"/>
  <c r="V288" i="6"/>
  <c r="P288" i="6"/>
  <c r="S201" i="6"/>
  <c r="AD200" i="6"/>
  <c r="X201" i="6"/>
  <c r="W201" i="6"/>
  <c r="V201" i="6"/>
  <c r="P201" i="6"/>
  <c r="S114" i="6"/>
  <c r="AD113" i="6"/>
  <c r="X114" i="6"/>
  <c r="W114" i="6"/>
  <c r="V114" i="6"/>
  <c r="P114" i="6"/>
  <c r="O27" i="6"/>
  <c r="AD180" i="3"/>
  <c r="O181" i="3"/>
  <c r="V180" i="3"/>
  <c r="U180" i="3"/>
  <c r="S181" i="3" s="1"/>
  <c r="AD149" i="3"/>
  <c r="O150" i="3"/>
  <c r="V149" i="3"/>
  <c r="U149" i="3"/>
  <c r="S150" i="3" s="1"/>
  <c r="AD118" i="3"/>
  <c r="O119" i="3"/>
  <c r="V118" i="3"/>
  <c r="U118" i="3"/>
  <c r="S119" i="3" s="1"/>
  <c r="AD87" i="3"/>
  <c r="O88" i="3"/>
  <c r="V87" i="3"/>
  <c r="U87" i="3"/>
  <c r="S88" i="3" s="1"/>
  <c r="AD56" i="3"/>
  <c r="O57" i="3"/>
  <c r="V56" i="3"/>
  <c r="U56" i="3"/>
  <c r="S57" i="3" s="1"/>
  <c r="Y27" i="3" l="1"/>
  <c r="W27" i="3"/>
  <c r="X27" i="3"/>
  <c r="P27" i="3"/>
  <c r="AB28" i="3"/>
  <c r="T27" i="3"/>
  <c r="AE26" i="3"/>
  <c r="AF26" i="3" s="1"/>
  <c r="AH123" i="6"/>
  <c r="AH210" i="6" s="1"/>
  <c r="AH297" i="6" s="1"/>
  <c r="AH384" i="6" s="1"/>
  <c r="AH471" i="6" s="1"/>
  <c r="AI36" i="6"/>
  <c r="Y462" i="6"/>
  <c r="Z462" i="6" s="1"/>
  <c r="Q462" i="6"/>
  <c r="Y375" i="6"/>
  <c r="Z375" i="6" s="1"/>
  <c r="Q375" i="6"/>
  <c r="Y288" i="6"/>
  <c r="Z288" i="6" s="1"/>
  <c r="Q288" i="6"/>
  <c r="Y201" i="6"/>
  <c r="Z201" i="6" s="1"/>
  <c r="Q201" i="6"/>
  <c r="Y114" i="6"/>
  <c r="Z114" i="6" s="1"/>
  <c r="Q114" i="6"/>
  <c r="X27" i="6"/>
  <c r="W27" i="6"/>
  <c r="V27" i="6"/>
  <c r="P27" i="6"/>
  <c r="Y27" i="6" s="1"/>
  <c r="T181" i="3"/>
  <c r="AE180" i="3"/>
  <c r="AF180" i="3" s="1"/>
  <c r="Y181" i="3"/>
  <c r="X181" i="3"/>
  <c r="W181" i="3"/>
  <c r="P181" i="3"/>
  <c r="Q181" i="3" s="1"/>
  <c r="AB182" i="3"/>
  <c r="T150" i="3"/>
  <c r="AE149" i="3"/>
  <c r="AF149" i="3" s="1"/>
  <c r="Y150" i="3"/>
  <c r="X150" i="3"/>
  <c r="W150" i="3"/>
  <c r="P150" i="3"/>
  <c r="Q150" i="3" s="1"/>
  <c r="AB151" i="3"/>
  <c r="T119" i="3"/>
  <c r="AE118" i="3"/>
  <c r="AF118" i="3" s="1"/>
  <c r="Y119" i="3"/>
  <c r="X119" i="3"/>
  <c r="W119" i="3"/>
  <c r="P119" i="3"/>
  <c r="Q119" i="3" s="1"/>
  <c r="AB120" i="3"/>
  <c r="T88" i="3"/>
  <c r="AE87" i="3"/>
  <c r="AF87" i="3" s="1"/>
  <c r="Y88" i="3"/>
  <c r="X88" i="3"/>
  <c r="W88" i="3"/>
  <c r="P88" i="3"/>
  <c r="Q88" i="3" s="1"/>
  <c r="AB89" i="3"/>
  <c r="T57" i="3"/>
  <c r="AE56" i="3"/>
  <c r="AF56" i="3" s="1"/>
  <c r="Y57" i="3"/>
  <c r="X57" i="3"/>
  <c r="W57" i="3"/>
  <c r="P57" i="3"/>
  <c r="Q57" i="3" s="1"/>
  <c r="AB58" i="3"/>
  <c r="AC27" i="3" l="1"/>
  <c r="AB31" i="3"/>
  <c r="AB32" i="3"/>
  <c r="AB30" i="3"/>
  <c r="Z27" i="3"/>
  <c r="AA27" i="3" s="1"/>
  <c r="Q27" i="3"/>
  <c r="R27" i="3" s="1"/>
  <c r="AI123" i="6"/>
  <c r="AI210" i="6" s="1"/>
  <c r="AI297" i="6" s="1"/>
  <c r="AI384" i="6" s="1"/>
  <c r="AI471" i="6" s="1"/>
  <c r="AH37" i="6"/>
  <c r="O463" i="6"/>
  <c r="U462" i="6"/>
  <c r="O376" i="6"/>
  <c r="U375" i="6"/>
  <c r="O289" i="6"/>
  <c r="U288" i="6"/>
  <c r="O202" i="6"/>
  <c r="U201" i="6"/>
  <c r="O115" i="6"/>
  <c r="U114" i="6"/>
  <c r="Z27" i="6"/>
  <c r="Q27" i="6"/>
  <c r="U27" i="6" s="1"/>
  <c r="Z181" i="3"/>
  <c r="AA181" i="3" s="1"/>
  <c r="R181" i="3"/>
  <c r="AC181" i="3"/>
  <c r="Z150" i="3"/>
  <c r="AA150" i="3" s="1"/>
  <c r="R150" i="3"/>
  <c r="AC150" i="3"/>
  <c r="Z119" i="3"/>
  <c r="AA119" i="3" s="1"/>
  <c r="R119" i="3"/>
  <c r="AC119" i="3"/>
  <c r="Z88" i="3"/>
  <c r="AA88" i="3" s="1"/>
  <c r="R88" i="3"/>
  <c r="AC88" i="3"/>
  <c r="Z57" i="3"/>
  <c r="AA57" i="3" s="1"/>
  <c r="R57" i="3"/>
  <c r="AC57" i="3"/>
  <c r="AD27" i="3" l="1"/>
  <c r="V27" i="3"/>
  <c r="U27" i="3"/>
  <c r="S28" i="3" s="1"/>
  <c r="O28" i="3"/>
  <c r="AH124" i="6"/>
  <c r="AH211" i="6" s="1"/>
  <c r="AH298" i="6" s="1"/>
  <c r="AH385" i="6" s="1"/>
  <c r="AH472" i="6" s="1"/>
  <c r="AI37" i="6"/>
  <c r="S463" i="6"/>
  <c r="AD462" i="6"/>
  <c r="X463" i="6"/>
  <c r="W463" i="6"/>
  <c r="V463" i="6"/>
  <c r="P463" i="6"/>
  <c r="S376" i="6"/>
  <c r="AD375" i="6"/>
  <c r="X376" i="6"/>
  <c r="W376" i="6"/>
  <c r="V376" i="6"/>
  <c r="P376" i="6"/>
  <c r="S289" i="6"/>
  <c r="AD288" i="6"/>
  <c r="X289" i="6"/>
  <c r="W289" i="6"/>
  <c r="V289" i="6"/>
  <c r="P289" i="6"/>
  <c r="S202" i="6"/>
  <c r="AD201" i="6"/>
  <c r="X202" i="6"/>
  <c r="W202" i="6"/>
  <c r="V202" i="6"/>
  <c r="P202" i="6"/>
  <c r="S115" i="6"/>
  <c r="AD114" i="6"/>
  <c r="X115" i="6"/>
  <c r="W115" i="6"/>
  <c r="V115" i="6"/>
  <c r="P115" i="6"/>
  <c r="O28" i="6"/>
  <c r="AD181" i="3"/>
  <c r="O182" i="3"/>
  <c r="V181" i="3"/>
  <c r="U181" i="3"/>
  <c r="S182" i="3" s="1"/>
  <c r="AD150" i="3"/>
  <c r="O151" i="3"/>
  <c r="V150" i="3"/>
  <c r="U150" i="3"/>
  <c r="S151" i="3" s="1"/>
  <c r="AD119" i="3"/>
  <c r="O120" i="3"/>
  <c r="V119" i="3"/>
  <c r="U119" i="3"/>
  <c r="S120" i="3" s="1"/>
  <c r="AD88" i="3"/>
  <c r="O89" i="3"/>
  <c r="V88" i="3"/>
  <c r="U88" i="3"/>
  <c r="S89" i="3" s="1"/>
  <c r="AD57" i="3"/>
  <c r="O58" i="3"/>
  <c r="V57" i="3"/>
  <c r="U57" i="3"/>
  <c r="S58" i="3" s="1"/>
  <c r="W28" i="3" l="1"/>
  <c r="Y28" i="3"/>
  <c r="X28" i="3"/>
  <c r="P28" i="3"/>
  <c r="Z28" i="3" s="1"/>
  <c r="T28" i="3"/>
  <c r="AE27" i="3"/>
  <c r="AF27" i="3" s="1"/>
  <c r="AI124" i="6"/>
  <c r="AI211" i="6" s="1"/>
  <c r="AI298" i="6" s="1"/>
  <c r="AI385" i="6" s="1"/>
  <c r="AI472" i="6" s="1"/>
  <c r="AH38" i="6"/>
  <c r="Y463" i="6"/>
  <c r="Z463" i="6" s="1"/>
  <c r="Q463" i="6"/>
  <c r="Y376" i="6"/>
  <c r="Z376" i="6" s="1"/>
  <c r="Q376" i="6"/>
  <c r="Y289" i="6"/>
  <c r="Z289" i="6" s="1"/>
  <c r="Q289" i="6"/>
  <c r="Y202" i="6"/>
  <c r="Z202" i="6" s="1"/>
  <c r="Q202" i="6"/>
  <c r="Y115" i="6"/>
  <c r="Z115" i="6" s="1"/>
  <c r="Q115" i="6"/>
  <c r="X28" i="6"/>
  <c r="W28" i="6"/>
  <c r="V28" i="6"/>
  <c r="P28" i="6"/>
  <c r="Y28" i="6" s="1"/>
  <c r="T182" i="3"/>
  <c r="AE181" i="3"/>
  <c r="AF181" i="3" s="1"/>
  <c r="Y182" i="3"/>
  <c r="X182" i="3"/>
  <c r="W182" i="3"/>
  <c r="P182" i="3"/>
  <c r="Q182" i="3" s="1"/>
  <c r="AB183" i="3"/>
  <c r="T151" i="3"/>
  <c r="AE150" i="3"/>
  <c r="AF150" i="3" s="1"/>
  <c r="Y151" i="3"/>
  <c r="X151" i="3"/>
  <c r="W151" i="3"/>
  <c r="P151" i="3"/>
  <c r="Q151" i="3" s="1"/>
  <c r="AB152" i="3"/>
  <c r="T120" i="3"/>
  <c r="AE119" i="3"/>
  <c r="AF119" i="3" s="1"/>
  <c r="Y120" i="3"/>
  <c r="X120" i="3"/>
  <c r="W120" i="3"/>
  <c r="P120" i="3"/>
  <c r="Q120" i="3" s="1"/>
  <c r="AB121" i="3"/>
  <c r="T89" i="3"/>
  <c r="AE88" i="3"/>
  <c r="AF88" i="3" s="1"/>
  <c r="Y89" i="3"/>
  <c r="X89" i="3"/>
  <c r="W89" i="3"/>
  <c r="P89" i="3"/>
  <c r="Q89" i="3" s="1"/>
  <c r="AB90" i="3"/>
  <c r="T58" i="3"/>
  <c r="AE57" i="3"/>
  <c r="AF57" i="3" s="1"/>
  <c r="Y58" i="3"/>
  <c r="X58" i="3"/>
  <c r="W58" i="3"/>
  <c r="P58" i="3"/>
  <c r="Q58" i="3" s="1"/>
  <c r="AB59" i="3"/>
  <c r="AC28" i="3" l="1"/>
  <c r="X32" i="3"/>
  <c r="X31" i="3"/>
  <c r="X30" i="3"/>
  <c r="Z32" i="3"/>
  <c r="Z31" i="3"/>
  <c r="Z30" i="3"/>
  <c r="Y30" i="3"/>
  <c r="Y31" i="3"/>
  <c r="Y32" i="3"/>
  <c r="Q28" i="3"/>
  <c r="R28" i="3" s="1"/>
  <c r="W30" i="3"/>
  <c r="W31" i="3"/>
  <c r="W32" i="3"/>
  <c r="AA28" i="3"/>
  <c r="AH125" i="6"/>
  <c r="AH212" i="6" s="1"/>
  <c r="AH299" i="6" s="1"/>
  <c r="AH386" i="6" s="1"/>
  <c r="AH473" i="6" s="1"/>
  <c r="AI38" i="6"/>
  <c r="O464" i="6"/>
  <c r="U463" i="6"/>
  <c r="O377" i="6"/>
  <c r="U376" i="6"/>
  <c r="O290" i="6"/>
  <c r="U289" i="6"/>
  <c r="O203" i="6"/>
  <c r="U202" i="6"/>
  <c r="O116" i="6"/>
  <c r="U115" i="6"/>
  <c r="Z28" i="6"/>
  <c r="Q28" i="6"/>
  <c r="U28" i="6" s="1"/>
  <c r="AB187" i="3"/>
  <c r="AB186" i="3"/>
  <c r="AB185" i="3"/>
  <c r="Z182" i="3"/>
  <c r="AA182" i="3" s="1"/>
  <c r="R182" i="3"/>
  <c r="AC182" i="3"/>
  <c r="AB156" i="3"/>
  <c r="AB155" i="3"/>
  <c r="AB154" i="3"/>
  <c r="Z151" i="3"/>
  <c r="AA151" i="3" s="1"/>
  <c r="R151" i="3"/>
  <c r="AC151" i="3"/>
  <c r="AB125" i="3"/>
  <c r="AB124" i="3"/>
  <c r="AB123" i="3"/>
  <c r="Z120" i="3"/>
  <c r="AA120" i="3" s="1"/>
  <c r="R120" i="3"/>
  <c r="AC120" i="3"/>
  <c r="AB94" i="3"/>
  <c r="AB93" i="3"/>
  <c r="AB92" i="3"/>
  <c r="Z89" i="3"/>
  <c r="AA89" i="3" s="1"/>
  <c r="R89" i="3"/>
  <c r="AC89" i="3"/>
  <c r="AB63" i="3"/>
  <c r="AB62" i="3"/>
  <c r="AB61" i="3"/>
  <c r="Z58" i="3"/>
  <c r="AA58" i="3" s="1"/>
  <c r="R58" i="3"/>
  <c r="AC58" i="3"/>
  <c r="AA32" i="3" l="1"/>
  <c r="AA31" i="3"/>
  <c r="AA30" i="3"/>
  <c r="AD28" i="3"/>
  <c r="U28" i="3"/>
  <c r="V28" i="3"/>
  <c r="AE28" i="3" s="1"/>
  <c r="AC32" i="3"/>
  <c r="AC31" i="3"/>
  <c r="AC30" i="3"/>
  <c r="AI125" i="6"/>
  <c r="AI212" i="6" s="1"/>
  <c r="AI299" i="6" s="1"/>
  <c r="AI386" i="6" s="1"/>
  <c r="AI473" i="6" s="1"/>
  <c r="AH39" i="6"/>
  <c r="S464" i="6"/>
  <c r="AD463" i="6"/>
  <c r="X464" i="6"/>
  <c r="W464" i="6"/>
  <c r="V464" i="6"/>
  <c r="P464" i="6"/>
  <c r="S377" i="6"/>
  <c r="AD376" i="6"/>
  <c r="X377" i="6"/>
  <c r="W377" i="6"/>
  <c r="V377" i="6"/>
  <c r="P377" i="6"/>
  <c r="S290" i="6"/>
  <c r="AD289" i="6"/>
  <c r="X290" i="6"/>
  <c r="W290" i="6"/>
  <c r="V290" i="6"/>
  <c r="P290" i="6"/>
  <c r="S203" i="6"/>
  <c r="AD202" i="6"/>
  <c r="X203" i="6"/>
  <c r="W203" i="6"/>
  <c r="V203" i="6"/>
  <c r="P203" i="6"/>
  <c r="S116" i="6"/>
  <c r="AD115" i="6"/>
  <c r="X116" i="6"/>
  <c r="W116" i="6"/>
  <c r="V116" i="6"/>
  <c r="P116" i="6"/>
  <c r="O29" i="6"/>
  <c r="AD182" i="3"/>
  <c r="O183" i="3"/>
  <c r="V182" i="3"/>
  <c r="U182" i="3"/>
  <c r="S183" i="3" s="1"/>
  <c r="AD151" i="3"/>
  <c r="O152" i="3"/>
  <c r="V151" i="3"/>
  <c r="U151" i="3"/>
  <c r="S152" i="3" s="1"/>
  <c r="AD120" i="3"/>
  <c r="O121" i="3"/>
  <c r="V120" i="3"/>
  <c r="U120" i="3"/>
  <c r="S121" i="3" s="1"/>
  <c r="AD89" i="3"/>
  <c r="O90" i="3"/>
  <c r="V89" i="3"/>
  <c r="U89" i="3"/>
  <c r="S90" i="3" s="1"/>
  <c r="AD58" i="3"/>
  <c r="O59" i="3"/>
  <c r="V58" i="3"/>
  <c r="U58" i="3"/>
  <c r="S59" i="3" s="1"/>
  <c r="AD31" i="3" l="1"/>
  <c r="AD30" i="3"/>
  <c r="AD32" i="3"/>
  <c r="W34" i="3" s="1"/>
  <c r="B4" i="3" s="1"/>
  <c r="AF28" i="3"/>
  <c r="AE32" i="3"/>
  <c r="AE31" i="3"/>
  <c r="AE30" i="3"/>
  <c r="AH126" i="6"/>
  <c r="AH213" i="6" s="1"/>
  <c r="AH300" i="6" s="1"/>
  <c r="AH387" i="6" s="1"/>
  <c r="AH474" i="6" s="1"/>
  <c r="AI39" i="6"/>
  <c r="Y464" i="6"/>
  <c r="Z464" i="6" s="1"/>
  <c r="Q464" i="6"/>
  <c r="Y377" i="6"/>
  <c r="Z377" i="6" s="1"/>
  <c r="Q377" i="6"/>
  <c r="Y290" i="6"/>
  <c r="Z290" i="6" s="1"/>
  <c r="Q290" i="6"/>
  <c r="Y203" i="6"/>
  <c r="Z203" i="6" s="1"/>
  <c r="Q203" i="6"/>
  <c r="Y116" i="6"/>
  <c r="Z116" i="6" s="1"/>
  <c r="Q116" i="6"/>
  <c r="X29" i="6"/>
  <c r="W29" i="6"/>
  <c r="V29" i="6"/>
  <c r="P29" i="6"/>
  <c r="Y29" i="6" s="1"/>
  <c r="T183" i="3"/>
  <c r="AE182" i="3"/>
  <c r="AF182" i="3" s="1"/>
  <c r="Y183" i="3"/>
  <c r="X183" i="3"/>
  <c r="W183" i="3"/>
  <c r="P183" i="3"/>
  <c r="Q183" i="3" s="1"/>
  <c r="T152" i="3"/>
  <c r="AE151" i="3"/>
  <c r="AF151" i="3" s="1"/>
  <c r="Y152" i="3"/>
  <c r="X152" i="3"/>
  <c r="W152" i="3"/>
  <c r="P152" i="3"/>
  <c r="Q152" i="3" s="1"/>
  <c r="T121" i="3"/>
  <c r="AE120" i="3"/>
  <c r="AF120" i="3" s="1"/>
  <c r="Y121" i="3"/>
  <c r="X121" i="3"/>
  <c r="W121" i="3"/>
  <c r="P121" i="3"/>
  <c r="Q121" i="3" s="1"/>
  <c r="T90" i="3"/>
  <c r="AE89" i="3"/>
  <c r="AF89" i="3" s="1"/>
  <c r="Y90" i="3"/>
  <c r="X90" i="3"/>
  <c r="W90" i="3"/>
  <c r="P90" i="3"/>
  <c r="Q90" i="3" s="1"/>
  <c r="T59" i="3"/>
  <c r="AE58" i="3"/>
  <c r="AF58" i="3" s="1"/>
  <c r="Y59" i="3"/>
  <c r="X59" i="3"/>
  <c r="W59" i="3"/>
  <c r="P59" i="3"/>
  <c r="Q59" i="3" s="1"/>
  <c r="B5" i="3" l="1"/>
  <c r="AF32" i="3"/>
  <c r="W35" i="3" s="1"/>
  <c r="AF30" i="3"/>
  <c r="AF31" i="3"/>
  <c r="AI126" i="6"/>
  <c r="AI213" i="6" s="1"/>
  <c r="AI300" i="6" s="1"/>
  <c r="AI387" i="6" s="1"/>
  <c r="AI474" i="6" s="1"/>
  <c r="AH40" i="6"/>
  <c r="O465" i="6"/>
  <c r="U464" i="6"/>
  <c r="O378" i="6"/>
  <c r="U377" i="6"/>
  <c r="O291" i="6"/>
  <c r="U290" i="6"/>
  <c r="O204" i="6"/>
  <c r="U203" i="6"/>
  <c r="O117" i="6"/>
  <c r="U116" i="6"/>
  <c r="Z29" i="6"/>
  <c r="Q29" i="6"/>
  <c r="Z183" i="3"/>
  <c r="AA183" i="3" s="1"/>
  <c r="R183" i="3"/>
  <c r="W187" i="3"/>
  <c r="W186" i="3"/>
  <c r="W185" i="3"/>
  <c r="X187" i="3"/>
  <c r="X186" i="3"/>
  <c r="X185" i="3"/>
  <c r="Y187" i="3"/>
  <c r="Y186" i="3"/>
  <c r="Y185" i="3"/>
  <c r="AC183" i="3"/>
  <c r="Z152" i="3"/>
  <c r="AA152" i="3" s="1"/>
  <c r="R152" i="3"/>
  <c r="W156" i="3"/>
  <c r="W155" i="3"/>
  <c r="W154" i="3"/>
  <c r="X156" i="3"/>
  <c r="X155" i="3"/>
  <c r="X154" i="3"/>
  <c r="Y156" i="3"/>
  <c r="Y155" i="3"/>
  <c r="Y154" i="3"/>
  <c r="AC152" i="3"/>
  <c r="Z121" i="3"/>
  <c r="AA121" i="3" s="1"/>
  <c r="R121" i="3"/>
  <c r="W125" i="3"/>
  <c r="W124" i="3"/>
  <c r="W123" i="3"/>
  <c r="X125" i="3"/>
  <c r="X124" i="3"/>
  <c r="X123" i="3"/>
  <c r="Y125" i="3"/>
  <c r="Y124" i="3"/>
  <c r="Y123" i="3"/>
  <c r="AC121" i="3"/>
  <c r="Z90" i="3"/>
  <c r="AA90" i="3" s="1"/>
  <c r="R90" i="3"/>
  <c r="W94" i="3"/>
  <c r="W93" i="3"/>
  <c r="W92" i="3"/>
  <c r="X94" i="3"/>
  <c r="X93" i="3"/>
  <c r="X92" i="3"/>
  <c r="Y94" i="3"/>
  <c r="Y93" i="3"/>
  <c r="Y92" i="3"/>
  <c r="AC90" i="3"/>
  <c r="Z59" i="3"/>
  <c r="AA59" i="3" s="1"/>
  <c r="R59" i="3"/>
  <c r="W63" i="3"/>
  <c r="W62" i="3"/>
  <c r="W61" i="3"/>
  <c r="X63" i="3"/>
  <c r="X62" i="3"/>
  <c r="X61" i="3"/>
  <c r="Y63" i="3"/>
  <c r="Y62" i="3"/>
  <c r="Y61" i="3"/>
  <c r="AC59" i="3"/>
  <c r="AH127" i="6" l="1"/>
  <c r="AH214" i="6" s="1"/>
  <c r="AH301" i="6" s="1"/>
  <c r="AH388" i="6" s="1"/>
  <c r="AH475" i="6" s="1"/>
  <c r="AI40" i="6"/>
  <c r="S465" i="6"/>
  <c r="AD464" i="6"/>
  <c r="X465" i="6"/>
  <c r="W465" i="6"/>
  <c r="V465" i="6"/>
  <c r="P465" i="6"/>
  <c r="S378" i="6"/>
  <c r="AD377" i="6"/>
  <c r="X378" i="6"/>
  <c r="W378" i="6"/>
  <c r="V378" i="6"/>
  <c r="P378" i="6"/>
  <c r="S291" i="6"/>
  <c r="AD290" i="6"/>
  <c r="X291" i="6"/>
  <c r="W291" i="6"/>
  <c r="V291" i="6"/>
  <c r="P291" i="6"/>
  <c r="S204" i="6"/>
  <c r="AD203" i="6"/>
  <c r="X204" i="6"/>
  <c r="W204" i="6"/>
  <c r="V204" i="6"/>
  <c r="P204" i="6"/>
  <c r="S117" i="6"/>
  <c r="AD116" i="6"/>
  <c r="X117" i="6"/>
  <c r="W117" i="6"/>
  <c r="V117" i="6"/>
  <c r="P117" i="6"/>
  <c r="O30" i="6"/>
  <c r="U29" i="6"/>
  <c r="S30" i="6" s="1"/>
  <c r="AC187" i="3"/>
  <c r="AC186" i="3"/>
  <c r="AC185" i="3"/>
  <c r="AD183" i="3"/>
  <c r="AA187" i="3"/>
  <c r="AA186" i="3"/>
  <c r="AA185" i="3"/>
  <c r="V183" i="3"/>
  <c r="AE183" i="3" s="1"/>
  <c r="U183" i="3"/>
  <c r="Z187" i="3"/>
  <c r="Z186" i="3"/>
  <c r="Z185" i="3"/>
  <c r="AC156" i="3"/>
  <c r="AC155" i="3"/>
  <c r="AC154" i="3"/>
  <c r="AD152" i="3"/>
  <c r="AA156" i="3"/>
  <c r="AA155" i="3"/>
  <c r="AA154" i="3"/>
  <c r="V152" i="3"/>
  <c r="AE152" i="3" s="1"/>
  <c r="U152" i="3"/>
  <c r="Z156" i="3"/>
  <c r="Z155" i="3"/>
  <c r="Z154" i="3"/>
  <c r="AC125" i="3"/>
  <c r="AC124" i="3"/>
  <c r="AC123" i="3"/>
  <c r="AD121" i="3"/>
  <c r="AA125" i="3"/>
  <c r="AA124" i="3"/>
  <c r="AA123" i="3"/>
  <c r="V121" i="3"/>
  <c r="AE121" i="3" s="1"/>
  <c r="U121" i="3"/>
  <c r="Z125" i="3"/>
  <c r="Z124" i="3"/>
  <c r="Z123" i="3"/>
  <c r="AC94" i="3"/>
  <c r="AC93" i="3"/>
  <c r="AC92" i="3"/>
  <c r="AD90" i="3"/>
  <c r="AA94" i="3"/>
  <c r="AA93" i="3"/>
  <c r="AA92" i="3"/>
  <c r="V90" i="3"/>
  <c r="AE90" i="3" s="1"/>
  <c r="U90" i="3"/>
  <c r="Z94" i="3"/>
  <c r="Z93" i="3"/>
  <c r="Z92" i="3"/>
  <c r="AC63" i="3"/>
  <c r="AC62" i="3"/>
  <c r="AC61" i="3"/>
  <c r="AD59" i="3"/>
  <c r="AA63" i="3"/>
  <c r="AA62" i="3"/>
  <c r="AA61" i="3"/>
  <c r="V59" i="3"/>
  <c r="AE59" i="3" s="1"/>
  <c r="U59" i="3"/>
  <c r="Z63" i="3"/>
  <c r="Z62" i="3"/>
  <c r="Z61" i="3"/>
  <c r="AI127" i="6" l="1"/>
  <c r="AI214" i="6" s="1"/>
  <c r="AI301" i="6" s="1"/>
  <c r="AI388" i="6" s="1"/>
  <c r="AI475" i="6" s="1"/>
  <c r="AH41" i="6"/>
  <c r="Y465" i="6"/>
  <c r="Z465" i="6" s="1"/>
  <c r="Q465" i="6"/>
  <c r="Y378" i="6"/>
  <c r="Z378" i="6" s="1"/>
  <c r="Q378" i="6"/>
  <c r="Y291" i="6"/>
  <c r="Z291" i="6" s="1"/>
  <c r="Q291" i="6"/>
  <c r="Y204" i="6"/>
  <c r="Z204" i="6" s="1"/>
  <c r="Q204" i="6"/>
  <c r="Y117" i="6"/>
  <c r="Z117" i="6" s="1"/>
  <c r="Q117" i="6"/>
  <c r="X30" i="6"/>
  <c r="W30" i="6"/>
  <c r="V30" i="6"/>
  <c r="P30" i="6"/>
  <c r="Y30" i="6" s="1"/>
  <c r="AE187" i="3"/>
  <c r="AE186" i="3"/>
  <c r="AE185" i="3"/>
  <c r="AF183" i="3"/>
  <c r="AD187" i="3"/>
  <c r="W189" i="3" s="1"/>
  <c r="G4" i="3" s="1"/>
  <c r="G5" i="3" s="1"/>
  <c r="AD186" i="3"/>
  <c r="AD185" i="3"/>
  <c r="AE156" i="3"/>
  <c r="AE155" i="3"/>
  <c r="AE154" i="3"/>
  <c r="AF152" i="3"/>
  <c r="AD156" i="3"/>
  <c r="W158" i="3" s="1"/>
  <c r="F4" i="3" s="1"/>
  <c r="F5" i="3" s="1"/>
  <c r="AD155" i="3"/>
  <c r="AD154" i="3"/>
  <c r="AE125" i="3"/>
  <c r="AE124" i="3"/>
  <c r="AE123" i="3"/>
  <c r="AF121" i="3"/>
  <c r="AD125" i="3"/>
  <c r="W127" i="3" s="1"/>
  <c r="AD124" i="3"/>
  <c r="AD123" i="3"/>
  <c r="AE94" i="3"/>
  <c r="AE93" i="3"/>
  <c r="AE92" i="3"/>
  <c r="AF90" i="3"/>
  <c r="AD94" i="3"/>
  <c r="W96" i="3" s="1"/>
  <c r="D4" i="3" s="1"/>
  <c r="D5" i="3" s="1"/>
  <c r="AD93" i="3"/>
  <c r="AD92" i="3"/>
  <c r="AE63" i="3"/>
  <c r="AE62" i="3"/>
  <c r="AE61" i="3"/>
  <c r="AF59" i="3"/>
  <c r="AD63" i="3"/>
  <c r="W65" i="3" s="1"/>
  <c r="C4" i="3" s="1"/>
  <c r="AD62" i="3"/>
  <c r="AD61" i="3"/>
  <c r="C5" i="3" l="1"/>
  <c r="Q30" i="6"/>
  <c r="O31" i="6" s="1"/>
  <c r="AH128" i="6"/>
  <c r="AH215" i="6" s="1"/>
  <c r="AH302" i="6" s="1"/>
  <c r="AH389" i="6" s="1"/>
  <c r="AH476" i="6" s="1"/>
  <c r="AI41" i="6"/>
  <c r="O466" i="6"/>
  <c r="U465" i="6"/>
  <c r="O379" i="6"/>
  <c r="U378" i="6"/>
  <c r="O292" i="6"/>
  <c r="U291" i="6"/>
  <c r="O205" i="6"/>
  <c r="U204" i="6"/>
  <c r="O118" i="6"/>
  <c r="U117" i="6"/>
  <c r="Z30" i="6"/>
  <c r="AF187" i="3"/>
  <c r="W190" i="3" s="1"/>
  <c r="AF186" i="3"/>
  <c r="AF185" i="3"/>
  <c r="AF156" i="3"/>
  <c r="W159" i="3" s="1"/>
  <c r="AF155" i="3"/>
  <c r="AF154" i="3"/>
  <c r="AF125" i="3"/>
  <c r="W128" i="3" s="1"/>
  <c r="E4" i="3" s="1"/>
  <c r="E5" i="3" s="1"/>
  <c r="AF124" i="3"/>
  <c r="AF123" i="3"/>
  <c r="AF94" i="3"/>
  <c r="W97" i="3" s="1"/>
  <c r="AF93" i="3"/>
  <c r="AF92" i="3"/>
  <c r="AF63" i="3"/>
  <c r="W66" i="3" s="1"/>
  <c r="AF62" i="3"/>
  <c r="AF61" i="3"/>
  <c r="U30" i="6" l="1"/>
  <c r="S31" i="6" s="1"/>
  <c r="AI128" i="6"/>
  <c r="AI215" i="6" s="1"/>
  <c r="AI302" i="6" s="1"/>
  <c r="AI389" i="6" s="1"/>
  <c r="AI476" i="6" s="1"/>
  <c r="AH42" i="6"/>
  <c r="S466" i="6"/>
  <c r="AD465" i="6"/>
  <c r="X466" i="6"/>
  <c r="W466" i="6"/>
  <c r="V466" i="6"/>
  <c r="P466" i="6"/>
  <c r="S379" i="6"/>
  <c r="AD378" i="6"/>
  <c r="X379" i="6"/>
  <c r="W379" i="6"/>
  <c r="V379" i="6"/>
  <c r="P379" i="6"/>
  <c r="S292" i="6"/>
  <c r="AD291" i="6"/>
  <c r="X292" i="6"/>
  <c r="W292" i="6"/>
  <c r="V292" i="6"/>
  <c r="P292" i="6"/>
  <c r="S205" i="6"/>
  <c r="AD204" i="6"/>
  <c r="X205" i="6"/>
  <c r="W205" i="6"/>
  <c r="V205" i="6"/>
  <c r="P205" i="6"/>
  <c r="S118" i="6"/>
  <c r="AD117" i="6"/>
  <c r="X118" i="6"/>
  <c r="W118" i="6"/>
  <c r="V118" i="6"/>
  <c r="P118" i="6"/>
  <c r="X31" i="6"/>
  <c r="W31" i="6"/>
  <c r="V31" i="6"/>
  <c r="P31" i="6"/>
  <c r="Y31" i="6" s="1"/>
  <c r="AD30" i="6" l="1"/>
  <c r="Q31" i="6"/>
  <c r="O32" i="6" s="1"/>
  <c r="AH129" i="6"/>
  <c r="AH216" i="6" s="1"/>
  <c r="AH303" i="6" s="1"/>
  <c r="AH390" i="6" s="1"/>
  <c r="AH477" i="6" s="1"/>
  <c r="AI42" i="6"/>
  <c r="Y466" i="6"/>
  <c r="Z466" i="6" s="1"/>
  <c r="Q466" i="6"/>
  <c r="Y379" i="6"/>
  <c r="Z379" i="6" s="1"/>
  <c r="Q379" i="6"/>
  <c r="Y292" i="6"/>
  <c r="Z292" i="6" s="1"/>
  <c r="Q292" i="6"/>
  <c r="Y205" i="6"/>
  <c r="Z205" i="6" s="1"/>
  <c r="Q205" i="6"/>
  <c r="Y118" i="6"/>
  <c r="Z118" i="6" s="1"/>
  <c r="Q118" i="6"/>
  <c r="Z31" i="6"/>
  <c r="U31" i="6" l="1"/>
  <c r="S32" i="6" s="1"/>
  <c r="AI129" i="6"/>
  <c r="AI216" i="6" s="1"/>
  <c r="AI303" i="6" s="1"/>
  <c r="AI390" i="6" s="1"/>
  <c r="AI477" i="6" s="1"/>
  <c r="AH43" i="6"/>
  <c r="O467" i="6"/>
  <c r="U466" i="6"/>
  <c r="O380" i="6"/>
  <c r="U379" i="6"/>
  <c r="O293" i="6"/>
  <c r="U292" i="6"/>
  <c r="O206" i="6"/>
  <c r="U205" i="6"/>
  <c r="O119" i="6"/>
  <c r="U118" i="6"/>
  <c r="X32" i="6"/>
  <c r="W32" i="6"/>
  <c r="V32" i="6"/>
  <c r="P32" i="6"/>
  <c r="Y32" i="6" s="1"/>
  <c r="AD31" i="6" l="1"/>
  <c r="Q32" i="6"/>
  <c r="U32" i="6" s="1"/>
  <c r="AH130" i="6"/>
  <c r="AH217" i="6" s="1"/>
  <c r="AH304" i="6" s="1"/>
  <c r="AH391" i="6" s="1"/>
  <c r="AH478" i="6" s="1"/>
  <c r="AI43" i="6"/>
  <c r="S467" i="6"/>
  <c r="AD466" i="6"/>
  <c r="X467" i="6"/>
  <c r="W467" i="6"/>
  <c r="V467" i="6"/>
  <c r="P467" i="6"/>
  <c r="S380" i="6"/>
  <c r="AD379" i="6"/>
  <c r="X380" i="6"/>
  <c r="W380" i="6"/>
  <c r="V380" i="6"/>
  <c r="P380" i="6"/>
  <c r="S293" i="6"/>
  <c r="AD292" i="6"/>
  <c r="X293" i="6"/>
  <c r="W293" i="6"/>
  <c r="V293" i="6"/>
  <c r="P293" i="6"/>
  <c r="S206" i="6"/>
  <c r="AD205" i="6"/>
  <c r="X206" i="6"/>
  <c r="W206" i="6"/>
  <c r="V206" i="6"/>
  <c r="P206" i="6"/>
  <c r="S119" i="6"/>
  <c r="AD118" i="6"/>
  <c r="X119" i="6"/>
  <c r="W119" i="6"/>
  <c r="V119" i="6"/>
  <c r="P119" i="6"/>
  <c r="Z32" i="6"/>
  <c r="O33" i="6" l="1"/>
  <c r="P33" i="6" s="1"/>
  <c r="Y33" i="6" s="1"/>
  <c r="AI130" i="6"/>
  <c r="AI217" i="6" s="1"/>
  <c r="AI304" i="6" s="1"/>
  <c r="AI391" i="6" s="1"/>
  <c r="AI478" i="6" s="1"/>
  <c r="AH44" i="6"/>
  <c r="Y467" i="6"/>
  <c r="Z467" i="6" s="1"/>
  <c r="Q467" i="6"/>
  <c r="Y380" i="6"/>
  <c r="Z380" i="6" s="1"/>
  <c r="Q380" i="6"/>
  <c r="Y293" i="6"/>
  <c r="Z293" i="6" s="1"/>
  <c r="Q293" i="6"/>
  <c r="Y206" i="6"/>
  <c r="Z206" i="6" s="1"/>
  <c r="Q206" i="6"/>
  <c r="Y119" i="6"/>
  <c r="Z119" i="6" s="1"/>
  <c r="Q119" i="6"/>
  <c r="S33" i="6"/>
  <c r="AD32" i="6"/>
  <c r="W33" i="6"/>
  <c r="X33" i="6" l="1"/>
  <c r="V33" i="6"/>
  <c r="Q33" i="6"/>
  <c r="U33" i="6" s="1"/>
  <c r="S34" i="6" s="1"/>
  <c r="AH131" i="6"/>
  <c r="AH218" i="6" s="1"/>
  <c r="AH305" i="6" s="1"/>
  <c r="AH392" i="6" s="1"/>
  <c r="AH479" i="6" s="1"/>
  <c r="AI44" i="6"/>
  <c r="O468" i="6"/>
  <c r="U467" i="6"/>
  <c r="O381" i="6"/>
  <c r="U380" i="6"/>
  <c r="O294" i="6"/>
  <c r="U293" i="6"/>
  <c r="O207" i="6"/>
  <c r="U206" i="6"/>
  <c r="O120" i="6"/>
  <c r="U119" i="6"/>
  <c r="Z33" i="6" l="1"/>
  <c r="O34" i="6"/>
  <c r="W34" i="6" s="1"/>
  <c r="AD33" i="6"/>
  <c r="AI131" i="6"/>
  <c r="AI218" i="6" s="1"/>
  <c r="AI305" i="6" s="1"/>
  <c r="AI392" i="6" s="1"/>
  <c r="AI479" i="6" s="1"/>
  <c r="AH45" i="6"/>
  <c r="S468" i="6"/>
  <c r="AD467" i="6"/>
  <c r="X468" i="6"/>
  <c r="W468" i="6"/>
  <c r="V468" i="6"/>
  <c r="P468" i="6"/>
  <c r="S381" i="6"/>
  <c r="AD380" i="6"/>
  <c r="X381" i="6"/>
  <c r="W381" i="6"/>
  <c r="V381" i="6"/>
  <c r="P381" i="6"/>
  <c r="S294" i="6"/>
  <c r="AD293" i="6"/>
  <c r="X294" i="6"/>
  <c r="W294" i="6"/>
  <c r="V294" i="6"/>
  <c r="P294" i="6"/>
  <c r="S207" i="6"/>
  <c r="AD206" i="6"/>
  <c r="X207" i="6"/>
  <c r="W207" i="6"/>
  <c r="V207" i="6"/>
  <c r="P207" i="6"/>
  <c r="S120" i="6"/>
  <c r="AD119" i="6"/>
  <c r="X120" i="6"/>
  <c r="W120" i="6"/>
  <c r="V120" i="6"/>
  <c r="P120" i="6"/>
  <c r="P34" i="6" l="1"/>
  <c r="Y34" i="6" s="1"/>
  <c r="V34" i="6"/>
  <c r="X34" i="6"/>
  <c r="AH132" i="6"/>
  <c r="AH219" i="6" s="1"/>
  <c r="AH306" i="6" s="1"/>
  <c r="AH393" i="6" s="1"/>
  <c r="AH480" i="6" s="1"/>
  <c r="AI45" i="6"/>
  <c r="Y468" i="6"/>
  <c r="Z468" i="6" s="1"/>
  <c r="Q468" i="6"/>
  <c r="Y381" i="6"/>
  <c r="Z381" i="6" s="1"/>
  <c r="Q381" i="6"/>
  <c r="Y294" i="6"/>
  <c r="Z294" i="6" s="1"/>
  <c r="Q294" i="6"/>
  <c r="Y207" i="6"/>
  <c r="Z207" i="6" s="1"/>
  <c r="Q207" i="6"/>
  <c r="Y120" i="6"/>
  <c r="Z120" i="6" s="1"/>
  <c r="Q120" i="6"/>
  <c r="Z34" i="6" l="1"/>
  <c r="Q34" i="6"/>
  <c r="O35" i="6" s="1"/>
  <c r="X35" i="6" s="1"/>
  <c r="U34" i="6"/>
  <c r="AD34" i="6" s="1"/>
  <c r="AI132" i="6"/>
  <c r="AI219" i="6" s="1"/>
  <c r="AI306" i="6" s="1"/>
  <c r="AI393" i="6" s="1"/>
  <c r="AI480" i="6" s="1"/>
  <c r="AH46" i="6"/>
  <c r="O469" i="6"/>
  <c r="U468" i="6"/>
  <c r="O382" i="6"/>
  <c r="U381" i="6"/>
  <c r="O295" i="6"/>
  <c r="U294" i="6"/>
  <c r="O208" i="6"/>
  <c r="U207" i="6"/>
  <c r="O121" i="6"/>
  <c r="U120" i="6"/>
  <c r="S35" i="6"/>
  <c r="W35" i="6"/>
  <c r="V35" i="6"/>
  <c r="P35" i="6"/>
  <c r="Y35" i="6" s="1"/>
  <c r="Q35" i="6" l="1"/>
  <c r="O36" i="6" s="1"/>
  <c r="AH133" i="6"/>
  <c r="AH220" i="6" s="1"/>
  <c r="AH307" i="6" s="1"/>
  <c r="AH394" i="6" s="1"/>
  <c r="AH481" i="6" s="1"/>
  <c r="AI46" i="6"/>
  <c r="S469" i="6"/>
  <c r="AD468" i="6"/>
  <c r="X469" i="6"/>
  <c r="W469" i="6"/>
  <c r="V469" i="6"/>
  <c r="P469" i="6"/>
  <c r="S382" i="6"/>
  <c r="AD381" i="6"/>
  <c r="X382" i="6"/>
  <c r="W382" i="6"/>
  <c r="V382" i="6"/>
  <c r="P382" i="6"/>
  <c r="S295" i="6"/>
  <c r="AD294" i="6"/>
  <c r="X295" i="6"/>
  <c r="W295" i="6"/>
  <c r="V295" i="6"/>
  <c r="P295" i="6"/>
  <c r="S208" i="6"/>
  <c r="AD207" i="6"/>
  <c r="X208" i="6"/>
  <c r="W208" i="6"/>
  <c r="V208" i="6"/>
  <c r="P208" i="6"/>
  <c r="S121" i="6"/>
  <c r="AD120" i="6"/>
  <c r="X121" i="6"/>
  <c r="W121" i="6"/>
  <c r="V121" i="6"/>
  <c r="P121" i="6"/>
  <c r="Z35" i="6"/>
  <c r="U35" i="6" l="1"/>
  <c r="S36" i="6" s="1"/>
  <c r="AI133" i="6"/>
  <c r="AI220" i="6" s="1"/>
  <c r="AI307" i="6" s="1"/>
  <c r="AI394" i="6" s="1"/>
  <c r="AI481" i="6" s="1"/>
  <c r="AH47" i="6"/>
  <c r="Y469" i="6"/>
  <c r="Z469" i="6" s="1"/>
  <c r="Q469" i="6"/>
  <c r="Y382" i="6"/>
  <c r="Z382" i="6" s="1"/>
  <c r="Q382" i="6"/>
  <c r="Y295" i="6"/>
  <c r="Z295" i="6" s="1"/>
  <c r="Q295" i="6"/>
  <c r="Y208" i="6"/>
  <c r="Z208" i="6" s="1"/>
  <c r="Q208" i="6"/>
  <c r="Y121" i="6"/>
  <c r="Z121" i="6" s="1"/>
  <c r="Q121" i="6"/>
  <c r="X36" i="6"/>
  <c r="W36" i="6"/>
  <c r="V36" i="6"/>
  <c r="P36" i="6"/>
  <c r="Y36" i="6" s="1"/>
  <c r="AD35" i="6" l="1"/>
  <c r="Q36" i="6"/>
  <c r="U36" i="6" s="1"/>
  <c r="AH134" i="6"/>
  <c r="AH221" i="6" s="1"/>
  <c r="AH308" i="6" s="1"/>
  <c r="AH395" i="6" s="1"/>
  <c r="AH482" i="6" s="1"/>
  <c r="AI47" i="6"/>
  <c r="O470" i="6"/>
  <c r="U469" i="6"/>
  <c r="O383" i="6"/>
  <c r="U382" i="6"/>
  <c r="O296" i="6"/>
  <c r="U295" i="6"/>
  <c r="O209" i="6"/>
  <c r="U208" i="6"/>
  <c r="O122" i="6"/>
  <c r="U121" i="6"/>
  <c r="Z36" i="6"/>
  <c r="O37" i="6" l="1"/>
  <c r="P37" i="6" s="1"/>
  <c r="Y37" i="6" s="1"/>
  <c r="AI134" i="6"/>
  <c r="AI221" i="6" s="1"/>
  <c r="AI308" i="6" s="1"/>
  <c r="AI395" i="6" s="1"/>
  <c r="AI482" i="6" s="1"/>
  <c r="AH48" i="6"/>
  <c r="S470" i="6"/>
  <c r="AD469" i="6"/>
  <c r="X470" i="6"/>
  <c r="W470" i="6"/>
  <c r="V470" i="6"/>
  <c r="P470" i="6"/>
  <c r="S383" i="6"/>
  <c r="AD382" i="6"/>
  <c r="X383" i="6"/>
  <c r="W383" i="6"/>
  <c r="V383" i="6"/>
  <c r="P383" i="6"/>
  <c r="S296" i="6"/>
  <c r="AD295" i="6"/>
  <c r="X296" i="6"/>
  <c r="W296" i="6"/>
  <c r="V296" i="6"/>
  <c r="P296" i="6"/>
  <c r="S209" i="6"/>
  <c r="AD208" i="6"/>
  <c r="X209" i="6"/>
  <c r="W209" i="6"/>
  <c r="V209" i="6"/>
  <c r="P209" i="6"/>
  <c r="S122" i="6"/>
  <c r="AD121" i="6"/>
  <c r="X122" i="6"/>
  <c r="W122" i="6"/>
  <c r="V122" i="6"/>
  <c r="P122" i="6"/>
  <c r="S37" i="6"/>
  <c r="AD36" i="6"/>
  <c r="W37" i="6"/>
  <c r="V37" i="6"/>
  <c r="X37" i="6" l="1"/>
  <c r="Z37" i="6" s="1"/>
  <c r="Q37" i="6"/>
  <c r="O38" i="6" s="1"/>
  <c r="AH135" i="6"/>
  <c r="AH222" i="6" s="1"/>
  <c r="AH309" i="6" s="1"/>
  <c r="AH396" i="6" s="1"/>
  <c r="AH483" i="6" s="1"/>
  <c r="AI48" i="6"/>
  <c r="Y470" i="6"/>
  <c r="Z470" i="6" s="1"/>
  <c r="Q470" i="6"/>
  <c r="Y383" i="6"/>
  <c r="Z383" i="6" s="1"/>
  <c r="Q383" i="6"/>
  <c r="Y296" i="6"/>
  <c r="Z296" i="6" s="1"/>
  <c r="Q296" i="6"/>
  <c r="Y209" i="6"/>
  <c r="Z209" i="6" s="1"/>
  <c r="Q209" i="6"/>
  <c r="Y122" i="6"/>
  <c r="Z122" i="6" s="1"/>
  <c r="Q122" i="6"/>
  <c r="U37" i="6" l="1"/>
  <c r="S38" i="6" s="1"/>
  <c r="AI135" i="6"/>
  <c r="AI222" i="6" s="1"/>
  <c r="AI309" i="6" s="1"/>
  <c r="AI396" i="6" s="1"/>
  <c r="AI483" i="6" s="1"/>
  <c r="AH49" i="6"/>
  <c r="O471" i="6"/>
  <c r="U470" i="6"/>
  <c r="O384" i="6"/>
  <c r="U383" i="6"/>
  <c r="O297" i="6"/>
  <c r="U296" i="6"/>
  <c r="O210" i="6"/>
  <c r="U209" i="6"/>
  <c r="O123" i="6"/>
  <c r="U122" i="6"/>
  <c r="X38" i="6"/>
  <c r="W38" i="6"/>
  <c r="V38" i="6"/>
  <c r="P38" i="6"/>
  <c r="Y38" i="6" s="1"/>
  <c r="AD37" i="6" l="1"/>
  <c r="Q38" i="6"/>
  <c r="U38" i="6" s="1"/>
  <c r="AH136" i="6"/>
  <c r="AH223" i="6" s="1"/>
  <c r="AH310" i="6" s="1"/>
  <c r="AH397" i="6" s="1"/>
  <c r="AH484" i="6" s="1"/>
  <c r="AI49" i="6"/>
  <c r="S471" i="6"/>
  <c r="AD470" i="6"/>
  <c r="X471" i="6"/>
  <c r="W471" i="6"/>
  <c r="V471" i="6"/>
  <c r="P471" i="6"/>
  <c r="S384" i="6"/>
  <c r="AD383" i="6"/>
  <c r="X384" i="6"/>
  <c r="W384" i="6"/>
  <c r="V384" i="6"/>
  <c r="P384" i="6"/>
  <c r="S297" i="6"/>
  <c r="AD296" i="6"/>
  <c r="X297" i="6"/>
  <c r="W297" i="6"/>
  <c r="V297" i="6"/>
  <c r="P297" i="6"/>
  <c r="S210" i="6"/>
  <c r="AD209" i="6"/>
  <c r="X210" i="6"/>
  <c r="W210" i="6"/>
  <c r="V210" i="6"/>
  <c r="P210" i="6"/>
  <c r="S123" i="6"/>
  <c r="AD122" i="6"/>
  <c r="X123" i="6"/>
  <c r="W123" i="6"/>
  <c r="V123" i="6"/>
  <c r="P123" i="6"/>
  <c r="Z38" i="6"/>
  <c r="O39" i="6" l="1"/>
  <c r="V39" i="6" s="1"/>
  <c r="AI136" i="6"/>
  <c r="AI223" i="6" s="1"/>
  <c r="AI310" i="6" s="1"/>
  <c r="AI397" i="6" s="1"/>
  <c r="AI484" i="6" s="1"/>
  <c r="AH50" i="6"/>
  <c r="Y471" i="6"/>
  <c r="Z471" i="6" s="1"/>
  <c r="Q471" i="6"/>
  <c r="Y384" i="6"/>
  <c r="Z384" i="6" s="1"/>
  <c r="Q384" i="6"/>
  <c r="Y297" i="6"/>
  <c r="Z297" i="6" s="1"/>
  <c r="Q297" i="6"/>
  <c r="Y210" i="6"/>
  <c r="Z210" i="6" s="1"/>
  <c r="Q210" i="6"/>
  <c r="Y123" i="6"/>
  <c r="Z123" i="6" s="1"/>
  <c r="Q123" i="6"/>
  <c r="S39" i="6"/>
  <c r="AD38" i="6"/>
  <c r="W39" i="6" l="1"/>
  <c r="X39" i="6"/>
  <c r="P39" i="6"/>
  <c r="Y39" i="6" s="1"/>
  <c r="AH137" i="6"/>
  <c r="AH224" i="6" s="1"/>
  <c r="AH311" i="6" s="1"/>
  <c r="AH398" i="6" s="1"/>
  <c r="AH485" i="6" s="1"/>
  <c r="AI50" i="6"/>
  <c r="O472" i="6"/>
  <c r="U471" i="6"/>
  <c r="O385" i="6"/>
  <c r="U384" i="6"/>
  <c r="O298" i="6"/>
  <c r="U297" i="6"/>
  <c r="O211" i="6"/>
  <c r="U210" i="6"/>
  <c r="O124" i="6"/>
  <c r="U123" i="6"/>
  <c r="Z39" i="6" l="1"/>
  <c r="Q39" i="6"/>
  <c r="AI137" i="6"/>
  <c r="AI224" i="6" s="1"/>
  <c r="AI311" i="6" s="1"/>
  <c r="AI398" i="6" s="1"/>
  <c r="AI485" i="6" s="1"/>
  <c r="AH51" i="6"/>
  <c r="S472" i="6"/>
  <c r="AD471" i="6"/>
  <c r="X472" i="6"/>
  <c r="W472" i="6"/>
  <c r="V472" i="6"/>
  <c r="P472" i="6"/>
  <c r="S385" i="6"/>
  <c r="AD384" i="6"/>
  <c r="X385" i="6"/>
  <c r="W385" i="6"/>
  <c r="V385" i="6"/>
  <c r="P385" i="6"/>
  <c r="S298" i="6"/>
  <c r="AD297" i="6"/>
  <c r="X298" i="6"/>
  <c r="W298" i="6"/>
  <c r="V298" i="6"/>
  <c r="P298" i="6"/>
  <c r="S211" i="6"/>
  <c r="AD210" i="6"/>
  <c r="X211" i="6"/>
  <c r="W211" i="6"/>
  <c r="V211" i="6"/>
  <c r="P211" i="6"/>
  <c r="S124" i="6"/>
  <c r="AD123" i="6"/>
  <c r="X124" i="6"/>
  <c r="W124" i="6"/>
  <c r="V124" i="6"/>
  <c r="P124" i="6"/>
  <c r="U39" i="6" l="1"/>
  <c r="O40" i="6"/>
  <c r="AH138" i="6"/>
  <c r="AH225" i="6" s="1"/>
  <c r="AH312" i="6" s="1"/>
  <c r="AH399" i="6" s="1"/>
  <c r="AH486" i="6" s="1"/>
  <c r="AI51" i="6"/>
  <c r="Y472" i="6"/>
  <c r="Z472" i="6" s="1"/>
  <c r="Q472" i="6"/>
  <c r="Y385" i="6"/>
  <c r="Z385" i="6" s="1"/>
  <c r="Q385" i="6"/>
  <c r="Y298" i="6"/>
  <c r="Z298" i="6" s="1"/>
  <c r="Q298" i="6"/>
  <c r="Y211" i="6"/>
  <c r="Z211" i="6" s="1"/>
  <c r="Q211" i="6"/>
  <c r="Y124" i="6"/>
  <c r="Z124" i="6" s="1"/>
  <c r="Q124" i="6"/>
  <c r="X40" i="6" l="1"/>
  <c r="W40" i="6"/>
  <c r="V40" i="6"/>
  <c r="P40" i="6"/>
  <c r="Y40" i="6" s="1"/>
  <c r="S40" i="6"/>
  <c r="AD39" i="6"/>
  <c r="AI138" i="6"/>
  <c r="AI225" i="6" s="1"/>
  <c r="AI312" i="6" s="1"/>
  <c r="AI399" i="6" s="1"/>
  <c r="AI486" i="6" s="1"/>
  <c r="AH52" i="6"/>
  <c r="O473" i="6"/>
  <c r="U472" i="6"/>
  <c r="O386" i="6"/>
  <c r="U385" i="6"/>
  <c r="O299" i="6"/>
  <c r="U298" i="6"/>
  <c r="O212" i="6"/>
  <c r="U211" i="6"/>
  <c r="O125" i="6"/>
  <c r="U124" i="6"/>
  <c r="Z40" i="6" l="1"/>
  <c r="Q40" i="6"/>
  <c r="U40" i="6" s="1"/>
  <c r="S41" i="6" s="1"/>
  <c r="AH139" i="6"/>
  <c r="AH226" i="6" s="1"/>
  <c r="AH313" i="6" s="1"/>
  <c r="AH400" i="6" s="1"/>
  <c r="AH487" i="6" s="1"/>
  <c r="AI52" i="6"/>
  <c r="S473" i="6"/>
  <c r="AD472" i="6"/>
  <c r="X473" i="6"/>
  <c r="W473" i="6"/>
  <c r="V473" i="6"/>
  <c r="P473" i="6"/>
  <c r="S386" i="6"/>
  <c r="AD385" i="6"/>
  <c r="X386" i="6"/>
  <c r="W386" i="6"/>
  <c r="V386" i="6"/>
  <c r="P386" i="6"/>
  <c r="S299" i="6"/>
  <c r="AD298" i="6"/>
  <c r="X299" i="6"/>
  <c r="W299" i="6"/>
  <c r="V299" i="6"/>
  <c r="P299" i="6"/>
  <c r="S212" i="6"/>
  <c r="AD211" i="6"/>
  <c r="X212" i="6"/>
  <c r="W212" i="6"/>
  <c r="V212" i="6"/>
  <c r="P212" i="6"/>
  <c r="S125" i="6"/>
  <c r="AD124" i="6"/>
  <c r="X125" i="6"/>
  <c r="W125" i="6"/>
  <c r="V125" i="6"/>
  <c r="P125" i="6"/>
  <c r="O41" i="6" l="1"/>
  <c r="P41" i="6" s="1"/>
  <c r="AD40" i="6"/>
  <c r="AI139" i="6"/>
  <c r="AI226" i="6" s="1"/>
  <c r="AI313" i="6" s="1"/>
  <c r="AI400" i="6" s="1"/>
  <c r="AI487" i="6" s="1"/>
  <c r="AH53" i="6"/>
  <c r="Y473" i="6"/>
  <c r="Z473" i="6" s="1"/>
  <c r="Q473" i="6"/>
  <c r="Y386" i="6"/>
  <c r="Z386" i="6" s="1"/>
  <c r="Q386" i="6"/>
  <c r="Y299" i="6"/>
  <c r="Z299" i="6" s="1"/>
  <c r="Q299" i="6"/>
  <c r="Y212" i="6"/>
  <c r="Z212" i="6" s="1"/>
  <c r="Q212" i="6"/>
  <c r="Y125" i="6"/>
  <c r="Z125" i="6" s="1"/>
  <c r="Q125" i="6"/>
  <c r="X41" i="6" l="1"/>
  <c r="V41" i="6"/>
  <c r="W41" i="6"/>
  <c r="Y41" i="6"/>
  <c r="Q41" i="6"/>
  <c r="AH140" i="6"/>
  <c r="AH227" i="6" s="1"/>
  <c r="AH314" i="6" s="1"/>
  <c r="AH401" i="6" s="1"/>
  <c r="AH488" i="6" s="1"/>
  <c r="AI53" i="6"/>
  <c r="O474" i="6"/>
  <c r="U473" i="6"/>
  <c r="O387" i="6"/>
  <c r="U386" i="6"/>
  <c r="O300" i="6"/>
  <c r="U299" i="6"/>
  <c r="O213" i="6"/>
  <c r="U212" i="6"/>
  <c r="O126" i="6"/>
  <c r="U125" i="6"/>
  <c r="Z41" i="6" l="1"/>
  <c r="O42" i="6"/>
  <c r="U41" i="6"/>
  <c r="AI140" i="6"/>
  <c r="AI227" i="6" s="1"/>
  <c r="AI314" i="6" s="1"/>
  <c r="AI401" i="6" s="1"/>
  <c r="AI488" i="6" s="1"/>
  <c r="AH54" i="6"/>
  <c r="S474" i="6"/>
  <c r="AD473" i="6"/>
  <c r="X474" i="6"/>
  <c r="W474" i="6"/>
  <c r="V474" i="6"/>
  <c r="P474" i="6"/>
  <c r="S387" i="6"/>
  <c r="AD386" i="6"/>
  <c r="X387" i="6"/>
  <c r="W387" i="6"/>
  <c r="V387" i="6"/>
  <c r="P387" i="6"/>
  <c r="S300" i="6"/>
  <c r="AD299" i="6"/>
  <c r="X300" i="6"/>
  <c r="W300" i="6"/>
  <c r="V300" i="6"/>
  <c r="P300" i="6"/>
  <c r="S213" i="6"/>
  <c r="AD212" i="6"/>
  <c r="X213" i="6"/>
  <c r="W213" i="6"/>
  <c r="V213" i="6"/>
  <c r="P213" i="6"/>
  <c r="S126" i="6"/>
  <c r="AD125" i="6"/>
  <c r="X126" i="6"/>
  <c r="W126" i="6"/>
  <c r="V126" i="6"/>
  <c r="P126" i="6"/>
  <c r="S42" i="6" l="1"/>
  <c r="AD41" i="6"/>
  <c r="V42" i="6"/>
  <c r="P42" i="6"/>
  <c r="Y42" i="6" s="1"/>
  <c r="X42" i="6"/>
  <c r="W42" i="6"/>
  <c r="AH141" i="6"/>
  <c r="AH228" i="6" s="1"/>
  <c r="AH315" i="6" s="1"/>
  <c r="AH402" i="6" s="1"/>
  <c r="AH489" i="6" s="1"/>
  <c r="AI54" i="6"/>
  <c r="Y474" i="6"/>
  <c r="Z474" i="6" s="1"/>
  <c r="Q474" i="6"/>
  <c r="Y387" i="6"/>
  <c r="Z387" i="6" s="1"/>
  <c r="Q387" i="6"/>
  <c r="Y300" i="6"/>
  <c r="Z300" i="6" s="1"/>
  <c r="Q300" i="6"/>
  <c r="Y213" i="6"/>
  <c r="Z213" i="6" s="1"/>
  <c r="Q213" i="6"/>
  <c r="Y126" i="6"/>
  <c r="Z126" i="6" s="1"/>
  <c r="Q126" i="6"/>
  <c r="Q42" i="6" l="1"/>
  <c r="Z42" i="6"/>
  <c r="AI141" i="6"/>
  <c r="AI228" i="6" s="1"/>
  <c r="AI315" i="6" s="1"/>
  <c r="AI402" i="6" s="1"/>
  <c r="AI489" i="6" s="1"/>
  <c r="AH55" i="6"/>
  <c r="O475" i="6"/>
  <c r="U474" i="6"/>
  <c r="O388" i="6"/>
  <c r="U387" i="6"/>
  <c r="O301" i="6"/>
  <c r="U300" i="6"/>
  <c r="O214" i="6"/>
  <c r="U213" i="6"/>
  <c r="O127" i="6"/>
  <c r="U126" i="6"/>
  <c r="O43" i="6" l="1"/>
  <c r="U42" i="6"/>
  <c r="AH142" i="6"/>
  <c r="AH229" i="6" s="1"/>
  <c r="AH316" i="6" s="1"/>
  <c r="AH403" i="6" s="1"/>
  <c r="AH490" i="6" s="1"/>
  <c r="AI55" i="6"/>
  <c r="S475" i="6"/>
  <c r="AD474" i="6"/>
  <c r="X475" i="6"/>
  <c r="W475" i="6"/>
  <c r="V475" i="6"/>
  <c r="P475" i="6"/>
  <c r="S388" i="6"/>
  <c r="AD387" i="6"/>
  <c r="X388" i="6"/>
  <c r="W388" i="6"/>
  <c r="V388" i="6"/>
  <c r="P388" i="6"/>
  <c r="S301" i="6"/>
  <c r="AD300" i="6"/>
  <c r="X301" i="6"/>
  <c r="W301" i="6"/>
  <c r="V301" i="6"/>
  <c r="P301" i="6"/>
  <c r="S214" i="6"/>
  <c r="AD213" i="6"/>
  <c r="X214" i="6"/>
  <c r="W214" i="6"/>
  <c r="V214" i="6"/>
  <c r="P214" i="6"/>
  <c r="S127" i="6"/>
  <c r="AD126" i="6"/>
  <c r="X127" i="6"/>
  <c r="W127" i="6"/>
  <c r="V127" i="6"/>
  <c r="P127" i="6"/>
  <c r="S43" i="6" l="1"/>
  <c r="AD42" i="6"/>
  <c r="X43" i="6"/>
  <c r="V43" i="6"/>
  <c r="W43" i="6"/>
  <c r="P43" i="6"/>
  <c r="Y43" i="6" s="1"/>
  <c r="AI142" i="6"/>
  <c r="AI229" i="6" s="1"/>
  <c r="AI316" i="6" s="1"/>
  <c r="AI403" i="6" s="1"/>
  <c r="AI490" i="6" s="1"/>
  <c r="AH56" i="6"/>
  <c r="Y475" i="6"/>
  <c r="Z475" i="6" s="1"/>
  <c r="Q475" i="6"/>
  <c r="Y388" i="6"/>
  <c r="Z388" i="6" s="1"/>
  <c r="Q388" i="6"/>
  <c r="Y301" i="6"/>
  <c r="Z301" i="6" s="1"/>
  <c r="Q301" i="6"/>
  <c r="Y214" i="6"/>
  <c r="Z214" i="6" s="1"/>
  <c r="Q214" i="6"/>
  <c r="Y127" i="6"/>
  <c r="Z127" i="6" s="1"/>
  <c r="Q127" i="6"/>
  <c r="Q43" i="6" l="1"/>
  <c r="O44" i="6" s="1"/>
  <c r="Z43" i="6"/>
  <c r="AH143" i="6"/>
  <c r="AH230" i="6" s="1"/>
  <c r="AH317" i="6" s="1"/>
  <c r="AH404" i="6" s="1"/>
  <c r="AH491" i="6" s="1"/>
  <c r="AI56" i="6"/>
  <c r="O476" i="6"/>
  <c r="U475" i="6"/>
  <c r="O389" i="6"/>
  <c r="U388" i="6"/>
  <c r="O302" i="6"/>
  <c r="U301" i="6"/>
  <c r="O215" i="6"/>
  <c r="U214" i="6"/>
  <c r="O128" i="6"/>
  <c r="U127" i="6"/>
  <c r="U43" i="6" l="1"/>
  <c r="S44" i="6" s="1"/>
  <c r="W44" i="6"/>
  <c r="X44" i="6"/>
  <c r="V44" i="6"/>
  <c r="P44" i="6"/>
  <c r="Y44" i="6" s="1"/>
  <c r="AI143" i="6"/>
  <c r="AI230" i="6" s="1"/>
  <c r="AI317" i="6" s="1"/>
  <c r="AI404" i="6" s="1"/>
  <c r="AI491" i="6" s="1"/>
  <c r="AH57" i="6"/>
  <c r="S476" i="6"/>
  <c r="AD475" i="6"/>
  <c r="X476" i="6"/>
  <c r="W476" i="6"/>
  <c r="V476" i="6"/>
  <c r="P476" i="6"/>
  <c r="S389" i="6"/>
  <c r="AD388" i="6"/>
  <c r="X389" i="6"/>
  <c r="W389" i="6"/>
  <c r="V389" i="6"/>
  <c r="P389" i="6"/>
  <c r="S302" i="6"/>
  <c r="AD301" i="6"/>
  <c r="X302" i="6"/>
  <c r="W302" i="6"/>
  <c r="V302" i="6"/>
  <c r="P302" i="6"/>
  <c r="S215" i="6"/>
  <c r="AD214" i="6"/>
  <c r="X215" i="6"/>
  <c r="W215" i="6"/>
  <c r="V215" i="6"/>
  <c r="P215" i="6"/>
  <c r="S128" i="6"/>
  <c r="AD127" i="6"/>
  <c r="X128" i="6"/>
  <c r="W128" i="6"/>
  <c r="V128" i="6"/>
  <c r="P128" i="6"/>
  <c r="AD43" i="6" l="1"/>
  <c r="Z44" i="6"/>
  <c r="Q44" i="6"/>
  <c r="AH144" i="6"/>
  <c r="AH231" i="6" s="1"/>
  <c r="AH318" i="6" s="1"/>
  <c r="AH405" i="6" s="1"/>
  <c r="AH492" i="6" s="1"/>
  <c r="AI57" i="6"/>
  <c r="Y476" i="6"/>
  <c r="Z476" i="6" s="1"/>
  <c r="Q476" i="6"/>
  <c r="Y389" i="6"/>
  <c r="Z389" i="6" s="1"/>
  <c r="Q389" i="6"/>
  <c r="Y302" i="6"/>
  <c r="Z302" i="6" s="1"/>
  <c r="Q302" i="6"/>
  <c r="Y215" i="6"/>
  <c r="Z215" i="6" s="1"/>
  <c r="Q215" i="6"/>
  <c r="Y128" i="6"/>
  <c r="Z128" i="6" s="1"/>
  <c r="Q128" i="6"/>
  <c r="U44" i="6" l="1"/>
  <c r="O45" i="6"/>
  <c r="AI144" i="6"/>
  <c r="AI231" i="6" s="1"/>
  <c r="AI318" i="6" s="1"/>
  <c r="AI405" i="6" s="1"/>
  <c r="AI492" i="6" s="1"/>
  <c r="AH58" i="6"/>
  <c r="O477" i="6"/>
  <c r="U476" i="6"/>
  <c r="O390" i="6"/>
  <c r="U389" i="6"/>
  <c r="O303" i="6"/>
  <c r="U302" i="6"/>
  <c r="O216" i="6"/>
  <c r="U215" i="6"/>
  <c r="O129" i="6"/>
  <c r="U128" i="6"/>
  <c r="P45" i="6" l="1"/>
  <c r="Y45" i="6" s="1"/>
  <c r="X45" i="6"/>
  <c r="W45" i="6"/>
  <c r="V45" i="6"/>
  <c r="S45" i="6"/>
  <c r="AD44" i="6"/>
  <c r="AH145" i="6"/>
  <c r="AH232" i="6" s="1"/>
  <c r="AH319" i="6" s="1"/>
  <c r="AH406" i="6" s="1"/>
  <c r="AH493" i="6" s="1"/>
  <c r="AI58" i="6"/>
  <c r="S477" i="6"/>
  <c r="AD476" i="6"/>
  <c r="X477" i="6"/>
  <c r="W477" i="6"/>
  <c r="V477" i="6"/>
  <c r="P477" i="6"/>
  <c r="S390" i="6"/>
  <c r="AD389" i="6"/>
  <c r="X390" i="6"/>
  <c r="W390" i="6"/>
  <c r="V390" i="6"/>
  <c r="P390" i="6"/>
  <c r="S303" i="6"/>
  <c r="AD302" i="6"/>
  <c r="X303" i="6"/>
  <c r="W303" i="6"/>
  <c r="V303" i="6"/>
  <c r="P303" i="6"/>
  <c r="S216" i="6"/>
  <c r="AD215" i="6"/>
  <c r="X216" i="6"/>
  <c r="W216" i="6"/>
  <c r="V216" i="6"/>
  <c r="P216" i="6"/>
  <c r="S129" i="6"/>
  <c r="AD128" i="6"/>
  <c r="X129" i="6"/>
  <c r="W129" i="6"/>
  <c r="V129" i="6"/>
  <c r="P129" i="6"/>
  <c r="Z45" i="6" l="1"/>
  <c r="Q45" i="6"/>
  <c r="O46" i="6" s="1"/>
  <c r="AI145" i="6"/>
  <c r="AI232" i="6" s="1"/>
  <c r="AI319" i="6" s="1"/>
  <c r="AI406" i="6" s="1"/>
  <c r="AI493" i="6" s="1"/>
  <c r="AH59" i="6"/>
  <c r="Y477" i="6"/>
  <c r="Z477" i="6" s="1"/>
  <c r="Q477" i="6"/>
  <c r="Y390" i="6"/>
  <c r="Z390" i="6" s="1"/>
  <c r="Q390" i="6"/>
  <c r="Y303" i="6"/>
  <c r="Z303" i="6" s="1"/>
  <c r="Q303" i="6"/>
  <c r="Y216" i="6"/>
  <c r="Z216" i="6" s="1"/>
  <c r="Q216" i="6"/>
  <c r="Y129" i="6"/>
  <c r="Z129" i="6" s="1"/>
  <c r="Q129" i="6"/>
  <c r="U45" i="6" l="1"/>
  <c r="S46" i="6" s="1"/>
  <c r="W46" i="6"/>
  <c r="X46" i="6"/>
  <c r="V46" i="6"/>
  <c r="P46" i="6"/>
  <c r="Y46" i="6" s="1"/>
  <c r="AH146" i="6"/>
  <c r="AH233" i="6" s="1"/>
  <c r="AH320" i="6" s="1"/>
  <c r="AH407" i="6" s="1"/>
  <c r="AH494" i="6" s="1"/>
  <c r="AI59" i="6"/>
  <c r="O478" i="6"/>
  <c r="U477" i="6"/>
  <c r="O391" i="6"/>
  <c r="U390" i="6"/>
  <c r="O304" i="6"/>
  <c r="U303" i="6"/>
  <c r="O217" i="6"/>
  <c r="U216" i="6"/>
  <c r="O130" i="6"/>
  <c r="U129" i="6"/>
  <c r="AD45" i="6" l="1"/>
  <c r="Q46" i="6"/>
  <c r="Z46" i="6"/>
  <c r="AI146" i="6"/>
  <c r="AI233" i="6" s="1"/>
  <c r="AI320" i="6" s="1"/>
  <c r="AI407" i="6" s="1"/>
  <c r="AI494" i="6" s="1"/>
  <c r="AH60" i="6"/>
  <c r="S478" i="6"/>
  <c r="AD477" i="6"/>
  <c r="X478" i="6"/>
  <c r="W478" i="6"/>
  <c r="V478" i="6"/>
  <c r="P478" i="6"/>
  <c r="S391" i="6"/>
  <c r="AD390" i="6"/>
  <c r="X391" i="6"/>
  <c r="W391" i="6"/>
  <c r="V391" i="6"/>
  <c r="P391" i="6"/>
  <c r="S304" i="6"/>
  <c r="AD303" i="6"/>
  <c r="X304" i="6"/>
  <c r="W304" i="6"/>
  <c r="V304" i="6"/>
  <c r="P304" i="6"/>
  <c r="S217" i="6"/>
  <c r="AD216" i="6"/>
  <c r="X217" i="6"/>
  <c r="W217" i="6"/>
  <c r="V217" i="6"/>
  <c r="P217" i="6"/>
  <c r="S130" i="6"/>
  <c r="AD129" i="6"/>
  <c r="X130" i="6"/>
  <c r="W130" i="6"/>
  <c r="V130" i="6"/>
  <c r="P130" i="6"/>
  <c r="O47" i="6" l="1"/>
  <c r="U46" i="6"/>
  <c r="AH147" i="6"/>
  <c r="AH234" i="6" s="1"/>
  <c r="AH321" i="6" s="1"/>
  <c r="AH408" i="6" s="1"/>
  <c r="AH495" i="6" s="1"/>
  <c r="AI60" i="6"/>
  <c r="Y478" i="6"/>
  <c r="Z478" i="6" s="1"/>
  <c r="Q478" i="6"/>
  <c r="Y391" i="6"/>
  <c r="Z391" i="6" s="1"/>
  <c r="Q391" i="6"/>
  <c r="Y304" i="6"/>
  <c r="Z304" i="6" s="1"/>
  <c r="Q304" i="6"/>
  <c r="Y217" i="6"/>
  <c r="Z217" i="6" s="1"/>
  <c r="Q217" i="6"/>
  <c r="Y130" i="6"/>
  <c r="Z130" i="6" s="1"/>
  <c r="Q130" i="6"/>
  <c r="S47" i="6" l="1"/>
  <c r="AD46" i="6"/>
  <c r="X47" i="6"/>
  <c r="W47" i="6"/>
  <c r="V47" i="6"/>
  <c r="P47" i="6"/>
  <c r="Y47" i="6" s="1"/>
  <c r="AI147" i="6"/>
  <c r="AI234" i="6" s="1"/>
  <c r="AI321" i="6" s="1"/>
  <c r="AI408" i="6" s="1"/>
  <c r="AI495" i="6" s="1"/>
  <c r="AH61" i="6"/>
  <c r="O479" i="6"/>
  <c r="U478" i="6"/>
  <c r="O392" i="6"/>
  <c r="U391" i="6"/>
  <c r="O305" i="6"/>
  <c r="U304" i="6"/>
  <c r="O218" i="6"/>
  <c r="U217" i="6"/>
  <c r="O131" i="6"/>
  <c r="U130" i="6"/>
  <c r="Q47" i="6" l="1"/>
  <c r="U47" i="6" s="1"/>
  <c r="S48" i="6" s="1"/>
  <c r="Z47" i="6"/>
  <c r="AH148" i="6"/>
  <c r="AH235" i="6" s="1"/>
  <c r="AH322" i="6" s="1"/>
  <c r="AH409" i="6" s="1"/>
  <c r="AH496" i="6" s="1"/>
  <c r="AI61" i="6"/>
  <c r="S479" i="6"/>
  <c r="AD478" i="6"/>
  <c r="X479" i="6"/>
  <c r="W479" i="6"/>
  <c r="V479" i="6"/>
  <c r="P479" i="6"/>
  <c r="S392" i="6"/>
  <c r="AD391" i="6"/>
  <c r="X392" i="6"/>
  <c r="W392" i="6"/>
  <c r="V392" i="6"/>
  <c r="P392" i="6"/>
  <c r="S305" i="6"/>
  <c r="AD304" i="6"/>
  <c r="X305" i="6"/>
  <c r="W305" i="6"/>
  <c r="V305" i="6"/>
  <c r="P305" i="6"/>
  <c r="S218" i="6"/>
  <c r="AD217" i="6"/>
  <c r="X218" i="6"/>
  <c r="W218" i="6"/>
  <c r="V218" i="6"/>
  <c r="P218" i="6"/>
  <c r="S131" i="6"/>
  <c r="AD130" i="6"/>
  <c r="X131" i="6"/>
  <c r="W131" i="6"/>
  <c r="V131" i="6"/>
  <c r="P131" i="6"/>
  <c r="O48" i="6" l="1"/>
  <c r="P48" i="6" s="1"/>
  <c r="Y48" i="6" s="1"/>
  <c r="AD47" i="6"/>
  <c r="AI148" i="6"/>
  <c r="AI235" i="6" s="1"/>
  <c r="AI322" i="6" s="1"/>
  <c r="AI409" i="6" s="1"/>
  <c r="AI496" i="6" s="1"/>
  <c r="AH62" i="6"/>
  <c r="Y479" i="6"/>
  <c r="Z479" i="6" s="1"/>
  <c r="Q479" i="6"/>
  <c r="Y392" i="6"/>
  <c r="Z392" i="6" s="1"/>
  <c r="Q392" i="6"/>
  <c r="Y305" i="6"/>
  <c r="Z305" i="6" s="1"/>
  <c r="Q305" i="6"/>
  <c r="Y218" i="6"/>
  <c r="Z218" i="6" s="1"/>
  <c r="Q218" i="6"/>
  <c r="Y131" i="6"/>
  <c r="Z131" i="6" s="1"/>
  <c r="Q131" i="6"/>
  <c r="V48" i="6" l="1"/>
  <c r="W48" i="6"/>
  <c r="X48" i="6"/>
  <c r="Q48" i="6"/>
  <c r="U48" i="6" s="1"/>
  <c r="AH149" i="6"/>
  <c r="AH236" i="6" s="1"/>
  <c r="AH323" i="6" s="1"/>
  <c r="AH410" i="6" s="1"/>
  <c r="AH497" i="6" s="1"/>
  <c r="AI62" i="6"/>
  <c r="O480" i="6"/>
  <c r="U479" i="6"/>
  <c r="O393" i="6"/>
  <c r="U392" i="6"/>
  <c r="O306" i="6"/>
  <c r="U305" i="6"/>
  <c r="O219" i="6"/>
  <c r="U218" i="6"/>
  <c r="O132" i="6"/>
  <c r="U131" i="6"/>
  <c r="Z48" i="6" l="1"/>
  <c r="O49" i="6"/>
  <c r="X49" i="6" s="1"/>
  <c r="S49" i="6"/>
  <c r="AD48" i="6"/>
  <c r="AI149" i="6"/>
  <c r="AI236" i="6" s="1"/>
  <c r="AI323" i="6" s="1"/>
  <c r="AI410" i="6" s="1"/>
  <c r="AI497" i="6" s="1"/>
  <c r="AH63" i="6"/>
  <c r="S480" i="6"/>
  <c r="AD479" i="6"/>
  <c r="X480" i="6"/>
  <c r="W480" i="6"/>
  <c r="V480" i="6"/>
  <c r="P480" i="6"/>
  <c r="S393" i="6"/>
  <c r="AD392" i="6"/>
  <c r="X393" i="6"/>
  <c r="W393" i="6"/>
  <c r="V393" i="6"/>
  <c r="P393" i="6"/>
  <c r="S306" i="6"/>
  <c r="AD305" i="6"/>
  <c r="X306" i="6"/>
  <c r="W306" i="6"/>
  <c r="V306" i="6"/>
  <c r="P306" i="6"/>
  <c r="S219" i="6"/>
  <c r="AD218" i="6"/>
  <c r="X219" i="6"/>
  <c r="W219" i="6"/>
  <c r="V219" i="6"/>
  <c r="P219" i="6"/>
  <c r="S132" i="6"/>
  <c r="AD131" i="6"/>
  <c r="X132" i="6"/>
  <c r="W132" i="6"/>
  <c r="V132" i="6"/>
  <c r="P132" i="6"/>
  <c r="P49" i="6" l="1"/>
  <c r="Y49" i="6" s="1"/>
  <c r="V49" i="6"/>
  <c r="W49" i="6"/>
  <c r="AH150" i="6"/>
  <c r="AH237" i="6" s="1"/>
  <c r="AH324" i="6" s="1"/>
  <c r="AH411" i="6" s="1"/>
  <c r="AH498" i="6" s="1"/>
  <c r="AI63" i="6"/>
  <c r="Y480" i="6"/>
  <c r="Z480" i="6" s="1"/>
  <c r="Q480" i="6"/>
  <c r="Y393" i="6"/>
  <c r="Z393" i="6" s="1"/>
  <c r="Q393" i="6"/>
  <c r="Y306" i="6"/>
  <c r="Z306" i="6" s="1"/>
  <c r="Q306" i="6"/>
  <c r="Y219" i="6"/>
  <c r="Z219" i="6" s="1"/>
  <c r="Q219" i="6"/>
  <c r="Y132" i="6"/>
  <c r="Z132" i="6" s="1"/>
  <c r="Q132" i="6"/>
  <c r="Q49" i="6" l="1"/>
  <c r="O50" i="6" s="1"/>
  <c r="Z49" i="6"/>
  <c r="AI150" i="6"/>
  <c r="AI237" i="6" s="1"/>
  <c r="AI324" i="6" s="1"/>
  <c r="AI411" i="6" s="1"/>
  <c r="AI498" i="6" s="1"/>
  <c r="AH64" i="6"/>
  <c r="O481" i="6"/>
  <c r="U480" i="6"/>
  <c r="O394" i="6"/>
  <c r="U393" i="6"/>
  <c r="O307" i="6"/>
  <c r="U306" i="6"/>
  <c r="O220" i="6"/>
  <c r="U219" i="6"/>
  <c r="O133" i="6"/>
  <c r="U132" i="6"/>
  <c r="U49" i="6" l="1"/>
  <c r="S50" i="6" s="1"/>
  <c r="P50" i="6"/>
  <c r="Y50" i="6" s="1"/>
  <c r="X50" i="6"/>
  <c r="W50" i="6"/>
  <c r="V50" i="6"/>
  <c r="AH151" i="6"/>
  <c r="AH238" i="6" s="1"/>
  <c r="AH325" i="6" s="1"/>
  <c r="AH412" i="6" s="1"/>
  <c r="AH499" i="6" s="1"/>
  <c r="AI64" i="6"/>
  <c r="S481" i="6"/>
  <c r="AD480" i="6"/>
  <c r="X481" i="6"/>
  <c r="W481" i="6"/>
  <c r="V481" i="6"/>
  <c r="P481" i="6"/>
  <c r="S394" i="6"/>
  <c r="AD393" i="6"/>
  <c r="X394" i="6"/>
  <c r="W394" i="6"/>
  <c r="V394" i="6"/>
  <c r="P394" i="6"/>
  <c r="S307" i="6"/>
  <c r="AD306" i="6"/>
  <c r="X307" i="6"/>
  <c r="W307" i="6"/>
  <c r="V307" i="6"/>
  <c r="P307" i="6"/>
  <c r="S220" i="6"/>
  <c r="AD219" i="6"/>
  <c r="X220" i="6"/>
  <c r="W220" i="6"/>
  <c r="V220" i="6"/>
  <c r="P220" i="6"/>
  <c r="S133" i="6"/>
  <c r="AD132" i="6"/>
  <c r="X133" i="6"/>
  <c r="W133" i="6"/>
  <c r="V133" i="6"/>
  <c r="P133" i="6"/>
  <c r="AD49" i="6" l="1"/>
  <c r="Q50" i="6"/>
  <c r="O51" i="6" s="1"/>
  <c r="Z50" i="6"/>
  <c r="AI151" i="6"/>
  <c r="AI238" i="6" s="1"/>
  <c r="AI325" i="6" s="1"/>
  <c r="AI412" i="6" s="1"/>
  <c r="AI499" i="6" s="1"/>
  <c r="AH65" i="6"/>
  <c r="Y481" i="6"/>
  <c r="Z481" i="6" s="1"/>
  <c r="Q481" i="6"/>
  <c r="Y394" i="6"/>
  <c r="Z394" i="6" s="1"/>
  <c r="Q394" i="6"/>
  <c r="Y307" i="6"/>
  <c r="Z307" i="6" s="1"/>
  <c r="Q307" i="6"/>
  <c r="Y220" i="6"/>
  <c r="Z220" i="6" s="1"/>
  <c r="Q220" i="6"/>
  <c r="Y133" i="6"/>
  <c r="Z133" i="6" s="1"/>
  <c r="Q133" i="6"/>
  <c r="U50" i="6" l="1"/>
  <c r="S51" i="6" s="1"/>
  <c r="V51" i="6"/>
  <c r="P51" i="6"/>
  <c r="Y51" i="6" s="1"/>
  <c r="W51" i="6"/>
  <c r="X51" i="6"/>
  <c r="AH152" i="6"/>
  <c r="AH239" i="6" s="1"/>
  <c r="AH326" i="6" s="1"/>
  <c r="AH413" i="6" s="1"/>
  <c r="AH500" i="6" s="1"/>
  <c r="AI65" i="6"/>
  <c r="O482" i="6"/>
  <c r="U481" i="6"/>
  <c r="O395" i="6"/>
  <c r="U394" i="6"/>
  <c r="O308" i="6"/>
  <c r="U307" i="6"/>
  <c r="O221" i="6"/>
  <c r="U220" i="6"/>
  <c r="O134" i="6"/>
  <c r="U133" i="6"/>
  <c r="Q51" i="6" l="1"/>
  <c r="O52" i="6" s="1"/>
  <c r="AD50" i="6"/>
  <c r="Z51" i="6"/>
  <c r="AI152" i="6"/>
  <c r="AI239" i="6" s="1"/>
  <c r="AI326" i="6" s="1"/>
  <c r="AI413" i="6" s="1"/>
  <c r="AI500" i="6" s="1"/>
  <c r="AH66" i="6"/>
  <c r="S482" i="6"/>
  <c r="AD481" i="6"/>
  <c r="X482" i="6"/>
  <c r="W482" i="6"/>
  <c r="V482" i="6"/>
  <c r="P482" i="6"/>
  <c r="S395" i="6"/>
  <c r="AD394" i="6"/>
  <c r="X395" i="6"/>
  <c r="W395" i="6"/>
  <c r="V395" i="6"/>
  <c r="P395" i="6"/>
  <c r="S308" i="6"/>
  <c r="AD307" i="6"/>
  <c r="X308" i="6"/>
  <c r="W308" i="6"/>
  <c r="V308" i="6"/>
  <c r="P308" i="6"/>
  <c r="S221" i="6"/>
  <c r="AD220" i="6"/>
  <c r="X221" i="6"/>
  <c r="W221" i="6"/>
  <c r="V221" i="6"/>
  <c r="P221" i="6"/>
  <c r="S134" i="6"/>
  <c r="AD133" i="6"/>
  <c r="X134" i="6"/>
  <c r="W134" i="6"/>
  <c r="V134" i="6"/>
  <c r="P134" i="6"/>
  <c r="U51" i="6" l="1"/>
  <c r="S52" i="6" s="1"/>
  <c r="X52" i="6"/>
  <c r="V52" i="6"/>
  <c r="W52" i="6"/>
  <c r="P52" i="6"/>
  <c r="Y52" i="6" s="1"/>
  <c r="AH153" i="6"/>
  <c r="AH240" i="6" s="1"/>
  <c r="AH327" i="6" s="1"/>
  <c r="AH414" i="6" s="1"/>
  <c r="AH501" i="6" s="1"/>
  <c r="AI66" i="6"/>
  <c r="Y482" i="6"/>
  <c r="Z482" i="6" s="1"/>
  <c r="Q482" i="6"/>
  <c r="Y395" i="6"/>
  <c r="Z395" i="6" s="1"/>
  <c r="Q395" i="6"/>
  <c r="Y308" i="6"/>
  <c r="Z308" i="6" s="1"/>
  <c r="Q308" i="6"/>
  <c r="Y221" i="6"/>
  <c r="Z221" i="6" s="1"/>
  <c r="Q221" i="6"/>
  <c r="Y134" i="6"/>
  <c r="Z134" i="6" s="1"/>
  <c r="Q134" i="6"/>
  <c r="Q52" i="6" l="1"/>
  <c r="O53" i="6" s="1"/>
  <c r="Z52" i="6"/>
  <c r="AD51" i="6"/>
  <c r="AI153" i="6"/>
  <c r="AI240" i="6" s="1"/>
  <c r="AI327" i="6" s="1"/>
  <c r="AI414" i="6" s="1"/>
  <c r="AI501" i="6" s="1"/>
  <c r="AH67" i="6"/>
  <c r="O483" i="6"/>
  <c r="U482" i="6"/>
  <c r="O396" i="6"/>
  <c r="U395" i="6"/>
  <c r="O309" i="6"/>
  <c r="U308" i="6"/>
  <c r="O222" i="6"/>
  <c r="U221" i="6"/>
  <c r="O135" i="6"/>
  <c r="U134" i="6"/>
  <c r="U52" i="6" l="1"/>
  <c r="S53" i="6" s="1"/>
  <c r="X53" i="6"/>
  <c r="W53" i="6"/>
  <c r="V53" i="6"/>
  <c r="P53" i="6"/>
  <c r="Y53" i="6" s="1"/>
  <c r="AH154" i="6"/>
  <c r="AH241" i="6" s="1"/>
  <c r="AH328" i="6" s="1"/>
  <c r="AH415" i="6" s="1"/>
  <c r="AH502" i="6" s="1"/>
  <c r="AI67" i="6"/>
  <c r="S483" i="6"/>
  <c r="AD482" i="6"/>
  <c r="X483" i="6"/>
  <c r="W483" i="6"/>
  <c r="V483" i="6"/>
  <c r="P483" i="6"/>
  <c r="S396" i="6"/>
  <c r="AD395" i="6"/>
  <c r="X396" i="6"/>
  <c r="W396" i="6"/>
  <c r="V396" i="6"/>
  <c r="P396" i="6"/>
  <c r="S309" i="6"/>
  <c r="AD308" i="6"/>
  <c r="X309" i="6"/>
  <c r="W309" i="6"/>
  <c r="V309" i="6"/>
  <c r="P309" i="6"/>
  <c r="S222" i="6"/>
  <c r="AD221" i="6"/>
  <c r="X222" i="6"/>
  <c r="W222" i="6"/>
  <c r="V222" i="6"/>
  <c r="P222" i="6"/>
  <c r="S135" i="6"/>
  <c r="AD134" i="6"/>
  <c r="X135" i="6"/>
  <c r="W135" i="6"/>
  <c r="V135" i="6"/>
  <c r="P135" i="6"/>
  <c r="AD52" i="6" l="1"/>
  <c r="Q53" i="6"/>
  <c r="U53" i="6" s="1"/>
  <c r="Z53" i="6"/>
  <c r="AI154" i="6"/>
  <c r="AI241" i="6" s="1"/>
  <c r="AI328" i="6" s="1"/>
  <c r="AI415" i="6" s="1"/>
  <c r="AI502" i="6" s="1"/>
  <c r="AH68" i="6"/>
  <c r="Y483" i="6"/>
  <c r="Z483" i="6" s="1"/>
  <c r="Q483" i="6"/>
  <c r="Y396" i="6"/>
  <c r="Z396" i="6" s="1"/>
  <c r="Q396" i="6"/>
  <c r="Y309" i="6"/>
  <c r="Z309" i="6" s="1"/>
  <c r="Q309" i="6"/>
  <c r="Y222" i="6"/>
  <c r="Z222" i="6" s="1"/>
  <c r="Q222" i="6"/>
  <c r="Y135" i="6"/>
  <c r="Z135" i="6" s="1"/>
  <c r="Q135" i="6"/>
  <c r="O54" i="6" l="1"/>
  <c r="X54" i="6" s="1"/>
  <c r="S54" i="6"/>
  <c r="AD53" i="6"/>
  <c r="AH155" i="6"/>
  <c r="AH242" i="6" s="1"/>
  <c r="AH329" i="6" s="1"/>
  <c r="AH416" i="6" s="1"/>
  <c r="AH503" i="6" s="1"/>
  <c r="AI68" i="6"/>
  <c r="O484" i="6"/>
  <c r="U483" i="6"/>
  <c r="O397" i="6"/>
  <c r="U396" i="6"/>
  <c r="O310" i="6"/>
  <c r="U309" i="6"/>
  <c r="O223" i="6"/>
  <c r="U222" i="6"/>
  <c r="O136" i="6"/>
  <c r="U135" i="6"/>
  <c r="P54" i="6" l="1"/>
  <c r="Y54" i="6" s="1"/>
  <c r="V54" i="6"/>
  <c r="W54" i="6"/>
  <c r="AI155" i="6"/>
  <c r="AI242" i="6" s="1"/>
  <c r="AI329" i="6" s="1"/>
  <c r="AI416" i="6" s="1"/>
  <c r="AI503" i="6" s="1"/>
  <c r="AH69" i="6"/>
  <c r="S484" i="6"/>
  <c r="AD483" i="6"/>
  <c r="X484" i="6"/>
  <c r="W484" i="6"/>
  <c r="V484" i="6"/>
  <c r="P484" i="6"/>
  <c r="S397" i="6"/>
  <c r="AD396" i="6"/>
  <c r="X397" i="6"/>
  <c r="W397" i="6"/>
  <c r="V397" i="6"/>
  <c r="P397" i="6"/>
  <c r="S310" i="6"/>
  <c r="AD309" i="6"/>
  <c r="X310" i="6"/>
  <c r="W310" i="6"/>
  <c r="V310" i="6"/>
  <c r="P310" i="6"/>
  <c r="S223" i="6"/>
  <c r="AD222" i="6"/>
  <c r="X223" i="6"/>
  <c r="W223" i="6"/>
  <c r="V223" i="6"/>
  <c r="P223" i="6"/>
  <c r="S136" i="6"/>
  <c r="AD135" i="6"/>
  <c r="X136" i="6"/>
  <c r="W136" i="6"/>
  <c r="V136" i="6"/>
  <c r="P136" i="6"/>
  <c r="Q54" i="6" l="1"/>
  <c r="U54" i="6" s="1"/>
  <c r="Z54" i="6"/>
  <c r="AH156" i="6"/>
  <c r="AH243" i="6" s="1"/>
  <c r="AH330" i="6" s="1"/>
  <c r="AH417" i="6" s="1"/>
  <c r="AH504" i="6" s="1"/>
  <c r="AI69" i="6"/>
  <c r="Y484" i="6"/>
  <c r="Z484" i="6" s="1"/>
  <c r="Q484" i="6"/>
  <c r="Y397" i="6"/>
  <c r="Z397" i="6" s="1"/>
  <c r="Q397" i="6"/>
  <c r="Y310" i="6"/>
  <c r="Z310" i="6" s="1"/>
  <c r="Q310" i="6"/>
  <c r="Y223" i="6"/>
  <c r="Z223" i="6" s="1"/>
  <c r="Q223" i="6"/>
  <c r="Y136" i="6"/>
  <c r="Z136" i="6" s="1"/>
  <c r="Q136" i="6"/>
  <c r="O55" i="6" l="1"/>
  <c r="W55" i="6" s="1"/>
  <c r="P55" i="6"/>
  <c r="Y55" i="6" s="1"/>
  <c r="V55" i="6"/>
  <c r="S55" i="6"/>
  <c r="AD54" i="6"/>
  <c r="AI156" i="6"/>
  <c r="AI243" i="6" s="1"/>
  <c r="AI330" i="6" s="1"/>
  <c r="AI417" i="6" s="1"/>
  <c r="AI504" i="6" s="1"/>
  <c r="AH70" i="6"/>
  <c r="O485" i="6"/>
  <c r="U484" i="6"/>
  <c r="O398" i="6"/>
  <c r="U397" i="6"/>
  <c r="O311" i="6"/>
  <c r="U310" i="6"/>
  <c r="O224" i="6"/>
  <c r="U223" i="6"/>
  <c r="O137" i="6"/>
  <c r="U136" i="6"/>
  <c r="X55" i="6" l="1"/>
  <c r="Z55" i="6" s="1"/>
  <c r="Q55" i="6"/>
  <c r="U55" i="6" s="1"/>
  <c r="S56" i="6" s="1"/>
  <c r="AH157" i="6"/>
  <c r="AH244" i="6" s="1"/>
  <c r="AH331" i="6" s="1"/>
  <c r="AH418" i="6" s="1"/>
  <c r="AH505" i="6" s="1"/>
  <c r="AI70" i="6"/>
  <c r="S485" i="6"/>
  <c r="AD484" i="6"/>
  <c r="X485" i="6"/>
  <c r="W485" i="6"/>
  <c r="V485" i="6"/>
  <c r="P485" i="6"/>
  <c r="S398" i="6"/>
  <c r="AD397" i="6"/>
  <c r="X398" i="6"/>
  <c r="W398" i="6"/>
  <c r="V398" i="6"/>
  <c r="P398" i="6"/>
  <c r="S311" i="6"/>
  <c r="AD310" i="6"/>
  <c r="X311" i="6"/>
  <c r="W311" i="6"/>
  <c r="V311" i="6"/>
  <c r="P311" i="6"/>
  <c r="S224" i="6"/>
  <c r="AD223" i="6"/>
  <c r="X224" i="6"/>
  <c r="W224" i="6"/>
  <c r="V224" i="6"/>
  <c r="P224" i="6"/>
  <c r="S137" i="6"/>
  <c r="AD136" i="6"/>
  <c r="X137" i="6"/>
  <c r="W137" i="6"/>
  <c r="V137" i="6"/>
  <c r="P137" i="6"/>
  <c r="O56" i="6" l="1"/>
  <c r="X56" i="6" s="1"/>
  <c r="AD55" i="6"/>
  <c r="W56" i="6"/>
  <c r="V56" i="6"/>
  <c r="P56" i="6"/>
  <c r="Y56" i="6" s="1"/>
  <c r="AI157" i="6"/>
  <c r="AI244" i="6" s="1"/>
  <c r="AI331" i="6" s="1"/>
  <c r="AI418" i="6" s="1"/>
  <c r="AI505" i="6" s="1"/>
  <c r="AH71" i="6"/>
  <c r="Y485" i="6"/>
  <c r="Z485" i="6" s="1"/>
  <c r="Q485" i="6"/>
  <c r="Y398" i="6"/>
  <c r="Z398" i="6" s="1"/>
  <c r="Q398" i="6"/>
  <c r="Y311" i="6"/>
  <c r="Z311" i="6" s="1"/>
  <c r="Q311" i="6"/>
  <c r="Y224" i="6"/>
  <c r="Z224" i="6" s="1"/>
  <c r="Q224" i="6"/>
  <c r="Y137" i="6"/>
  <c r="Z137" i="6" s="1"/>
  <c r="Q137" i="6"/>
  <c r="Z56" i="6" l="1"/>
  <c r="Q56" i="6"/>
  <c r="U56" i="6" s="1"/>
  <c r="AH158" i="6"/>
  <c r="AH245" i="6" s="1"/>
  <c r="AH332" i="6" s="1"/>
  <c r="AH419" i="6" s="1"/>
  <c r="AH506" i="6" s="1"/>
  <c r="AI71" i="6"/>
  <c r="O486" i="6"/>
  <c r="U485" i="6"/>
  <c r="O399" i="6"/>
  <c r="U398" i="6"/>
  <c r="O312" i="6"/>
  <c r="U311" i="6"/>
  <c r="O225" i="6"/>
  <c r="U224" i="6"/>
  <c r="O138" i="6"/>
  <c r="U137" i="6"/>
  <c r="O57" i="6" l="1"/>
  <c r="X57" i="6" s="1"/>
  <c r="S57" i="6"/>
  <c r="AD56" i="6"/>
  <c r="AI158" i="6"/>
  <c r="AI245" i="6" s="1"/>
  <c r="AI332" i="6" s="1"/>
  <c r="AI419" i="6" s="1"/>
  <c r="AI506" i="6" s="1"/>
  <c r="AH72" i="6"/>
  <c r="S486" i="6"/>
  <c r="AD485" i="6"/>
  <c r="X486" i="6"/>
  <c r="W486" i="6"/>
  <c r="V486" i="6"/>
  <c r="P486" i="6"/>
  <c r="S399" i="6"/>
  <c r="AD398" i="6"/>
  <c r="X399" i="6"/>
  <c r="W399" i="6"/>
  <c r="V399" i="6"/>
  <c r="P399" i="6"/>
  <c r="S312" i="6"/>
  <c r="AD311" i="6"/>
  <c r="X312" i="6"/>
  <c r="W312" i="6"/>
  <c r="V312" i="6"/>
  <c r="P312" i="6"/>
  <c r="S225" i="6"/>
  <c r="AD224" i="6"/>
  <c r="X225" i="6"/>
  <c r="W225" i="6"/>
  <c r="V225" i="6"/>
  <c r="P225" i="6"/>
  <c r="S138" i="6"/>
  <c r="AD137" i="6"/>
  <c r="X138" i="6"/>
  <c r="W138" i="6"/>
  <c r="V138" i="6"/>
  <c r="P138" i="6"/>
  <c r="W57" i="6" l="1"/>
  <c r="P57" i="6"/>
  <c r="Y57" i="6" s="1"/>
  <c r="V57" i="6"/>
  <c r="AH159" i="6"/>
  <c r="AH246" i="6" s="1"/>
  <c r="AH333" i="6" s="1"/>
  <c r="AH420" i="6" s="1"/>
  <c r="AH507" i="6" s="1"/>
  <c r="AI72" i="6"/>
  <c r="Y486" i="6"/>
  <c r="Z486" i="6" s="1"/>
  <c r="Q486" i="6"/>
  <c r="Y399" i="6"/>
  <c r="Z399" i="6" s="1"/>
  <c r="Q399" i="6"/>
  <c r="Y312" i="6"/>
  <c r="Z312" i="6" s="1"/>
  <c r="Q312" i="6"/>
  <c r="Y225" i="6"/>
  <c r="Z225" i="6" s="1"/>
  <c r="Q225" i="6"/>
  <c r="Y138" i="6"/>
  <c r="Z138" i="6" s="1"/>
  <c r="Q138" i="6"/>
  <c r="Q57" i="6" l="1"/>
  <c r="U57" i="6" s="1"/>
  <c r="Z57" i="6"/>
  <c r="AI159" i="6"/>
  <c r="AI246" i="6" s="1"/>
  <c r="AI333" i="6" s="1"/>
  <c r="AI420" i="6" s="1"/>
  <c r="AI507" i="6" s="1"/>
  <c r="AH73" i="6"/>
  <c r="O487" i="6"/>
  <c r="U486" i="6"/>
  <c r="O400" i="6"/>
  <c r="U399" i="6"/>
  <c r="O313" i="6"/>
  <c r="U312" i="6"/>
  <c r="O226" i="6"/>
  <c r="U225" i="6"/>
  <c r="O139" i="6"/>
  <c r="U138" i="6"/>
  <c r="O58" i="6" l="1"/>
  <c r="W58" i="6" s="1"/>
  <c r="S58" i="6"/>
  <c r="AD57" i="6"/>
  <c r="AH160" i="6"/>
  <c r="AH247" i="6" s="1"/>
  <c r="AH334" i="6" s="1"/>
  <c r="AH421" i="6" s="1"/>
  <c r="AH508" i="6" s="1"/>
  <c r="AI73" i="6"/>
  <c r="S487" i="6"/>
  <c r="AD486" i="6"/>
  <c r="X487" i="6"/>
  <c r="W487" i="6"/>
  <c r="V487" i="6"/>
  <c r="P487" i="6"/>
  <c r="S400" i="6"/>
  <c r="AD399" i="6"/>
  <c r="X400" i="6"/>
  <c r="W400" i="6"/>
  <c r="V400" i="6"/>
  <c r="P400" i="6"/>
  <c r="S313" i="6"/>
  <c r="AD312" i="6"/>
  <c r="X313" i="6"/>
  <c r="W313" i="6"/>
  <c r="V313" i="6"/>
  <c r="P313" i="6"/>
  <c r="S226" i="6"/>
  <c r="AD225" i="6"/>
  <c r="X226" i="6"/>
  <c r="W226" i="6"/>
  <c r="V226" i="6"/>
  <c r="P226" i="6"/>
  <c r="S139" i="6"/>
  <c r="AD138" i="6"/>
  <c r="X139" i="6"/>
  <c r="W139" i="6"/>
  <c r="V139" i="6"/>
  <c r="P139" i="6"/>
  <c r="V58" i="6" l="1"/>
  <c r="X58" i="6"/>
  <c r="P58" i="6"/>
  <c r="Y58" i="6" s="1"/>
  <c r="Q58" i="6"/>
  <c r="U58" i="6" s="1"/>
  <c r="AI160" i="6"/>
  <c r="AI247" i="6" s="1"/>
  <c r="AI334" i="6" s="1"/>
  <c r="AI421" i="6" s="1"/>
  <c r="AI508" i="6" s="1"/>
  <c r="AH74" i="6"/>
  <c r="Y487" i="6"/>
  <c r="Z487" i="6" s="1"/>
  <c r="Q487" i="6"/>
  <c r="Y400" i="6"/>
  <c r="Z400" i="6" s="1"/>
  <c r="Q400" i="6"/>
  <c r="Y313" i="6"/>
  <c r="Z313" i="6" s="1"/>
  <c r="Q313" i="6"/>
  <c r="Y226" i="6"/>
  <c r="Z226" i="6" s="1"/>
  <c r="Q226" i="6"/>
  <c r="Y139" i="6"/>
  <c r="Z139" i="6" s="1"/>
  <c r="Q139" i="6"/>
  <c r="Z58" i="6" l="1"/>
  <c r="O59" i="6"/>
  <c r="W59" i="6" s="1"/>
  <c r="S59" i="6"/>
  <c r="AD58" i="6"/>
  <c r="AH161" i="6"/>
  <c r="AH248" i="6" s="1"/>
  <c r="AH335" i="6" s="1"/>
  <c r="AH422" i="6" s="1"/>
  <c r="AH509" i="6" s="1"/>
  <c r="AI74" i="6"/>
  <c r="O488" i="6"/>
  <c r="U487" i="6"/>
  <c r="O401" i="6"/>
  <c r="U400" i="6"/>
  <c r="O314" i="6"/>
  <c r="U313" i="6"/>
  <c r="O227" i="6"/>
  <c r="U226" i="6"/>
  <c r="O140" i="6"/>
  <c r="U139" i="6"/>
  <c r="V59" i="6" l="1"/>
  <c r="P59" i="6"/>
  <c r="Y59" i="6" s="1"/>
  <c r="X59" i="6"/>
  <c r="AI161" i="6"/>
  <c r="AI248" i="6" s="1"/>
  <c r="AI335" i="6" s="1"/>
  <c r="AI422" i="6" s="1"/>
  <c r="AI509" i="6" s="1"/>
  <c r="AH75" i="6"/>
  <c r="S488" i="6"/>
  <c r="AD487" i="6"/>
  <c r="X488" i="6"/>
  <c r="W488" i="6"/>
  <c r="V488" i="6"/>
  <c r="P488" i="6"/>
  <c r="S401" i="6"/>
  <c r="AD400" i="6"/>
  <c r="X401" i="6"/>
  <c r="W401" i="6"/>
  <c r="V401" i="6"/>
  <c r="P401" i="6"/>
  <c r="S314" i="6"/>
  <c r="AD313" i="6"/>
  <c r="X314" i="6"/>
  <c r="W314" i="6"/>
  <c r="V314" i="6"/>
  <c r="P314" i="6"/>
  <c r="S227" i="6"/>
  <c r="AD226" i="6"/>
  <c r="X227" i="6"/>
  <c r="W227" i="6"/>
  <c r="V227" i="6"/>
  <c r="P227" i="6"/>
  <c r="S140" i="6"/>
  <c r="AD139" i="6"/>
  <c r="X140" i="6"/>
  <c r="W140" i="6"/>
  <c r="V140" i="6"/>
  <c r="P140" i="6"/>
  <c r="Z59" i="6" l="1"/>
  <c r="Q59" i="6"/>
  <c r="O60" i="6" s="1"/>
  <c r="AH162" i="6"/>
  <c r="AH249" i="6" s="1"/>
  <c r="AH336" i="6" s="1"/>
  <c r="AH423" i="6" s="1"/>
  <c r="AH510" i="6" s="1"/>
  <c r="AI75" i="6"/>
  <c r="Y488" i="6"/>
  <c r="Z488" i="6" s="1"/>
  <c r="Q488" i="6"/>
  <c r="Y401" i="6"/>
  <c r="Z401" i="6" s="1"/>
  <c r="Q401" i="6"/>
  <c r="Y314" i="6"/>
  <c r="Z314" i="6" s="1"/>
  <c r="Q314" i="6"/>
  <c r="Y227" i="6"/>
  <c r="Z227" i="6" s="1"/>
  <c r="Q227" i="6"/>
  <c r="Y140" i="6"/>
  <c r="Z140" i="6" s="1"/>
  <c r="Q140" i="6"/>
  <c r="U59" i="6" l="1"/>
  <c r="S60" i="6" s="1"/>
  <c r="V60" i="6"/>
  <c r="P60" i="6"/>
  <c r="Y60" i="6" s="1"/>
  <c r="X60" i="6"/>
  <c r="W60" i="6"/>
  <c r="AI162" i="6"/>
  <c r="AI249" i="6" s="1"/>
  <c r="AI336" i="6" s="1"/>
  <c r="AI423" i="6" s="1"/>
  <c r="AI510" i="6" s="1"/>
  <c r="AH76" i="6"/>
  <c r="O489" i="6"/>
  <c r="U488" i="6"/>
  <c r="O402" i="6"/>
  <c r="U401" i="6"/>
  <c r="O315" i="6"/>
  <c r="U314" i="6"/>
  <c r="O228" i="6"/>
  <c r="U227" i="6"/>
  <c r="O141" i="6"/>
  <c r="U140" i="6"/>
  <c r="AD59" i="6" l="1"/>
  <c r="Q60" i="6"/>
  <c r="Z60" i="6"/>
  <c r="AH163" i="6"/>
  <c r="AH250" i="6" s="1"/>
  <c r="AH337" i="6" s="1"/>
  <c r="AH424" i="6" s="1"/>
  <c r="AH511" i="6" s="1"/>
  <c r="AI76" i="6"/>
  <c r="S489" i="6"/>
  <c r="AD488" i="6"/>
  <c r="X489" i="6"/>
  <c r="W489" i="6"/>
  <c r="V489" i="6"/>
  <c r="P489" i="6"/>
  <c r="S402" i="6"/>
  <c r="AD401" i="6"/>
  <c r="X402" i="6"/>
  <c r="W402" i="6"/>
  <c r="V402" i="6"/>
  <c r="P402" i="6"/>
  <c r="S315" i="6"/>
  <c r="AD314" i="6"/>
  <c r="X315" i="6"/>
  <c r="W315" i="6"/>
  <c r="V315" i="6"/>
  <c r="P315" i="6"/>
  <c r="S228" i="6"/>
  <c r="AD227" i="6"/>
  <c r="X228" i="6"/>
  <c r="W228" i="6"/>
  <c r="V228" i="6"/>
  <c r="P228" i="6"/>
  <c r="S141" i="6"/>
  <c r="AD140" i="6"/>
  <c r="X141" i="6"/>
  <c r="W141" i="6"/>
  <c r="V141" i="6"/>
  <c r="P141" i="6"/>
  <c r="U60" i="6" l="1"/>
  <c r="O61" i="6"/>
  <c r="AI163" i="6"/>
  <c r="AI250" i="6" s="1"/>
  <c r="AI337" i="6" s="1"/>
  <c r="AI424" i="6" s="1"/>
  <c r="AI511" i="6" s="1"/>
  <c r="AH77" i="6"/>
  <c r="Y489" i="6"/>
  <c r="Z489" i="6" s="1"/>
  <c r="Q489" i="6"/>
  <c r="Y402" i="6"/>
  <c r="Z402" i="6" s="1"/>
  <c r="Q402" i="6"/>
  <c r="Y315" i="6"/>
  <c r="Z315" i="6" s="1"/>
  <c r="Q315" i="6"/>
  <c r="Y228" i="6"/>
  <c r="Z228" i="6" s="1"/>
  <c r="Q228" i="6"/>
  <c r="Y141" i="6"/>
  <c r="Z141" i="6" s="1"/>
  <c r="Q141" i="6"/>
  <c r="P61" i="6" l="1"/>
  <c r="Y61" i="6" s="1"/>
  <c r="X61" i="6"/>
  <c r="W61" i="6"/>
  <c r="V61" i="6"/>
  <c r="Q61" i="6"/>
  <c r="S61" i="6"/>
  <c r="AD60" i="6"/>
  <c r="AH164" i="6"/>
  <c r="AH251" i="6" s="1"/>
  <c r="AH338" i="6" s="1"/>
  <c r="AH425" i="6" s="1"/>
  <c r="AH512" i="6" s="1"/>
  <c r="AI77" i="6"/>
  <c r="O490" i="6"/>
  <c r="U489" i="6"/>
  <c r="O403" i="6"/>
  <c r="U402" i="6"/>
  <c r="O316" i="6"/>
  <c r="U315" i="6"/>
  <c r="O229" i="6"/>
  <c r="U228" i="6"/>
  <c r="O142" i="6"/>
  <c r="U141" i="6"/>
  <c r="Z61" i="6" l="1"/>
  <c r="O62" i="6"/>
  <c r="U61" i="6"/>
  <c r="S62" i="6" s="1"/>
  <c r="AI164" i="6"/>
  <c r="AI251" i="6" s="1"/>
  <c r="AI338" i="6" s="1"/>
  <c r="AI425" i="6" s="1"/>
  <c r="AI512" i="6" s="1"/>
  <c r="AH78" i="6"/>
  <c r="S490" i="6"/>
  <c r="AD489" i="6"/>
  <c r="X490" i="6"/>
  <c r="W490" i="6"/>
  <c r="V490" i="6"/>
  <c r="P490" i="6"/>
  <c r="S403" i="6"/>
  <c r="AD402" i="6"/>
  <c r="X403" i="6"/>
  <c r="W403" i="6"/>
  <c r="V403" i="6"/>
  <c r="P403" i="6"/>
  <c r="S316" i="6"/>
  <c r="AD315" i="6"/>
  <c r="X316" i="6"/>
  <c r="W316" i="6"/>
  <c r="V316" i="6"/>
  <c r="P316" i="6"/>
  <c r="S229" i="6"/>
  <c r="AD228" i="6"/>
  <c r="X229" i="6"/>
  <c r="W229" i="6"/>
  <c r="V229" i="6"/>
  <c r="P229" i="6"/>
  <c r="S142" i="6"/>
  <c r="AD141" i="6"/>
  <c r="X142" i="6"/>
  <c r="W142" i="6"/>
  <c r="V142" i="6"/>
  <c r="P142" i="6"/>
  <c r="P62" i="6" l="1"/>
  <c r="Y62" i="6" s="1"/>
  <c r="W62" i="6"/>
  <c r="X62" i="6"/>
  <c r="V62" i="6"/>
  <c r="AD61" i="6"/>
  <c r="AH165" i="6"/>
  <c r="AH252" i="6" s="1"/>
  <c r="AH339" i="6" s="1"/>
  <c r="AH426" i="6" s="1"/>
  <c r="AH513" i="6" s="1"/>
  <c r="AI78" i="6"/>
  <c r="Y490" i="6"/>
  <c r="Z490" i="6" s="1"/>
  <c r="Q490" i="6"/>
  <c r="Y403" i="6"/>
  <c r="Z403" i="6" s="1"/>
  <c r="Q403" i="6"/>
  <c r="Y316" i="6"/>
  <c r="Z316" i="6" s="1"/>
  <c r="Q316" i="6"/>
  <c r="Y229" i="6"/>
  <c r="Z229" i="6" s="1"/>
  <c r="Q229" i="6"/>
  <c r="Y142" i="6"/>
  <c r="Z142" i="6" s="1"/>
  <c r="Q142" i="6"/>
  <c r="Z62" i="6" l="1"/>
  <c r="Q62" i="6"/>
  <c r="AI165" i="6"/>
  <c r="AI252" i="6" s="1"/>
  <c r="AI339" i="6" s="1"/>
  <c r="AI426" i="6" s="1"/>
  <c r="AI513" i="6" s="1"/>
  <c r="AH79" i="6"/>
  <c r="O491" i="6"/>
  <c r="U490" i="6"/>
  <c r="O404" i="6"/>
  <c r="U403" i="6"/>
  <c r="O317" i="6"/>
  <c r="U316" i="6"/>
  <c r="O230" i="6"/>
  <c r="U229" i="6"/>
  <c r="O143" i="6"/>
  <c r="U142" i="6"/>
  <c r="U62" i="6" l="1"/>
  <c r="O63" i="6"/>
  <c r="AH166" i="6"/>
  <c r="AH253" i="6" s="1"/>
  <c r="AH340" i="6" s="1"/>
  <c r="AH427" i="6" s="1"/>
  <c r="AH514" i="6" s="1"/>
  <c r="AI79" i="6"/>
  <c r="S491" i="6"/>
  <c r="AD490" i="6"/>
  <c r="X491" i="6"/>
  <c r="W491" i="6"/>
  <c r="V491" i="6"/>
  <c r="P491" i="6"/>
  <c r="S404" i="6"/>
  <c r="AD403" i="6"/>
  <c r="X404" i="6"/>
  <c r="W404" i="6"/>
  <c r="V404" i="6"/>
  <c r="P404" i="6"/>
  <c r="S317" i="6"/>
  <c r="AD316" i="6"/>
  <c r="X317" i="6"/>
  <c r="W317" i="6"/>
  <c r="V317" i="6"/>
  <c r="P317" i="6"/>
  <c r="S230" i="6"/>
  <c r="AD229" i="6"/>
  <c r="X230" i="6"/>
  <c r="W230" i="6"/>
  <c r="V230" i="6"/>
  <c r="P230" i="6"/>
  <c r="S143" i="6"/>
  <c r="AD142" i="6"/>
  <c r="X143" i="6"/>
  <c r="W143" i="6"/>
  <c r="V143" i="6"/>
  <c r="P143" i="6"/>
  <c r="V63" i="6" l="1"/>
  <c r="P63" i="6"/>
  <c r="Y63" i="6" s="1"/>
  <c r="X63" i="6"/>
  <c r="W63" i="6"/>
  <c r="S63" i="6"/>
  <c r="AD62" i="6"/>
  <c r="AI166" i="6"/>
  <c r="AI253" i="6" s="1"/>
  <c r="AI340" i="6" s="1"/>
  <c r="AI427" i="6" s="1"/>
  <c r="AI514" i="6" s="1"/>
  <c r="AH80" i="6"/>
  <c r="Y491" i="6"/>
  <c r="Z491" i="6" s="1"/>
  <c r="Q491" i="6"/>
  <c r="Y404" i="6"/>
  <c r="Z404" i="6" s="1"/>
  <c r="Q404" i="6"/>
  <c r="Y317" i="6"/>
  <c r="Z317" i="6" s="1"/>
  <c r="Q317" i="6"/>
  <c r="Y230" i="6"/>
  <c r="Z230" i="6" s="1"/>
  <c r="Q230" i="6"/>
  <c r="Y143" i="6"/>
  <c r="Z143" i="6" s="1"/>
  <c r="Q143" i="6"/>
  <c r="Q63" i="6" l="1"/>
  <c r="Z63" i="6"/>
  <c r="AH167" i="6"/>
  <c r="AH254" i="6" s="1"/>
  <c r="AH341" i="6" s="1"/>
  <c r="AH428" i="6" s="1"/>
  <c r="AH515" i="6" s="1"/>
  <c r="AI80" i="6"/>
  <c r="O492" i="6"/>
  <c r="U491" i="6"/>
  <c r="O405" i="6"/>
  <c r="U404" i="6"/>
  <c r="O318" i="6"/>
  <c r="U317" i="6"/>
  <c r="O231" i="6"/>
  <c r="U230" i="6"/>
  <c r="O144" i="6"/>
  <c r="U143" i="6"/>
  <c r="U63" i="6" l="1"/>
  <c r="O64" i="6"/>
  <c r="AI167" i="6"/>
  <c r="AI254" i="6" s="1"/>
  <c r="AI341" i="6" s="1"/>
  <c r="AI428" i="6" s="1"/>
  <c r="AI515" i="6" s="1"/>
  <c r="AH81" i="6"/>
  <c r="S492" i="6"/>
  <c r="AD491" i="6"/>
  <c r="X492" i="6"/>
  <c r="W492" i="6"/>
  <c r="V492" i="6"/>
  <c r="P492" i="6"/>
  <c r="S405" i="6"/>
  <c r="AD404" i="6"/>
  <c r="X405" i="6"/>
  <c r="W405" i="6"/>
  <c r="V405" i="6"/>
  <c r="P405" i="6"/>
  <c r="S318" i="6"/>
  <c r="AD317" i="6"/>
  <c r="X318" i="6"/>
  <c r="W318" i="6"/>
  <c r="V318" i="6"/>
  <c r="P318" i="6"/>
  <c r="S231" i="6"/>
  <c r="AD230" i="6"/>
  <c r="X231" i="6"/>
  <c r="W231" i="6"/>
  <c r="V231" i="6"/>
  <c r="P231" i="6"/>
  <c r="S144" i="6"/>
  <c r="AD143" i="6"/>
  <c r="X144" i="6"/>
  <c r="W144" i="6"/>
  <c r="V144" i="6"/>
  <c r="P144" i="6"/>
  <c r="V64" i="6" l="1"/>
  <c r="X64" i="6"/>
  <c r="P64" i="6"/>
  <c r="Y64" i="6" s="1"/>
  <c r="W64" i="6"/>
  <c r="S64" i="6"/>
  <c r="AD63" i="6"/>
  <c r="AH168" i="6"/>
  <c r="AH255" i="6" s="1"/>
  <c r="AH342" i="6" s="1"/>
  <c r="AH429" i="6" s="1"/>
  <c r="AH516" i="6" s="1"/>
  <c r="AI81" i="6"/>
  <c r="Y492" i="6"/>
  <c r="Z492" i="6" s="1"/>
  <c r="Q492" i="6"/>
  <c r="Y405" i="6"/>
  <c r="Z405" i="6" s="1"/>
  <c r="Q405" i="6"/>
  <c r="Y318" i="6"/>
  <c r="Z318" i="6" s="1"/>
  <c r="Q318" i="6"/>
  <c r="Y231" i="6"/>
  <c r="Z231" i="6" s="1"/>
  <c r="Q231" i="6"/>
  <c r="Y144" i="6"/>
  <c r="Z144" i="6" s="1"/>
  <c r="Q144" i="6"/>
  <c r="Q64" i="6" l="1"/>
  <c r="U64" i="6" s="1"/>
  <c r="S65" i="6" s="1"/>
  <c r="Z64" i="6"/>
  <c r="AI168" i="6"/>
  <c r="AI255" i="6" s="1"/>
  <c r="AI342" i="6" s="1"/>
  <c r="AI429" i="6" s="1"/>
  <c r="AI516" i="6" s="1"/>
  <c r="AH82" i="6"/>
  <c r="O493" i="6"/>
  <c r="U492" i="6"/>
  <c r="O406" i="6"/>
  <c r="U405" i="6"/>
  <c r="O319" i="6"/>
  <c r="U318" i="6"/>
  <c r="O232" i="6"/>
  <c r="U231" i="6"/>
  <c r="O145" i="6"/>
  <c r="U144" i="6"/>
  <c r="O65" i="6" l="1"/>
  <c r="P65" i="6" s="1"/>
  <c r="Y65" i="6" s="1"/>
  <c r="AD64" i="6"/>
  <c r="AH169" i="6"/>
  <c r="AH256" i="6" s="1"/>
  <c r="AH343" i="6" s="1"/>
  <c r="AH430" i="6" s="1"/>
  <c r="AH517" i="6" s="1"/>
  <c r="AI82" i="6"/>
  <c r="S493" i="6"/>
  <c r="AD492" i="6"/>
  <c r="X493" i="6"/>
  <c r="W493" i="6"/>
  <c r="V493" i="6"/>
  <c r="P493" i="6"/>
  <c r="S406" i="6"/>
  <c r="AD405" i="6"/>
  <c r="X406" i="6"/>
  <c r="W406" i="6"/>
  <c r="V406" i="6"/>
  <c r="P406" i="6"/>
  <c r="S319" i="6"/>
  <c r="AD318" i="6"/>
  <c r="X319" i="6"/>
  <c r="W319" i="6"/>
  <c r="V319" i="6"/>
  <c r="P319" i="6"/>
  <c r="S232" i="6"/>
  <c r="AD231" i="6"/>
  <c r="X232" i="6"/>
  <c r="W232" i="6"/>
  <c r="V232" i="6"/>
  <c r="P232" i="6"/>
  <c r="S145" i="6"/>
  <c r="AD144" i="6"/>
  <c r="X145" i="6"/>
  <c r="W145" i="6"/>
  <c r="V145" i="6"/>
  <c r="P145" i="6"/>
  <c r="W65" i="6" l="1"/>
  <c r="V65" i="6"/>
  <c r="X65" i="6"/>
  <c r="Q65" i="6"/>
  <c r="O66" i="6" s="1"/>
  <c r="AI169" i="6"/>
  <c r="AI256" i="6" s="1"/>
  <c r="AI343" i="6" s="1"/>
  <c r="AI430" i="6" s="1"/>
  <c r="AI517" i="6" s="1"/>
  <c r="AH83" i="6"/>
  <c r="Y493" i="6"/>
  <c r="Z493" i="6" s="1"/>
  <c r="Q493" i="6"/>
  <c r="Y406" i="6"/>
  <c r="Z406" i="6" s="1"/>
  <c r="Q406" i="6"/>
  <c r="Y319" i="6"/>
  <c r="Z319" i="6" s="1"/>
  <c r="Q319" i="6"/>
  <c r="Y232" i="6"/>
  <c r="Z232" i="6" s="1"/>
  <c r="Q232" i="6"/>
  <c r="Y145" i="6"/>
  <c r="Z145" i="6" s="1"/>
  <c r="Q145" i="6"/>
  <c r="Z65" i="6" l="1"/>
  <c r="U65" i="6"/>
  <c r="AD65" i="6" s="1"/>
  <c r="W66" i="6"/>
  <c r="P66" i="6"/>
  <c r="Y66" i="6" s="1"/>
  <c r="V66" i="6"/>
  <c r="X66" i="6"/>
  <c r="AH170" i="6"/>
  <c r="AH257" i="6" s="1"/>
  <c r="AH344" i="6" s="1"/>
  <c r="AH431" i="6" s="1"/>
  <c r="AH518" i="6" s="1"/>
  <c r="AI83" i="6"/>
  <c r="O494" i="6"/>
  <c r="U493" i="6"/>
  <c r="O407" i="6"/>
  <c r="U406" i="6"/>
  <c r="O320" i="6"/>
  <c r="U319" i="6"/>
  <c r="O233" i="6"/>
  <c r="U232" i="6"/>
  <c r="O146" i="6"/>
  <c r="U145" i="6"/>
  <c r="S66" i="6" l="1"/>
  <c r="Q66" i="6"/>
  <c r="Z66" i="6"/>
  <c r="AI170" i="6"/>
  <c r="AI257" i="6" s="1"/>
  <c r="AI344" i="6" s="1"/>
  <c r="AI431" i="6" s="1"/>
  <c r="AI518" i="6" s="1"/>
  <c r="AH84" i="6"/>
  <c r="AH6" i="6" s="1"/>
  <c r="S494" i="6"/>
  <c r="AD493" i="6"/>
  <c r="X494" i="6"/>
  <c r="W494" i="6"/>
  <c r="V494" i="6"/>
  <c r="P494" i="6"/>
  <c r="S407" i="6"/>
  <c r="AD406" i="6"/>
  <c r="X407" i="6"/>
  <c r="W407" i="6"/>
  <c r="V407" i="6"/>
  <c r="P407" i="6"/>
  <c r="S320" i="6"/>
  <c r="AD319" i="6"/>
  <c r="X320" i="6"/>
  <c r="W320" i="6"/>
  <c r="V320" i="6"/>
  <c r="P320" i="6"/>
  <c r="S233" i="6"/>
  <c r="AD232" i="6"/>
  <c r="X233" i="6"/>
  <c r="W233" i="6"/>
  <c r="V233" i="6"/>
  <c r="P233" i="6"/>
  <c r="S146" i="6"/>
  <c r="AD145" i="6"/>
  <c r="X146" i="6"/>
  <c r="W146" i="6"/>
  <c r="V146" i="6"/>
  <c r="P146" i="6"/>
  <c r="O67" i="6" l="1"/>
  <c r="U66" i="6"/>
  <c r="AH171" i="6"/>
  <c r="AH258" i="6" s="1"/>
  <c r="AH345" i="6" s="1"/>
  <c r="AH432" i="6" s="1"/>
  <c r="AH519" i="6" s="1"/>
  <c r="AI84" i="6"/>
  <c r="AH7" i="6"/>
  <c r="Y494" i="6"/>
  <c r="Z494" i="6" s="1"/>
  <c r="Q494" i="6"/>
  <c r="Y407" i="6"/>
  <c r="Z407" i="6" s="1"/>
  <c r="Q407" i="6"/>
  <c r="Y320" i="6"/>
  <c r="Z320" i="6" s="1"/>
  <c r="Q320" i="6"/>
  <c r="Y233" i="6"/>
  <c r="Z233" i="6" s="1"/>
  <c r="Q233" i="6"/>
  <c r="Y146" i="6"/>
  <c r="Z146" i="6" s="1"/>
  <c r="Q146" i="6"/>
  <c r="S67" i="6" l="1"/>
  <c r="AD66" i="6"/>
  <c r="P67" i="6"/>
  <c r="Y67" i="6" s="1"/>
  <c r="X67" i="6"/>
  <c r="V67" i="6"/>
  <c r="W67" i="6"/>
  <c r="Q67" i="6"/>
  <c r="AI171" i="6"/>
  <c r="AI258" i="6" s="1"/>
  <c r="AI345" i="6" s="1"/>
  <c r="AI432" i="6" s="1"/>
  <c r="AI519" i="6" s="1"/>
  <c r="AI7" i="6"/>
  <c r="AJ7" i="6" s="1"/>
  <c r="AK12" i="6" s="1"/>
  <c r="AI6" i="6"/>
  <c r="AJ6" i="6" s="1"/>
  <c r="O495" i="6"/>
  <c r="U494" i="6"/>
  <c r="O408" i="6"/>
  <c r="U407" i="6"/>
  <c r="O321" i="6"/>
  <c r="U320" i="6"/>
  <c r="O234" i="6"/>
  <c r="U233" i="6"/>
  <c r="O147" i="6"/>
  <c r="U146" i="6"/>
  <c r="S11" i="6"/>
  <c r="AD11" i="6" s="1"/>
  <c r="S12" i="6"/>
  <c r="AD12" i="6" s="1"/>
  <c r="S13" i="6"/>
  <c r="AD13" i="6" s="1"/>
  <c r="S14" i="6"/>
  <c r="AD14" i="6" s="1"/>
  <c r="S15" i="6"/>
  <c r="AD15" i="6" s="1"/>
  <c r="S16" i="6"/>
  <c r="AD16" i="6" s="1"/>
  <c r="S17" i="6"/>
  <c r="AD17" i="6" s="1"/>
  <c r="S18" i="6"/>
  <c r="AD18" i="6" s="1"/>
  <c r="S19" i="6"/>
  <c r="AD19" i="6" s="1"/>
  <c r="S20" i="6"/>
  <c r="AD20" i="6" s="1"/>
  <c r="S21" i="6"/>
  <c r="AD21" i="6" s="1"/>
  <c r="S22" i="6"/>
  <c r="AD22" i="6" s="1"/>
  <c r="S23" i="6"/>
  <c r="AD23" i="6" s="1"/>
  <c r="S24" i="6"/>
  <c r="AD24" i="6" s="1"/>
  <c r="S25" i="6"/>
  <c r="AD25" i="6" s="1"/>
  <c r="S26" i="6"/>
  <c r="AD26" i="6" s="1"/>
  <c r="S27" i="6"/>
  <c r="AD27" i="6" s="1"/>
  <c r="S28" i="6"/>
  <c r="AD28" i="6" s="1"/>
  <c r="S29" i="6"/>
  <c r="AD29" i="6" s="1"/>
  <c r="O68" i="6" l="1"/>
  <c r="U67" i="6"/>
  <c r="S68" i="6" s="1"/>
  <c r="Z67" i="6"/>
  <c r="AJ83" i="6"/>
  <c r="AJ82" i="6"/>
  <c r="AJ81" i="6"/>
  <c r="AJ80" i="6"/>
  <c r="AJ79" i="6"/>
  <c r="AJ78" i="6"/>
  <c r="AJ77" i="6"/>
  <c r="AJ76" i="6"/>
  <c r="AJ75" i="6"/>
  <c r="AJ74" i="6"/>
  <c r="AJ73" i="6"/>
  <c r="AJ72" i="6"/>
  <c r="AJ71" i="6"/>
  <c r="AJ70" i="6"/>
  <c r="AJ69" i="6"/>
  <c r="AJ68" i="6"/>
  <c r="AJ67" i="6"/>
  <c r="AJ66" i="6"/>
  <c r="AJ65" i="6"/>
  <c r="AJ64" i="6"/>
  <c r="AJ63" i="6"/>
  <c r="AJ62" i="6"/>
  <c r="AJ61" i="6"/>
  <c r="AJ60" i="6"/>
  <c r="AJ59" i="6"/>
  <c r="AJ58" i="6"/>
  <c r="AJ57" i="6"/>
  <c r="AJ56" i="6"/>
  <c r="AJ55" i="6"/>
  <c r="AJ54" i="6"/>
  <c r="AJ53" i="6"/>
  <c r="AJ52" i="6"/>
  <c r="AJ51" i="6"/>
  <c r="AJ50" i="6"/>
  <c r="AJ49" i="6"/>
  <c r="AJ48" i="6"/>
  <c r="AJ47" i="6"/>
  <c r="AJ46" i="6"/>
  <c r="AJ45" i="6"/>
  <c r="AJ44" i="6"/>
  <c r="AJ43" i="6"/>
  <c r="AJ42" i="6"/>
  <c r="AJ41" i="6"/>
  <c r="AJ40" i="6"/>
  <c r="AJ39" i="6"/>
  <c r="AJ38" i="6"/>
  <c r="AJ37" i="6"/>
  <c r="AJ36" i="6"/>
  <c r="AJ35" i="6"/>
  <c r="AJ34" i="6"/>
  <c r="AJ33" i="6"/>
  <c r="AJ32" i="6"/>
  <c r="AJ31" i="6"/>
  <c r="AJ30" i="6"/>
  <c r="AJ29" i="6"/>
  <c r="AJ28" i="6"/>
  <c r="AJ27" i="6"/>
  <c r="AJ26" i="6"/>
  <c r="AJ25" i="6"/>
  <c r="AJ24" i="6"/>
  <c r="AJ23" i="6"/>
  <c r="AJ22" i="6"/>
  <c r="AJ21" i="6"/>
  <c r="AJ20" i="6"/>
  <c r="AJ19" i="6"/>
  <c r="AJ18" i="6"/>
  <c r="AJ17" i="6"/>
  <c r="AJ16" i="6"/>
  <c r="AJ15" i="6"/>
  <c r="AJ14" i="6"/>
  <c r="AJ13" i="6"/>
  <c r="AJ12" i="6"/>
  <c r="AJ11" i="6"/>
  <c r="AJ10" i="6"/>
  <c r="AJ9" i="6"/>
  <c r="AK83" i="6"/>
  <c r="AK82" i="6"/>
  <c r="AK81" i="6"/>
  <c r="AK80" i="6"/>
  <c r="AK79" i="6"/>
  <c r="AK78" i="6"/>
  <c r="AK77" i="6"/>
  <c r="AK76" i="6"/>
  <c r="AK75" i="6"/>
  <c r="AK74" i="6"/>
  <c r="AK73" i="6"/>
  <c r="AK72" i="6"/>
  <c r="AK71" i="6"/>
  <c r="AK70" i="6"/>
  <c r="AK69" i="6"/>
  <c r="AK68" i="6"/>
  <c r="AK67" i="6"/>
  <c r="AK66" i="6"/>
  <c r="AK65" i="6"/>
  <c r="AK64" i="6"/>
  <c r="AK63" i="6"/>
  <c r="AK62" i="6"/>
  <c r="AK61" i="6"/>
  <c r="AK60" i="6"/>
  <c r="AK59" i="6"/>
  <c r="AK58" i="6"/>
  <c r="AK57" i="6"/>
  <c r="AK56" i="6"/>
  <c r="AK55" i="6"/>
  <c r="AK54" i="6"/>
  <c r="AK53" i="6"/>
  <c r="AK52" i="6"/>
  <c r="AK51" i="6"/>
  <c r="AK50" i="6"/>
  <c r="AK49" i="6"/>
  <c r="AK48" i="6"/>
  <c r="AK47" i="6"/>
  <c r="AK46" i="6"/>
  <c r="AK45" i="6"/>
  <c r="AK44" i="6"/>
  <c r="AK43" i="6"/>
  <c r="AK42" i="6"/>
  <c r="AK41" i="6"/>
  <c r="AK40" i="6"/>
  <c r="AK39" i="6"/>
  <c r="AK38" i="6"/>
  <c r="AK37" i="6"/>
  <c r="AK36" i="6"/>
  <c r="AK35" i="6"/>
  <c r="AK34" i="6"/>
  <c r="AK33" i="6"/>
  <c r="AK32" i="6"/>
  <c r="AK31" i="6"/>
  <c r="AK30" i="6"/>
  <c r="AK29" i="6"/>
  <c r="AK28" i="6"/>
  <c r="AK27" i="6"/>
  <c r="AK26" i="6"/>
  <c r="AK25" i="6"/>
  <c r="AK24" i="6"/>
  <c r="AK23" i="6"/>
  <c r="AK22" i="6"/>
  <c r="AK21" i="6"/>
  <c r="AK20" i="6"/>
  <c r="AK19" i="6"/>
  <c r="AK18" i="6"/>
  <c r="AK17" i="6"/>
  <c r="AK16" i="6"/>
  <c r="AK15" i="6"/>
  <c r="AK14" i="6"/>
  <c r="AK13" i="6"/>
  <c r="AK11" i="6"/>
  <c r="AK10" i="6"/>
  <c r="AK9" i="6"/>
  <c r="S495" i="6"/>
  <c r="AD494" i="6"/>
  <c r="X495" i="6"/>
  <c r="W495" i="6"/>
  <c r="V495" i="6"/>
  <c r="P495" i="6"/>
  <c r="S408" i="6"/>
  <c r="AD407" i="6"/>
  <c r="X408" i="6"/>
  <c r="W408" i="6"/>
  <c r="V408" i="6"/>
  <c r="P408" i="6"/>
  <c r="S321" i="6"/>
  <c r="AD320" i="6"/>
  <c r="X321" i="6"/>
  <c r="W321" i="6"/>
  <c r="V321" i="6"/>
  <c r="P321" i="6"/>
  <c r="S234" i="6"/>
  <c r="AD233" i="6"/>
  <c r="X234" i="6"/>
  <c r="W234" i="6"/>
  <c r="V234" i="6"/>
  <c r="P234" i="6"/>
  <c r="S147" i="6"/>
  <c r="AD146" i="6"/>
  <c r="X147" i="6"/>
  <c r="W147" i="6"/>
  <c r="V147" i="6"/>
  <c r="P147" i="6"/>
  <c r="S10" i="6"/>
  <c r="AD9" i="6"/>
  <c r="AD67" i="6" l="1"/>
  <c r="W68" i="6"/>
  <c r="V68" i="6"/>
  <c r="P68" i="6"/>
  <c r="Y68" i="6" s="1"/>
  <c r="X68" i="6"/>
  <c r="J9" i="6"/>
  <c r="L9" i="6" s="1"/>
  <c r="AK96" i="6"/>
  <c r="J10" i="6"/>
  <c r="L10" i="6" s="1"/>
  <c r="AK97" i="6"/>
  <c r="J11" i="6"/>
  <c r="L11" i="6" s="1"/>
  <c r="AK98" i="6"/>
  <c r="J12" i="6"/>
  <c r="L12" i="6" s="1"/>
  <c r="AK99" i="6"/>
  <c r="J13" i="6"/>
  <c r="L13" i="6" s="1"/>
  <c r="AK100" i="6"/>
  <c r="J14" i="6"/>
  <c r="L14" i="6" s="1"/>
  <c r="AK101" i="6"/>
  <c r="J15" i="6"/>
  <c r="L15" i="6" s="1"/>
  <c r="AK102" i="6"/>
  <c r="J16" i="6"/>
  <c r="L16" i="6" s="1"/>
  <c r="AK103" i="6"/>
  <c r="J17" i="6"/>
  <c r="L17" i="6" s="1"/>
  <c r="AK104" i="6"/>
  <c r="J18" i="6"/>
  <c r="L18" i="6" s="1"/>
  <c r="AK105" i="6"/>
  <c r="J19" i="6"/>
  <c r="L19" i="6" s="1"/>
  <c r="AK106" i="6"/>
  <c r="J20" i="6"/>
  <c r="L20" i="6" s="1"/>
  <c r="AK107" i="6"/>
  <c r="J21" i="6"/>
  <c r="L21" i="6" s="1"/>
  <c r="AK108" i="6"/>
  <c r="J22" i="6"/>
  <c r="L22" i="6" s="1"/>
  <c r="AK109" i="6"/>
  <c r="J23" i="6"/>
  <c r="L23" i="6" s="1"/>
  <c r="AK110" i="6"/>
  <c r="J24" i="6"/>
  <c r="L24" i="6" s="1"/>
  <c r="AK111" i="6"/>
  <c r="J25" i="6"/>
  <c r="L25" i="6" s="1"/>
  <c r="AK112" i="6"/>
  <c r="J26" i="6"/>
  <c r="L26" i="6" s="1"/>
  <c r="AK113" i="6"/>
  <c r="J27" i="6"/>
  <c r="L27" i="6" s="1"/>
  <c r="AK114" i="6"/>
  <c r="J28" i="6"/>
  <c r="L28" i="6" s="1"/>
  <c r="AK115" i="6"/>
  <c r="J29" i="6"/>
  <c r="L29" i="6" s="1"/>
  <c r="AK116" i="6"/>
  <c r="J30" i="6"/>
  <c r="L30" i="6" s="1"/>
  <c r="AK117" i="6"/>
  <c r="J31" i="6"/>
  <c r="L31" i="6" s="1"/>
  <c r="AK118" i="6"/>
  <c r="J32" i="6"/>
  <c r="L32" i="6" s="1"/>
  <c r="AK119" i="6"/>
  <c r="J33" i="6"/>
  <c r="L33" i="6" s="1"/>
  <c r="AK120" i="6"/>
  <c r="J34" i="6"/>
  <c r="L34" i="6" s="1"/>
  <c r="AK121" i="6"/>
  <c r="J35" i="6"/>
  <c r="L35" i="6" s="1"/>
  <c r="AK122" i="6"/>
  <c r="J36" i="6"/>
  <c r="L36" i="6" s="1"/>
  <c r="AK123" i="6"/>
  <c r="J37" i="6"/>
  <c r="L37" i="6" s="1"/>
  <c r="AK124" i="6"/>
  <c r="J38" i="6"/>
  <c r="L38" i="6" s="1"/>
  <c r="AK125" i="6"/>
  <c r="J39" i="6"/>
  <c r="L39" i="6" s="1"/>
  <c r="AK126" i="6"/>
  <c r="J40" i="6"/>
  <c r="L40" i="6" s="1"/>
  <c r="AK127" i="6"/>
  <c r="J41" i="6"/>
  <c r="L41" i="6" s="1"/>
  <c r="AK128" i="6"/>
  <c r="J42" i="6"/>
  <c r="L42" i="6" s="1"/>
  <c r="AK129" i="6"/>
  <c r="J43" i="6"/>
  <c r="L43" i="6" s="1"/>
  <c r="AK130" i="6"/>
  <c r="J44" i="6"/>
  <c r="L44" i="6" s="1"/>
  <c r="AK131" i="6"/>
  <c r="J45" i="6"/>
  <c r="L45" i="6" s="1"/>
  <c r="AK132" i="6"/>
  <c r="J46" i="6"/>
  <c r="L46" i="6" s="1"/>
  <c r="AK133" i="6"/>
  <c r="J47" i="6"/>
  <c r="L47" i="6" s="1"/>
  <c r="AK134" i="6"/>
  <c r="J48" i="6"/>
  <c r="L48" i="6" s="1"/>
  <c r="AK135" i="6"/>
  <c r="J49" i="6"/>
  <c r="L49" i="6" s="1"/>
  <c r="AK136" i="6"/>
  <c r="J50" i="6"/>
  <c r="L50" i="6" s="1"/>
  <c r="AK137" i="6"/>
  <c r="J51" i="6"/>
  <c r="L51" i="6" s="1"/>
  <c r="AK138" i="6"/>
  <c r="J52" i="6"/>
  <c r="L52" i="6" s="1"/>
  <c r="AK139" i="6"/>
  <c r="J53" i="6"/>
  <c r="L53" i="6" s="1"/>
  <c r="AK140" i="6"/>
  <c r="J54" i="6"/>
  <c r="L54" i="6" s="1"/>
  <c r="AK141" i="6"/>
  <c r="J55" i="6"/>
  <c r="L55" i="6" s="1"/>
  <c r="AK142" i="6"/>
  <c r="J56" i="6"/>
  <c r="L56" i="6" s="1"/>
  <c r="AK143" i="6"/>
  <c r="J57" i="6"/>
  <c r="L57" i="6" s="1"/>
  <c r="AK144" i="6"/>
  <c r="J58" i="6"/>
  <c r="L58" i="6" s="1"/>
  <c r="AK145" i="6"/>
  <c r="J59" i="6"/>
  <c r="L59" i="6" s="1"/>
  <c r="AK146" i="6"/>
  <c r="J60" i="6"/>
  <c r="L60" i="6" s="1"/>
  <c r="AK147" i="6"/>
  <c r="J61" i="6"/>
  <c r="L61" i="6" s="1"/>
  <c r="AK148" i="6"/>
  <c r="J62" i="6"/>
  <c r="L62" i="6" s="1"/>
  <c r="AK149" i="6"/>
  <c r="J63" i="6"/>
  <c r="L63" i="6" s="1"/>
  <c r="AK150" i="6"/>
  <c r="J64" i="6"/>
  <c r="L64" i="6" s="1"/>
  <c r="AK151" i="6"/>
  <c r="J65" i="6"/>
  <c r="L65" i="6" s="1"/>
  <c r="AK152" i="6"/>
  <c r="J66" i="6"/>
  <c r="L66" i="6" s="1"/>
  <c r="AK153" i="6"/>
  <c r="J67" i="6"/>
  <c r="L67" i="6" s="1"/>
  <c r="AK154" i="6"/>
  <c r="J68" i="6"/>
  <c r="L68" i="6" s="1"/>
  <c r="AK155" i="6"/>
  <c r="J69" i="6"/>
  <c r="L69" i="6" s="1"/>
  <c r="AK156" i="6"/>
  <c r="J70" i="6"/>
  <c r="L70" i="6" s="1"/>
  <c r="AK157" i="6"/>
  <c r="J71" i="6"/>
  <c r="L71" i="6" s="1"/>
  <c r="AK158" i="6"/>
  <c r="J72" i="6"/>
  <c r="L72" i="6" s="1"/>
  <c r="AK159" i="6"/>
  <c r="J73" i="6"/>
  <c r="L73" i="6" s="1"/>
  <c r="AK160" i="6"/>
  <c r="J74" i="6"/>
  <c r="L74" i="6" s="1"/>
  <c r="AK161" i="6"/>
  <c r="J75" i="6"/>
  <c r="L75" i="6" s="1"/>
  <c r="AK162" i="6"/>
  <c r="J76" i="6"/>
  <c r="L76" i="6" s="1"/>
  <c r="AK163" i="6"/>
  <c r="J77" i="6"/>
  <c r="L77" i="6" s="1"/>
  <c r="AK164" i="6"/>
  <c r="J78" i="6"/>
  <c r="L78" i="6" s="1"/>
  <c r="AK165" i="6"/>
  <c r="J79" i="6"/>
  <c r="L79" i="6" s="1"/>
  <c r="AK166" i="6"/>
  <c r="J80" i="6"/>
  <c r="L80" i="6" s="1"/>
  <c r="AK167" i="6"/>
  <c r="J81" i="6"/>
  <c r="L81" i="6" s="1"/>
  <c r="AK168" i="6"/>
  <c r="J82" i="6"/>
  <c r="L82" i="6" s="1"/>
  <c r="AK169" i="6"/>
  <c r="J83" i="6"/>
  <c r="L83" i="6" s="1"/>
  <c r="AK170" i="6"/>
  <c r="K9" i="6"/>
  <c r="M9" i="6" s="1"/>
  <c r="T9" i="6" s="1"/>
  <c r="AJ96" i="6"/>
  <c r="K10" i="6"/>
  <c r="M10" i="6" s="1"/>
  <c r="T10" i="6" s="1"/>
  <c r="R11" i="6" s="1"/>
  <c r="AJ97" i="6"/>
  <c r="K11" i="6"/>
  <c r="M11" i="6" s="1"/>
  <c r="T11" i="6" s="1"/>
  <c r="R12" i="6" s="1"/>
  <c r="AJ98" i="6"/>
  <c r="K12" i="6"/>
  <c r="M12" i="6" s="1"/>
  <c r="T12" i="6" s="1"/>
  <c r="R13" i="6" s="1"/>
  <c r="AJ99" i="6"/>
  <c r="K13" i="6"/>
  <c r="M13" i="6" s="1"/>
  <c r="T13" i="6" s="1"/>
  <c r="R14" i="6" s="1"/>
  <c r="AJ100" i="6"/>
  <c r="K14" i="6"/>
  <c r="M14" i="6" s="1"/>
  <c r="T14" i="6" s="1"/>
  <c r="R15" i="6" s="1"/>
  <c r="AJ101" i="6"/>
  <c r="K15" i="6"/>
  <c r="AJ102" i="6"/>
  <c r="K16" i="6"/>
  <c r="M16" i="6" s="1"/>
  <c r="T16" i="6" s="1"/>
  <c r="R17" i="6" s="1"/>
  <c r="AJ103" i="6"/>
  <c r="K17" i="6"/>
  <c r="M17" i="6" s="1"/>
  <c r="T17" i="6" s="1"/>
  <c r="R18" i="6" s="1"/>
  <c r="AJ104" i="6"/>
  <c r="K18" i="6"/>
  <c r="M18" i="6" s="1"/>
  <c r="T18" i="6" s="1"/>
  <c r="R19" i="6" s="1"/>
  <c r="AJ105" i="6"/>
  <c r="K19" i="6"/>
  <c r="M19" i="6" s="1"/>
  <c r="T19" i="6" s="1"/>
  <c r="R20" i="6" s="1"/>
  <c r="AJ106" i="6"/>
  <c r="K20" i="6"/>
  <c r="M20" i="6" s="1"/>
  <c r="T20" i="6" s="1"/>
  <c r="R21" i="6" s="1"/>
  <c r="AJ107" i="6"/>
  <c r="K21" i="6"/>
  <c r="M21" i="6" s="1"/>
  <c r="T21" i="6" s="1"/>
  <c r="R22" i="6" s="1"/>
  <c r="AJ108" i="6"/>
  <c r="K22" i="6"/>
  <c r="M22" i="6" s="1"/>
  <c r="T22" i="6" s="1"/>
  <c r="R23" i="6" s="1"/>
  <c r="AJ109" i="6"/>
  <c r="K23" i="6"/>
  <c r="M23" i="6" s="1"/>
  <c r="T23" i="6" s="1"/>
  <c r="R24" i="6" s="1"/>
  <c r="AJ110" i="6"/>
  <c r="K24" i="6"/>
  <c r="M24" i="6" s="1"/>
  <c r="T24" i="6" s="1"/>
  <c r="R25" i="6" s="1"/>
  <c r="AJ111" i="6"/>
  <c r="K25" i="6"/>
  <c r="M25" i="6" s="1"/>
  <c r="T25" i="6" s="1"/>
  <c r="R26" i="6" s="1"/>
  <c r="AJ112" i="6"/>
  <c r="K26" i="6"/>
  <c r="M26" i="6" s="1"/>
  <c r="T26" i="6" s="1"/>
  <c r="R27" i="6" s="1"/>
  <c r="AJ113" i="6"/>
  <c r="K27" i="6"/>
  <c r="M27" i="6" s="1"/>
  <c r="T27" i="6" s="1"/>
  <c r="R28" i="6" s="1"/>
  <c r="AJ114" i="6"/>
  <c r="K28" i="6"/>
  <c r="M28" i="6" s="1"/>
  <c r="T28" i="6" s="1"/>
  <c r="R29" i="6" s="1"/>
  <c r="AJ115" i="6"/>
  <c r="K29" i="6"/>
  <c r="M29" i="6" s="1"/>
  <c r="T29" i="6" s="1"/>
  <c r="R30" i="6" s="1"/>
  <c r="AJ116" i="6"/>
  <c r="K30" i="6"/>
  <c r="M30" i="6" s="1"/>
  <c r="T30" i="6" s="1"/>
  <c r="R31" i="6" s="1"/>
  <c r="AJ117" i="6"/>
  <c r="K31" i="6"/>
  <c r="M31" i="6" s="1"/>
  <c r="T31" i="6" s="1"/>
  <c r="R32" i="6" s="1"/>
  <c r="AJ118" i="6"/>
  <c r="K32" i="6"/>
  <c r="M32" i="6" s="1"/>
  <c r="T32" i="6" s="1"/>
  <c r="R33" i="6" s="1"/>
  <c r="AJ119" i="6"/>
  <c r="K33" i="6"/>
  <c r="M33" i="6" s="1"/>
  <c r="T33" i="6" s="1"/>
  <c r="R34" i="6" s="1"/>
  <c r="AJ120" i="6"/>
  <c r="K34" i="6"/>
  <c r="M34" i="6" s="1"/>
  <c r="T34" i="6" s="1"/>
  <c r="R35" i="6" s="1"/>
  <c r="AJ121" i="6"/>
  <c r="K35" i="6"/>
  <c r="M35" i="6" s="1"/>
  <c r="T35" i="6" s="1"/>
  <c r="R36" i="6" s="1"/>
  <c r="AJ122" i="6"/>
  <c r="K36" i="6"/>
  <c r="M36" i="6" s="1"/>
  <c r="T36" i="6" s="1"/>
  <c r="R37" i="6" s="1"/>
  <c r="AJ123" i="6"/>
  <c r="K37" i="6"/>
  <c r="M37" i="6" s="1"/>
  <c r="T37" i="6" s="1"/>
  <c r="R38" i="6" s="1"/>
  <c r="AJ124" i="6"/>
  <c r="K38" i="6"/>
  <c r="M38" i="6" s="1"/>
  <c r="T38" i="6" s="1"/>
  <c r="R39" i="6" s="1"/>
  <c r="AJ125" i="6"/>
  <c r="K39" i="6"/>
  <c r="M39" i="6" s="1"/>
  <c r="T39" i="6" s="1"/>
  <c r="R40" i="6" s="1"/>
  <c r="AJ126" i="6"/>
  <c r="K40" i="6"/>
  <c r="M40" i="6" s="1"/>
  <c r="T40" i="6" s="1"/>
  <c r="R41" i="6" s="1"/>
  <c r="AJ127" i="6"/>
  <c r="K41" i="6"/>
  <c r="M41" i="6" s="1"/>
  <c r="T41" i="6" s="1"/>
  <c r="R42" i="6" s="1"/>
  <c r="AJ128" i="6"/>
  <c r="K42" i="6"/>
  <c r="M42" i="6" s="1"/>
  <c r="T42" i="6" s="1"/>
  <c r="R43" i="6" s="1"/>
  <c r="AJ129" i="6"/>
  <c r="K43" i="6"/>
  <c r="M43" i="6" s="1"/>
  <c r="T43" i="6" s="1"/>
  <c r="R44" i="6" s="1"/>
  <c r="AJ130" i="6"/>
  <c r="K44" i="6"/>
  <c r="M44" i="6" s="1"/>
  <c r="T44" i="6" s="1"/>
  <c r="R45" i="6" s="1"/>
  <c r="AJ131" i="6"/>
  <c r="K45" i="6"/>
  <c r="M45" i="6" s="1"/>
  <c r="T45" i="6" s="1"/>
  <c r="R46" i="6" s="1"/>
  <c r="AJ132" i="6"/>
  <c r="K46" i="6"/>
  <c r="M46" i="6" s="1"/>
  <c r="T46" i="6" s="1"/>
  <c r="R47" i="6" s="1"/>
  <c r="AJ133" i="6"/>
  <c r="K47" i="6"/>
  <c r="M47" i="6" s="1"/>
  <c r="T47" i="6" s="1"/>
  <c r="R48" i="6" s="1"/>
  <c r="AJ134" i="6"/>
  <c r="K48" i="6"/>
  <c r="M48" i="6" s="1"/>
  <c r="T48" i="6" s="1"/>
  <c r="R49" i="6" s="1"/>
  <c r="AJ135" i="6"/>
  <c r="K49" i="6"/>
  <c r="M49" i="6" s="1"/>
  <c r="T49" i="6" s="1"/>
  <c r="R50" i="6" s="1"/>
  <c r="AJ136" i="6"/>
  <c r="K50" i="6"/>
  <c r="M50" i="6" s="1"/>
  <c r="T50" i="6" s="1"/>
  <c r="R51" i="6" s="1"/>
  <c r="AJ137" i="6"/>
  <c r="K51" i="6"/>
  <c r="M51" i="6" s="1"/>
  <c r="T51" i="6" s="1"/>
  <c r="R52" i="6" s="1"/>
  <c r="AJ138" i="6"/>
  <c r="K52" i="6"/>
  <c r="M52" i="6" s="1"/>
  <c r="T52" i="6" s="1"/>
  <c r="R53" i="6" s="1"/>
  <c r="AJ139" i="6"/>
  <c r="K53" i="6"/>
  <c r="M53" i="6" s="1"/>
  <c r="T53" i="6" s="1"/>
  <c r="R54" i="6" s="1"/>
  <c r="AJ140" i="6"/>
  <c r="K54" i="6"/>
  <c r="M54" i="6" s="1"/>
  <c r="T54" i="6" s="1"/>
  <c r="R55" i="6" s="1"/>
  <c r="AJ141" i="6"/>
  <c r="K55" i="6"/>
  <c r="M55" i="6" s="1"/>
  <c r="T55" i="6" s="1"/>
  <c r="R56" i="6" s="1"/>
  <c r="AJ142" i="6"/>
  <c r="K56" i="6"/>
  <c r="M56" i="6" s="1"/>
  <c r="T56" i="6" s="1"/>
  <c r="R57" i="6" s="1"/>
  <c r="AJ143" i="6"/>
  <c r="K57" i="6"/>
  <c r="M57" i="6" s="1"/>
  <c r="T57" i="6" s="1"/>
  <c r="R58" i="6" s="1"/>
  <c r="AJ144" i="6"/>
  <c r="K58" i="6"/>
  <c r="M58" i="6" s="1"/>
  <c r="T58" i="6" s="1"/>
  <c r="R59" i="6" s="1"/>
  <c r="AJ145" i="6"/>
  <c r="K59" i="6"/>
  <c r="M59" i="6" s="1"/>
  <c r="T59" i="6" s="1"/>
  <c r="R60" i="6" s="1"/>
  <c r="AJ146" i="6"/>
  <c r="K60" i="6"/>
  <c r="M60" i="6" s="1"/>
  <c r="T60" i="6" s="1"/>
  <c r="R61" i="6" s="1"/>
  <c r="AJ147" i="6"/>
  <c r="K61" i="6"/>
  <c r="M61" i="6" s="1"/>
  <c r="T61" i="6" s="1"/>
  <c r="R62" i="6" s="1"/>
  <c r="AJ148" i="6"/>
  <c r="K62" i="6"/>
  <c r="M62" i="6" s="1"/>
  <c r="T62" i="6" s="1"/>
  <c r="R63" i="6" s="1"/>
  <c r="AJ149" i="6"/>
  <c r="K63" i="6"/>
  <c r="M63" i="6" s="1"/>
  <c r="T63" i="6" s="1"/>
  <c r="R64" i="6" s="1"/>
  <c r="AJ150" i="6"/>
  <c r="K64" i="6"/>
  <c r="M64" i="6" s="1"/>
  <c r="T64" i="6" s="1"/>
  <c r="R65" i="6" s="1"/>
  <c r="AJ151" i="6"/>
  <c r="K65" i="6"/>
  <c r="M65" i="6" s="1"/>
  <c r="T65" i="6" s="1"/>
  <c r="R66" i="6" s="1"/>
  <c r="AJ152" i="6"/>
  <c r="K66" i="6"/>
  <c r="M66" i="6" s="1"/>
  <c r="T66" i="6" s="1"/>
  <c r="R67" i="6" s="1"/>
  <c r="AJ153" i="6"/>
  <c r="K67" i="6"/>
  <c r="M67" i="6" s="1"/>
  <c r="T67" i="6" s="1"/>
  <c r="R68" i="6" s="1"/>
  <c r="AJ154" i="6"/>
  <c r="K68" i="6"/>
  <c r="M68" i="6" s="1"/>
  <c r="AJ155" i="6"/>
  <c r="K69" i="6"/>
  <c r="M69" i="6" s="1"/>
  <c r="AJ156" i="6"/>
  <c r="K70" i="6"/>
  <c r="M70" i="6" s="1"/>
  <c r="AJ157" i="6"/>
  <c r="K71" i="6"/>
  <c r="M71" i="6" s="1"/>
  <c r="AJ158" i="6"/>
  <c r="K72" i="6"/>
  <c r="M72" i="6" s="1"/>
  <c r="AJ159" i="6"/>
  <c r="K73" i="6"/>
  <c r="M73" i="6" s="1"/>
  <c r="AJ160" i="6"/>
  <c r="K74" i="6"/>
  <c r="M74" i="6" s="1"/>
  <c r="AJ161" i="6"/>
  <c r="K75" i="6"/>
  <c r="M75" i="6" s="1"/>
  <c r="AJ162" i="6"/>
  <c r="K76" i="6"/>
  <c r="M76" i="6" s="1"/>
  <c r="AJ163" i="6"/>
  <c r="K77" i="6"/>
  <c r="M77" i="6" s="1"/>
  <c r="AJ164" i="6"/>
  <c r="K78" i="6"/>
  <c r="M78" i="6" s="1"/>
  <c r="AJ165" i="6"/>
  <c r="K79" i="6"/>
  <c r="M79" i="6" s="1"/>
  <c r="AJ166" i="6"/>
  <c r="K80" i="6"/>
  <c r="M80" i="6" s="1"/>
  <c r="AJ167" i="6"/>
  <c r="K81" i="6"/>
  <c r="M81" i="6" s="1"/>
  <c r="AJ168" i="6"/>
  <c r="K82" i="6"/>
  <c r="M82" i="6" s="1"/>
  <c r="AJ169" i="6"/>
  <c r="K83" i="6"/>
  <c r="M83" i="6" s="1"/>
  <c r="AJ170" i="6"/>
  <c r="Y495" i="6"/>
  <c r="Z495" i="6" s="1"/>
  <c r="Q495" i="6"/>
  <c r="Y408" i="6"/>
  <c r="Z408" i="6" s="1"/>
  <c r="Q408" i="6"/>
  <c r="Y321" i="6"/>
  <c r="Z321" i="6" s="1"/>
  <c r="Q321" i="6"/>
  <c r="Y234" i="6"/>
  <c r="Z234" i="6" s="1"/>
  <c r="Q234" i="6"/>
  <c r="Y147" i="6"/>
  <c r="Z147" i="6" s="1"/>
  <c r="Q147" i="6"/>
  <c r="AD10" i="6"/>
  <c r="Q68" i="6" l="1"/>
  <c r="T68" i="6" s="1"/>
  <c r="R69" i="6" s="1"/>
  <c r="Z68" i="6"/>
  <c r="M15" i="6"/>
  <c r="T15" i="6" s="1"/>
  <c r="AJ257" i="6"/>
  <c r="K170" i="6"/>
  <c r="M170" i="6" s="1"/>
  <c r="AJ256" i="6"/>
  <c r="K169" i="6"/>
  <c r="M169" i="6" s="1"/>
  <c r="AJ255" i="6"/>
  <c r="K168" i="6"/>
  <c r="M168" i="6" s="1"/>
  <c r="AJ254" i="6"/>
  <c r="K167" i="6"/>
  <c r="M167" i="6" s="1"/>
  <c r="AJ253" i="6"/>
  <c r="K166" i="6"/>
  <c r="M166" i="6" s="1"/>
  <c r="AJ252" i="6"/>
  <c r="K165" i="6"/>
  <c r="M165" i="6" s="1"/>
  <c r="AJ251" i="6"/>
  <c r="K164" i="6"/>
  <c r="M164" i="6" s="1"/>
  <c r="AJ250" i="6"/>
  <c r="K163" i="6"/>
  <c r="M163" i="6" s="1"/>
  <c r="AJ249" i="6"/>
  <c r="K162" i="6"/>
  <c r="M162" i="6" s="1"/>
  <c r="AJ248" i="6"/>
  <c r="K161" i="6"/>
  <c r="M161" i="6" s="1"/>
  <c r="AJ247" i="6"/>
  <c r="K160" i="6"/>
  <c r="M160" i="6" s="1"/>
  <c r="AJ246" i="6"/>
  <c r="K159" i="6"/>
  <c r="M159" i="6" s="1"/>
  <c r="AJ245" i="6"/>
  <c r="K158" i="6"/>
  <c r="M158" i="6" s="1"/>
  <c r="AJ244" i="6"/>
  <c r="K157" i="6"/>
  <c r="M157" i="6" s="1"/>
  <c r="AJ243" i="6"/>
  <c r="K156" i="6"/>
  <c r="M156" i="6" s="1"/>
  <c r="AJ242" i="6"/>
  <c r="K155" i="6"/>
  <c r="M155" i="6" s="1"/>
  <c r="AJ241" i="6"/>
  <c r="K154" i="6"/>
  <c r="M154" i="6" s="1"/>
  <c r="AB68" i="6"/>
  <c r="AJ240" i="6"/>
  <c r="K153" i="6"/>
  <c r="M153" i="6" s="1"/>
  <c r="AB67" i="6"/>
  <c r="AA67" i="6"/>
  <c r="AJ239" i="6"/>
  <c r="K152" i="6"/>
  <c r="M152" i="6" s="1"/>
  <c r="AB66" i="6"/>
  <c r="AA66" i="6"/>
  <c r="AJ238" i="6"/>
  <c r="K151" i="6"/>
  <c r="M151" i="6" s="1"/>
  <c r="AB65" i="6"/>
  <c r="AA65" i="6"/>
  <c r="AJ237" i="6"/>
  <c r="K150" i="6"/>
  <c r="M150" i="6" s="1"/>
  <c r="AB64" i="6"/>
  <c r="AA64" i="6"/>
  <c r="AJ236" i="6"/>
  <c r="K149" i="6"/>
  <c r="M149" i="6" s="1"/>
  <c r="AB63" i="6"/>
  <c r="AA63" i="6"/>
  <c r="AJ235" i="6"/>
  <c r="K148" i="6"/>
  <c r="M148" i="6" s="1"/>
  <c r="AB62" i="6"/>
  <c r="AA62" i="6"/>
  <c r="AJ234" i="6"/>
  <c r="K147" i="6"/>
  <c r="M147" i="6" s="1"/>
  <c r="T147" i="6" s="1"/>
  <c r="AB61" i="6"/>
  <c r="AA61" i="6"/>
  <c r="AJ233" i="6"/>
  <c r="K146" i="6"/>
  <c r="M146" i="6" s="1"/>
  <c r="T146" i="6" s="1"/>
  <c r="R147" i="6" s="1"/>
  <c r="AB147" i="6" s="1"/>
  <c r="AB60" i="6"/>
  <c r="AA60" i="6"/>
  <c r="AJ232" i="6"/>
  <c r="K145" i="6"/>
  <c r="M145" i="6" s="1"/>
  <c r="T145" i="6" s="1"/>
  <c r="R146" i="6" s="1"/>
  <c r="AB59" i="6"/>
  <c r="AA59" i="6"/>
  <c r="AJ231" i="6"/>
  <c r="K144" i="6"/>
  <c r="M144" i="6" s="1"/>
  <c r="T144" i="6" s="1"/>
  <c r="R145" i="6" s="1"/>
  <c r="AB58" i="6"/>
  <c r="AA58" i="6"/>
  <c r="AJ230" i="6"/>
  <c r="K143" i="6"/>
  <c r="M143" i="6" s="1"/>
  <c r="T143" i="6" s="1"/>
  <c r="R144" i="6" s="1"/>
  <c r="AB57" i="6"/>
  <c r="AA57" i="6"/>
  <c r="AJ229" i="6"/>
  <c r="K142" i="6"/>
  <c r="M142" i="6" s="1"/>
  <c r="T142" i="6" s="1"/>
  <c r="R143" i="6" s="1"/>
  <c r="AB56" i="6"/>
  <c r="AA56" i="6"/>
  <c r="AJ228" i="6"/>
  <c r="K141" i="6"/>
  <c r="M141" i="6" s="1"/>
  <c r="T141" i="6" s="1"/>
  <c r="R142" i="6" s="1"/>
  <c r="AB55" i="6"/>
  <c r="AA55" i="6"/>
  <c r="AJ227" i="6"/>
  <c r="K140" i="6"/>
  <c r="M140" i="6" s="1"/>
  <c r="T140" i="6" s="1"/>
  <c r="R141" i="6" s="1"/>
  <c r="AB54" i="6"/>
  <c r="AA54" i="6"/>
  <c r="AJ226" i="6"/>
  <c r="K139" i="6"/>
  <c r="M139" i="6" s="1"/>
  <c r="T139" i="6" s="1"/>
  <c r="R140" i="6" s="1"/>
  <c r="AB53" i="6"/>
  <c r="AA53" i="6"/>
  <c r="AJ225" i="6"/>
  <c r="K138" i="6"/>
  <c r="M138" i="6" s="1"/>
  <c r="T138" i="6" s="1"/>
  <c r="R139" i="6" s="1"/>
  <c r="AB52" i="6"/>
  <c r="AA52" i="6"/>
  <c r="AJ224" i="6"/>
  <c r="K137" i="6"/>
  <c r="M137" i="6" s="1"/>
  <c r="T137" i="6" s="1"/>
  <c r="R138" i="6" s="1"/>
  <c r="AB51" i="6"/>
  <c r="AA51" i="6"/>
  <c r="AJ223" i="6"/>
  <c r="K136" i="6"/>
  <c r="M136" i="6" s="1"/>
  <c r="T136" i="6" s="1"/>
  <c r="R137" i="6" s="1"/>
  <c r="AB50" i="6"/>
  <c r="AA50" i="6"/>
  <c r="AJ222" i="6"/>
  <c r="K135" i="6"/>
  <c r="M135" i="6" s="1"/>
  <c r="T135" i="6" s="1"/>
  <c r="R136" i="6" s="1"/>
  <c r="AB49" i="6"/>
  <c r="AA49" i="6"/>
  <c r="AJ221" i="6"/>
  <c r="K134" i="6"/>
  <c r="M134" i="6" s="1"/>
  <c r="T134" i="6" s="1"/>
  <c r="R135" i="6" s="1"/>
  <c r="AB48" i="6"/>
  <c r="AA48" i="6"/>
  <c r="AJ220" i="6"/>
  <c r="K133" i="6"/>
  <c r="M133" i="6" s="1"/>
  <c r="T133" i="6" s="1"/>
  <c r="R134" i="6" s="1"/>
  <c r="AB47" i="6"/>
  <c r="AA47" i="6"/>
  <c r="AJ219" i="6"/>
  <c r="K132" i="6"/>
  <c r="M132" i="6" s="1"/>
  <c r="T132" i="6" s="1"/>
  <c r="R133" i="6" s="1"/>
  <c r="AB46" i="6"/>
  <c r="AA46" i="6"/>
  <c r="AJ218" i="6"/>
  <c r="K131" i="6"/>
  <c r="M131" i="6" s="1"/>
  <c r="T131" i="6" s="1"/>
  <c r="R132" i="6" s="1"/>
  <c r="AB45" i="6"/>
  <c r="AA45" i="6"/>
  <c r="AJ217" i="6"/>
  <c r="K130" i="6"/>
  <c r="M130" i="6" s="1"/>
  <c r="T130" i="6" s="1"/>
  <c r="R131" i="6" s="1"/>
  <c r="AB44" i="6"/>
  <c r="AA44" i="6"/>
  <c r="AJ216" i="6"/>
  <c r="K129" i="6"/>
  <c r="M129" i="6" s="1"/>
  <c r="T129" i="6" s="1"/>
  <c r="R130" i="6" s="1"/>
  <c r="AB43" i="6"/>
  <c r="AA43" i="6"/>
  <c r="AJ215" i="6"/>
  <c r="K128" i="6"/>
  <c r="M128" i="6" s="1"/>
  <c r="T128" i="6" s="1"/>
  <c r="R129" i="6" s="1"/>
  <c r="AB42" i="6"/>
  <c r="AA42" i="6"/>
  <c r="AJ214" i="6"/>
  <c r="K127" i="6"/>
  <c r="M127" i="6" s="1"/>
  <c r="T127" i="6" s="1"/>
  <c r="R128" i="6" s="1"/>
  <c r="AB41" i="6"/>
  <c r="AA41" i="6"/>
  <c r="AJ213" i="6"/>
  <c r="K126" i="6"/>
  <c r="M126" i="6" s="1"/>
  <c r="T126" i="6" s="1"/>
  <c r="R127" i="6" s="1"/>
  <c r="AB40" i="6"/>
  <c r="AA40" i="6"/>
  <c r="AJ212" i="6"/>
  <c r="K125" i="6"/>
  <c r="M125" i="6" s="1"/>
  <c r="T125" i="6" s="1"/>
  <c r="R126" i="6" s="1"/>
  <c r="AB39" i="6"/>
  <c r="AA39" i="6"/>
  <c r="AJ211" i="6"/>
  <c r="K124" i="6"/>
  <c r="M124" i="6" s="1"/>
  <c r="T124" i="6" s="1"/>
  <c r="R125" i="6" s="1"/>
  <c r="AB38" i="6"/>
  <c r="AA38" i="6"/>
  <c r="AJ210" i="6"/>
  <c r="K123" i="6"/>
  <c r="M123" i="6" s="1"/>
  <c r="T123" i="6" s="1"/>
  <c r="R124" i="6" s="1"/>
  <c r="AB37" i="6"/>
  <c r="AA37" i="6"/>
  <c r="AJ209" i="6"/>
  <c r="K122" i="6"/>
  <c r="M122" i="6" s="1"/>
  <c r="T122" i="6" s="1"/>
  <c r="R123" i="6" s="1"/>
  <c r="AB36" i="6"/>
  <c r="AA36" i="6"/>
  <c r="AJ208" i="6"/>
  <c r="K121" i="6"/>
  <c r="M121" i="6" s="1"/>
  <c r="T121" i="6" s="1"/>
  <c r="R122" i="6" s="1"/>
  <c r="AB35" i="6"/>
  <c r="AA35" i="6"/>
  <c r="AJ207" i="6"/>
  <c r="K120" i="6"/>
  <c r="M120" i="6" s="1"/>
  <c r="T120" i="6" s="1"/>
  <c r="R121" i="6" s="1"/>
  <c r="AB34" i="6"/>
  <c r="AA34" i="6"/>
  <c r="AJ206" i="6"/>
  <c r="K119" i="6"/>
  <c r="M119" i="6" s="1"/>
  <c r="T119" i="6" s="1"/>
  <c r="R120" i="6" s="1"/>
  <c r="AB33" i="6"/>
  <c r="AA33" i="6"/>
  <c r="AJ205" i="6"/>
  <c r="K118" i="6"/>
  <c r="M118" i="6" s="1"/>
  <c r="T118" i="6" s="1"/>
  <c r="R119" i="6" s="1"/>
  <c r="AB32" i="6"/>
  <c r="AA32" i="6"/>
  <c r="AJ204" i="6"/>
  <c r="K117" i="6"/>
  <c r="M117" i="6" s="1"/>
  <c r="T117" i="6" s="1"/>
  <c r="R118" i="6" s="1"/>
  <c r="AB31" i="6"/>
  <c r="AA31" i="6"/>
  <c r="AJ203" i="6"/>
  <c r="K116" i="6"/>
  <c r="M116" i="6" s="1"/>
  <c r="T116" i="6" s="1"/>
  <c r="R117" i="6" s="1"/>
  <c r="AB30" i="6"/>
  <c r="AA30" i="6"/>
  <c r="AJ202" i="6"/>
  <c r="K115" i="6"/>
  <c r="M115" i="6" s="1"/>
  <c r="T115" i="6" s="1"/>
  <c r="R116" i="6" s="1"/>
  <c r="AB29" i="6"/>
  <c r="AA29" i="6"/>
  <c r="AJ201" i="6"/>
  <c r="K114" i="6"/>
  <c r="M114" i="6" s="1"/>
  <c r="T114" i="6" s="1"/>
  <c r="R115" i="6" s="1"/>
  <c r="AB28" i="6"/>
  <c r="AA28" i="6"/>
  <c r="AJ200" i="6"/>
  <c r="K113" i="6"/>
  <c r="M113" i="6" s="1"/>
  <c r="T113" i="6" s="1"/>
  <c r="R114" i="6" s="1"/>
  <c r="AB27" i="6"/>
  <c r="AA27" i="6"/>
  <c r="AJ199" i="6"/>
  <c r="K112" i="6"/>
  <c r="M112" i="6" s="1"/>
  <c r="T112" i="6" s="1"/>
  <c r="R113" i="6" s="1"/>
  <c r="AB26" i="6"/>
  <c r="AA26" i="6"/>
  <c r="AJ198" i="6"/>
  <c r="K111" i="6"/>
  <c r="M111" i="6" s="1"/>
  <c r="T111" i="6" s="1"/>
  <c r="R112" i="6" s="1"/>
  <c r="AB25" i="6"/>
  <c r="AA25" i="6"/>
  <c r="AJ197" i="6"/>
  <c r="K110" i="6"/>
  <c r="M110" i="6" s="1"/>
  <c r="T110" i="6" s="1"/>
  <c r="R111" i="6" s="1"/>
  <c r="AB24" i="6"/>
  <c r="AA24" i="6"/>
  <c r="AJ196" i="6"/>
  <c r="K109" i="6"/>
  <c r="M109" i="6" s="1"/>
  <c r="T109" i="6" s="1"/>
  <c r="R110" i="6" s="1"/>
  <c r="AB23" i="6"/>
  <c r="AA23" i="6"/>
  <c r="AJ195" i="6"/>
  <c r="K108" i="6"/>
  <c r="M108" i="6" s="1"/>
  <c r="T108" i="6" s="1"/>
  <c r="R109" i="6" s="1"/>
  <c r="AB22" i="6"/>
  <c r="AA22" i="6"/>
  <c r="AJ194" i="6"/>
  <c r="K107" i="6"/>
  <c r="M107" i="6" s="1"/>
  <c r="T107" i="6" s="1"/>
  <c r="R108" i="6" s="1"/>
  <c r="AB21" i="6"/>
  <c r="AA21" i="6"/>
  <c r="AJ193" i="6"/>
  <c r="K106" i="6"/>
  <c r="M106" i="6" s="1"/>
  <c r="T106" i="6" s="1"/>
  <c r="R107" i="6" s="1"/>
  <c r="AB20" i="6"/>
  <c r="AA20" i="6"/>
  <c r="AJ192" i="6"/>
  <c r="K105" i="6"/>
  <c r="M105" i="6" s="1"/>
  <c r="T105" i="6" s="1"/>
  <c r="R106" i="6" s="1"/>
  <c r="AB19" i="6"/>
  <c r="AA19" i="6"/>
  <c r="AJ191" i="6"/>
  <c r="K104" i="6"/>
  <c r="M104" i="6" s="1"/>
  <c r="T104" i="6" s="1"/>
  <c r="R105" i="6" s="1"/>
  <c r="AB18" i="6"/>
  <c r="AA18" i="6"/>
  <c r="AJ190" i="6"/>
  <c r="K103" i="6"/>
  <c r="M103" i="6" s="1"/>
  <c r="T103" i="6" s="1"/>
  <c r="R104" i="6" s="1"/>
  <c r="AB17" i="6"/>
  <c r="AA17" i="6"/>
  <c r="AJ189" i="6"/>
  <c r="K102" i="6"/>
  <c r="M102" i="6" s="1"/>
  <c r="T102" i="6" s="1"/>
  <c r="R103" i="6" s="1"/>
  <c r="AJ188" i="6"/>
  <c r="K101" i="6"/>
  <c r="M101" i="6" s="1"/>
  <c r="T101" i="6" s="1"/>
  <c r="R102" i="6" s="1"/>
  <c r="AB15" i="6"/>
  <c r="AJ187" i="6"/>
  <c r="K100" i="6"/>
  <c r="M100" i="6" s="1"/>
  <c r="T100" i="6" s="1"/>
  <c r="R101" i="6" s="1"/>
  <c r="AB14" i="6"/>
  <c r="AA14" i="6"/>
  <c r="AJ186" i="6"/>
  <c r="K99" i="6"/>
  <c r="M99" i="6" s="1"/>
  <c r="T99" i="6" s="1"/>
  <c r="R100" i="6" s="1"/>
  <c r="AB13" i="6"/>
  <c r="AA13" i="6"/>
  <c r="AJ185" i="6"/>
  <c r="K98" i="6"/>
  <c r="M98" i="6" s="1"/>
  <c r="T98" i="6" s="1"/>
  <c r="R99" i="6" s="1"/>
  <c r="AB12" i="6"/>
  <c r="AA12" i="6"/>
  <c r="AJ184" i="6"/>
  <c r="K97" i="6"/>
  <c r="M97" i="6" s="1"/>
  <c r="T97" i="6" s="1"/>
  <c r="R98" i="6" s="1"/>
  <c r="AB11" i="6"/>
  <c r="AA11" i="6"/>
  <c r="AJ183" i="6"/>
  <c r="K96" i="6"/>
  <c r="M96" i="6" s="1"/>
  <c r="T96" i="6" s="1"/>
  <c r="R10" i="6"/>
  <c r="AA9" i="6"/>
  <c r="AC9" i="6" s="1"/>
  <c r="AE9" i="6" s="1"/>
  <c r="AK257" i="6"/>
  <c r="J170" i="6"/>
  <c r="L170" i="6" s="1"/>
  <c r="AK256" i="6"/>
  <c r="J169" i="6"/>
  <c r="L169" i="6" s="1"/>
  <c r="AK255" i="6"/>
  <c r="J168" i="6"/>
  <c r="L168" i="6" s="1"/>
  <c r="AK254" i="6"/>
  <c r="J167" i="6"/>
  <c r="L167" i="6" s="1"/>
  <c r="AK253" i="6"/>
  <c r="J166" i="6"/>
  <c r="L166" i="6" s="1"/>
  <c r="AK252" i="6"/>
  <c r="J165" i="6"/>
  <c r="L165" i="6" s="1"/>
  <c r="AK251" i="6"/>
  <c r="J164" i="6"/>
  <c r="L164" i="6" s="1"/>
  <c r="AK250" i="6"/>
  <c r="J163" i="6"/>
  <c r="L163" i="6" s="1"/>
  <c r="AK249" i="6"/>
  <c r="J162" i="6"/>
  <c r="L162" i="6" s="1"/>
  <c r="AK248" i="6"/>
  <c r="J161" i="6"/>
  <c r="L161" i="6" s="1"/>
  <c r="AK247" i="6"/>
  <c r="J160" i="6"/>
  <c r="L160" i="6" s="1"/>
  <c r="AK246" i="6"/>
  <c r="J159" i="6"/>
  <c r="L159" i="6" s="1"/>
  <c r="AK245" i="6"/>
  <c r="J158" i="6"/>
  <c r="L158" i="6" s="1"/>
  <c r="AK244" i="6"/>
  <c r="J157" i="6"/>
  <c r="L157" i="6" s="1"/>
  <c r="AK243" i="6"/>
  <c r="J156" i="6"/>
  <c r="L156" i="6" s="1"/>
  <c r="AK242" i="6"/>
  <c r="J155" i="6"/>
  <c r="L155" i="6" s="1"/>
  <c r="AK241" i="6"/>
  <c r="J154" i="6"/>
  <c r="L154" i="6" s="1"/>
  <c r="AK240" i="6"/>
  <c r="J153" i="6"/>
  <c r="L153" i="6" s="1"/>
  <c r="AK239" i="6"/>
  <c r="J152" i="6"/>
  <c r="L152" i="6" s="1"/>
  <c r="AK238" i="6"/>
  <c r="J151" i="6"/>
  <c r="L151" i="6" s="1"/>
  <c r="AK237" i="6"/>
  <c r="J150" i="6"/>
  <c r="L150" i="6" s="1"/>
  <c r="AK236" i="6"/>
  <c r="J149" i="6"/>
  <c r="L149" i="6" s="1"/>
  <c r="AK235" i="6"/>
  <c r="J148" i="6"/>
  <c r="L148" i="6" s="1"/>
  <c r="AK234" i="6"/>
  <c r="J147" i="6"/>
  <c r="L147" i="6" s="1"/>
  <c r="AK233" i="6"/>
  <c r="J146" i="6"/>
  <c r="L146" i="6" s="1"/>
  <c r="AK232" i="6"/>
  <c r="J145" i="6"/>
  <c r="L145" i="6" s="1"/>
  <c r="AK231" i="6"/>
  <c r="J144" i="6"/>
  <c r="L144" i="6" s="1"/>
  <c r="AK230" i="6"/>
  <c r="J143" i="6"/>
  <c r="L143" i="6" s="1"/>
  <c r="AK229" i="6"/>
  <c r="J142" i="6"/>
  <c r="L142" i="6" s="1"/>
  <c r="AK228" i="6"/>
  <c r="J141" i="6"/>
  <c r="L141" i="6" s="1"/>
  <c r="AK227" i="6"/>
  <c r="J140" i="6"/>
  <c r="L140" i="6" s="1"/>
  <c r="AK226" i="6"/>
  <c r="J139" i="6"/>
  <c r="L139" i="6" s="1"/>
  <c r="AK225" i="6"/>
  <c r="J138" i="6"/>
  <c r="L138" i="6" s="1"/>
  <c r="AK224" i="6"/>
  <c r="J137" i="6"/>
  <c r="L137" i="6" s="1"/>
  <c r="AK223" i="6"/>
  <c r="J136" i="6"/>
  <c r="L136" i="6" s="1"/>
  <c r="AK222" i="6"/>
  <c r="J135" i="6"/>
  <c r="L135" i="6" s="1"/>
  <c r="AK221" i="6"/>
  <c r="J134" i="6"/>
  <c r="L134" i="6" s="1"/>
  <c r="AK220" i="6"/>
  <c r="J133" i="6"/>
  <c r="L133" i="6" s="1"/>
  <c r="AK219" i="6"/>
  <c r="J132" i="6"/>
  <c r="L132" i="6" s="1"/>
  <c r="AK218" i="6"/>
  <c r="J131" i="6"/>
  <c r="L131" i="6" s="1"/>
  <c r="AK217" i="6"/>
  <c r="J130" i="6"/>
  <c r="L130" i="6" s="1"/>
  <c r="AK216" i="6"/>
  <c r="J129" i="6"/>
  <c r="L129" i="6" s="1"/>
  <c r="AK215" i="6"/>
  <c r="J128" i="6"/>
  <c r="L128" i="6" s="1"/>
  <c r="AK214" i="6"/>
  <c r="J127" i="6"/>
  <c r="L127" i="6" s="1"/>
  <c r="AK213" i="6"/>
  <c r="J126" i="6"/>
  <c r="L126" i="6" s="1"/>
  <c r="AK212" i="6"/>
  <c r="J125" i="6"/>
  <c r="L125" i="6" s="1"/>
  <c r="AK211" i="6"/>
  <c r="J124" i="6"/>
  <c r="L124" i="6" s="1"/>
  <c r="AK210" i="6"/>
  <c r="J123" i="6"/>
  <c r="L123" i="6" s="1"/>
  <c r="AK209" i="6"/>
  <c r="J122" i="6"/>
  <c r="L122" i="6" s="1"/>
  <c r="AK208" i="6"/>
  <c r="J121" i="6"/>
  <c r="L121" i="6" s="1"/>
  <c r="AK207" i="6"/>
  <c r="J120" i="6"/>
  <c r="L120" i="6" s="1"/>
  <c r="AK206" i="6"/>
  <c r="J119" i="6"/>
  <c r="L119" i="6" s="1"/>
  <c r="AK205" i="6"/>
  <c r="J118" i="6"/>
  <c r="L118" i="6" s="1"/>
  <c r="AK204" i="6"/>
  <c r="J117" i="6"/>
  <c r="L117" i="6" s="1"/>
  <c r="AK203" i="6"/>
  <c r="J116" i="6"/>
  <c r="L116" i="6" s="1"/>
  <c r="AK202" i="6"/>
  <c r="J115" i="6"/>
  <c r="L115" i="6" s="1"/>
  <c r="AK201" i="6"/>
  <c r="J114" i="6"/>
  <c r="L114" i="6" s="1"/>
  <c r="AK200" i="6"/>
  <c r="J113" i="6"/>
  <c r="L113" i="6" s="1"/>
  <c r="AK199" i="6"/>
  <c r="J112" i="6"/>
  <c r="L112" i="6" s="1"/>
  <c r="AK198" i="6"/>
  <c r="J111" i="6"/>
  <c r="L111" i="6" s="1"/>
  <c r="AK197" i="6"/>
  <c r="J110" i="6"/>
  <c r="L110" i="6" s="1"/>
  <c r="AK196" i="6"/>
  <c r="J109" i="6"/>
  <c r="L109" i="6" s="1"/>
  <c r="AK195" i="6"/>
  <c r="J108" i="6"/>
  <c r="L108" i="6" s="1"/>
  <c r="AK194" i="6"/>
  <c r="J107" i="6"/>
  <c r="L107" i="6" s="1"/>
  <c r="AK193" i="6"/>
  <c r="J106" i="6"/>
  <c r="L106" i="6" s="1"/>
  <c r="AK192" i="6"/>
  <c r="J105" i="6"/>
  <c r="L105" i="6" s="1"/>
  <c r="AK191" i="6"/>
  <c r="J104" i="6"/>
  <c r="L104" i="6" s="1"/>
  <c r="AK190" i="6"/>
  <c r="J103" i="6"/>
  <c r="L103" i="6" s="1"/>
  <c r="AK189" i="6"/>
  <c r="J102" i="6"/>
  <c r="L102" i="6" s="1"/>
  <c r="AK188" i="6"/>
  <c r="J101" i="6"/>
  <c r="L101" i="6" s="1"/>
  <c r="AK187" i="6"/>
  <c r="J100" i="6"/>
  <c r="L100" i="6" s="1"/>
  <c r="AK186" i="6"/>
  <c r="J99" i="6"/>
  <c r="L99" i="6" s="1"/>
  <c r="AK185" i="6"/>
  <c r="J98" i="6"/>
  <c r="L98" i="6" s="1"/>
  <c r="AK184" i="6"/>
  <c r="J97" i="6"/>
  <c r="L97" i="6" s="1"/>
  <c r="AK183" i="6"/>
  <c r="J96" i="6"/>
  <c r="L96" i="6" s="1"/>
  <c r="O496" i="6"/>
  <c r="U495" i="6"/>
  <c r="O409" i="6"/>
  <c r="U408" i="6"/>
  <c r="O322" i="6"/>
  <c r="U321" i="6"/>
  <c r="O235" i="6"/>
  <c r="U234" i="6"/>
  <c r="O148" i="6"/>
  <c r="U147" i="6"/>
  <c r="O69" i="6" l="1"/>
  <c r="P69" i="6" s="1"/>
  <c r="Y69" i="6" s="1"/>
  <c r="U68" i="6"/>
  <c r="AD68" i="6" s="1"/>
  <c r="AA68" i="6"/>
  <c r="AC68" i="6" s="1"/>
  <c r="W69" i="6"/>
  <c r="R16" i="6"/>
  <c r="AA15" i="6"/>
  <c r="AC15" i="6" s="1"/>
  <c r="AE15" i="6" s="1"/>
  <c r="AC11" i="6"/>
  <c r="AE11" i="6" s="1"/>
  <c r="AC12" i="6"/>
  <c r="AE12" i="6" s="1"/>
  <c r="AC13" i="6"/>
  <c r="AE13" i="6" s="1"/>
  <c r="AC14" i="6"/>
  <c r="AE14" i="6" s="1"/>
  <c r="AC17" i="6"/>
  <c r="AE17" i="6" s="1"/>
  <c r="AC18" i="6"/>
  <c r="AE18" i="6" s="1"/>
  <c r="AC19" i="6"/>
  <c r="AE19" i="6" s="1"/>
  <c r="AC20" i="6"/>
  <c r="AE20" i="6" s="1"/>
  <c r="AC21" i="6"/>
  <c r="AE21" i="6" s="1"/>
  <c r="AC22" i="6"/>
  <c r="AE22" i="6" s="1"/>
  <c r="AC23" i="6"/>
  <c r="AE23" i="6" s="1"/>
  <c r="AC24" i="6"/>
  <c r="AE24" i="6" s="1"/>
  <c r="AC25" i="6"/>
  <c r="AE25" i="6" s="1"/>
  <c r="AC26" i="6"/>
  <c r="AE26" i="6" s="1"/>
  <c r="AC27" i="6"/>
  <c r="AE27" i="6" s="1"/>
  <c r="AC28" i="6"/>
  <c r="AE28" i="6" s="1"/>
  <c r="AC29" i="6"/>
  <c r="AE29" i="6" s="1"/>
  <c r="AC30" i="6"/>
  <c r="AE30" i="6" s="1"/>
  <c r="AC31" i="6"/>
  <c r="AE31" i="6" s="1"/>
  <c r="AC32" i="6"/>
  <c r="AE32" i="6" s="1"/>
  <c r="AC33" i="6"/>
  <c r="AE33" i="6" s="1"/>
  <c r="AC34" i="6"/>
  <c r="AE34" i="6" s="1"/>
  <c r="AC35" i="6"/>
  <c r="AE35" i="6" s="1"/>
  <c r="AC36" i="6"/>
  <c r="AE36" i="6" s="1"/>
  <c r="AC37" i="6"/>
  <c r="AE37" i="6" s="1"/>
  <c r="AC38" i="6"/>
  <c r="AE38" i="6" s="1"/>
  <c r="AC39" i="6"/>
  <c r="AE39" i="6" s="1"/>
  <c r="AC40" i="6"/>
  <c r="AE40" i="6" s="1"/>
  <c r="AC41" i="6"/>
  <c r="AE41" i="6" s="1"/>
  <c r="AC42" i="6"/>
  <c r="AE42" i="6" s="1"/>
  <c r="AC43" i="6"/>
  <c r="AE43" i="6" s="1"/>
  <c r="AC44" i="6"/>
  <c r="AE44" i="6" s="1"/>
  <c r="AC45" i="6"/>
  <c r="AE45" i="6" s="1"/>
  <c r="AC46" i="6"/>
  <c r="AE46" i="6" s="1"/>
  <c r="AC47" i="6"/>
  <c r="AE47" i="6" s="1"/>
  <c r="AC48" i="6"/>
  <c r="AE48" i="6" s="1"/>
  <c r="AC49" i="6"/>
  <c r="AE49" i="6" s="1"/>
  <c r="AC50" i="6"/>
  <c r="AE50" i="6" s="1"/>
  <c r="AC51" i="6"/>
  <c r="AE51" i="6" s="1"/>
  <c r="AC52" i="6"/>
  <c r="AE52" i="6" s="1"/>
  <c r="AC53" i="6"/>
  <c r="AE53" i="6" s="1"/>
  <c r="AC54" i="6"/>
  <c r="AE54" i="6" s="1"/>
  <c r="AC55" i="6"/>
  <c r="AE55" i="6" s="1"/>
  <c r="AC56" i="6"/>
  <c r="AE56" i="6" s="1"/>
  <c r="AC57" i="6"/>
  <c r="AE57" i="6" s="1"/>
  <c r="AC58" i="6"/>
  <c r="AE58" i="6" s="1"/>
  <c r="AC59" i="6"/>
  <c r="AE59" i="6" s="1"/>
  <c r="AC60" i="6"/>
  <c r="AE60" i="6" s="1"/>
  <c r="AC61" i="6"/>
  <c r="AE61" i="6" s="1"/>
  <c r="AC62" i="6"/>
  <c r="AE62" i="6" s="1"/>
  <c r="AC63" i="6"/>
  <c r="AE63" i="6" s="1"/>
  <c r="AC64" i="6"/>
  <c r="AE64" i="6" s="1"/>
  <c r="AC65" i="6"/>
  <c r="AE65" i="6" s="1"/>
  <c r="AC66" i="6"/>
  <c r="AE66" i="6" s="1"/>
  <c r="AC67" i="6"/>
  <c r="AE67" i="6" s="1"/>
  <c r="AK270" i="6"/>
  <c r="J183" i="6"/>
  <c r="L183" i="6" s="1"/>
  <c r="AK271" i="6"/>
  <c r="J184" i="6"/>
  <c r="L184" i="6" s="1"/>
  <c r="AK272" i="6"/>
  <c r="J185" i="6"/>
  <c r="L185" i="6" s="1"/>
  <c r="AK273" i="6"/>
  <c r="J186" i="6"/>
  <c r="L186" i="6" s="1"/>
  <c r="AK274" i="6"/>
  <c r="J187" i="6"/>
  <c r="L187" i="6" s="1"/>
  <c r="AK275" i="6"/>
  <c r="J188" i="6"/>
  <c r="L188" i="6" s="1"/>
  <c r="AK276" i="6"/>
  <c r="J189" i="6"/>
  <c r="L189" i="6" s="1"/>
  <c r="AK277" i="6"/>
  <c r="J190" i="6"/>
  <c r="L190" i="6" s="1"/>
  <c r="AK278" i="6"/>
  <c r="J191" i="6"/>
  <c r="L191" i="6" s="1"/>
  <c r="AK279" i="6"/>
  <c r="J192" i="6"/>
  <c r="L192" i="6" s="1"/>
  <c r="AK280" i="6"/>
  <c r="J193" i="6"/>
  <c r="L193" i="6" s="1"/>
  <c r="AK281" i="6"/>
  <c r="J194" i="6"/>
  <c r="L194" i="6" s="1"/>
  <c r="AK282" i="6"/>
  <c r="J195" i="6"/>
  <c r="L195" i="6" s="1"/>
  <c r="AK283" i="6"/>
  <c r="J196" i="6"/>
  <c r="L196" i="6" s="1"/>
  <c r="AK284" i="6"/>
  <c r="J197" i="6"/>
  <c r="L197" i="6" s="1"/>
  <c r="AK285" i="6"/>
  <c r="J198" i="6"/>
  <c r="L198" i="6" s="1"/>
  <c r="AK286" i="6"/>
  <c r="J199" i="6"/>
  <c r="L199" i="6" s="1"/>
  <c r="AK287" i="6"/>
  <c r="J200" i="6"/>
  <c r="L200" i="6" s="1"/>
  <c r="AK288" i="6"/>
  <c r="J201" i="6"/>
  <c r="L201" i="6" s="1"/>
  <c r="AK289" i="6"/>
  <c r="J202" i="6"/>
  <c r="L202" i="6" s="1"/>
  <c r="AK290" i="6"/>
  <c r="J203" i="6"/>
  <c r="L203" i="6" s="1"/>
  <c r="AK291" i="6"/>
  <c r="J204" i="6"/>
  <c r="L204" i="6" s="1"/>
  <c r="AK292" i="6"/>
  <c r="J205" i="6"/>
  <c r="L205" i="6" s="1"/>
  <c r="AK293" i="6"/>
  <c r="J206" i="6"/>
  <c r="L206" i="6" s="1"/>
  <c r="AK294" i="6"/>
  <c r="J207" i="6"/>
  <c r="L207" i="6" s="1"/>
  <c r="AK295" i="6"/>
  <c r="J208" i="6"/>
  <c r="L208" i="6" s="1"/>
  <c r="AK296" i="6"/>
  <c r="J209" i="6"/>
  <c r="L209" i="6" s="1"/>
  <c r="AK297" i="6"/>
  <c r="J210" i="6"/>
  <c r="L210" i="6" s="1"/>
  <c r="AK298" i="6"/>
  <c r="J211" i="6"/>
  <c r="L211" i="6" s="1"/>
  <c r="AK299" i="6"/>
  <c r="J212" i="6"/>
  <c r="L212" i="6" s="1"/>
  <c r="AK300" i="6"/>
  <c r="J213" i="6"/>
  <c r="L213" i="6" s="1"/>
  <c r="AK301" i="6"/>
  <c r="J214" i="6"/>
  <c r="L214" i="6" s="1"/>
  <c r="AK302" i="6"/>
  <c r="J215" i="6"/>
  <c r="L215" i="6" s="1"/>
  <c r="AK303" i="6"/>
  <c r="J216" i="6"/>
  <c r="L216" i="6" s="1"/>
  <c r="AK304" i="6"/>
  <c r="J217" i="6"/>
  <c r="L217" i="6" s="1"/>
  <c r="AK305" i="6"/>
  <c r="J218" i="6"/>
  <c r="L218" i="6" s="1"/>
  <c r="AK306" i="6"/>
  <c r="J219" i="6"/>
  <c r="L219" i="6" s="1"/>
  <c r="AK307" i="6"/>
  <c r="J220" i="6"/>
  <c r="L220" i="6" s="1"/>
  <c r="AK308" i="6"/>
  <c r="J221" i="6"/>
  <c r="L221" i="6" s="1"/>
  <c r="AK309" i="6"/>
  <c r="J222" i="6"/>
  <c r="L222" i="6" s="1"/>
  <c r="AK310" i="6"/>
  <c r="J223" i="6"/>
  <c r="L223" i="6" s="1"/>
  <c r="AK311" i="6"/>
  <c r="J224" i="6"/>
  <c r="L224" i="6" s="1"/>
  <c r="AK312" i="6"/>
  <c r="J225" i="6"/>
  <c r="L225" i="6" s="1"/>
  <c r="AK313" i="6"/>
  <c r="J226" i="6"/>
  <c r="L226" i="6" s="1"/>
  <c r="AK314" i="6"/>
  <c r="J227" i="6"/>
  <c r="L227" i="6" s="1"/>
  <c r="AK315" i="6"/>
  <c r="J228" i="6"/>
  <c r="L228" i="6" s="1"/>
  <c r="AK316" i="6"/>
  <c r="J229" i="6"/>
  <c r="L229" i="6" s="1"/>
  <c r="AK317" i="6"/>
  <c r="J230" i="6"/>
  <c r="L230" i="6" s="1"/>
  <c r="AK318" i="6"/>
  <c r="J231" i="6"/>
  <c r="L231" i="6" s="1"/>
  <c r="AK319" i="6"/>
  <c r="J232" i="6"/>
  <c r="L232" i="6" s="1"/>
  <c r="AK320" i="6"/>
  <c r="J233" i="6"/>
  <c r="L233" i="6" s="1"/>
  <c r="AK321" i="6"/>
  <c r="J234" i="6"/>
  <c r="L234" i="6" s="1"/>
  <c r="AK322" i="6"/>
  <c r="J235" i="6"/>
  <c r="L235" i="6" s="1"/>
  <c r="AK323" i="6"/>
  <c r="J236" i="6"/>
  <c r="L236" i="6" s="1"/>
  <c r="AK324" i="6"/>
  <c r="J237" i="6"/>
  <c r="L237" i="6" s="1"/>
  <c r="AK325" i="6"/>
  <c r="J238" i="6"/>
  <c r="L238" i="6" s="1"/>
  <c r="AK326" i="6"/>
  <c r="J239" i="6"/>
  <c r="L239" i="6" s="1"/>
  <c r="AK327" i="6"/>
  <c r="J240" i="6"/>
  <c r="L240" i="6" s="1"/>
  <c r="AK328" i="6"/>
  <c r="J241" i="6"/>
  <c r="L241" i="6" s="1"/>
  <c r="AK329" i="6"/>
  <c r="J242" i="6"/>
  <c r="L242" i="6" s="1"/>
  <c r="AK330" i="6"/>
  <c r="J243" i="6"/>
  <c r="L243" i="6" s="1"/>
  <c r="AK331" i="6"/>
  <c r="J244" i="6"/>
  <c r="L244" i="6" s="1"/>
  <c r="AK332" i="6"/>
  <c r="J245" i="6"/>
  <c r="L245" i="6" s="1"/>
  <c r="AK333" i="6"/>
  <c r="J246" i="6"/>
  <c r="L246" i="6" s="1"/>
  <c r="AK334" i="6"/>
  <c r="J247" i="6"/>
  <c r="L247" i="6" s="1"/>
  <c r="AK335" i="6"/>
  <c r="J248" i="6"/>
  <c r="L248" i="6" s="1"/>
  <c r="AK336" i="6"/>
  <c r="J249" i="6"/>
  <c r="L249" i="6" s="1"/>
  <c r="AK337" i="6"/>
  <c r="J250" i="6"/>
  <c r="L250" i="6" s="1"/>
  <c r="AK338" i="6"/>
  <c r="J251" i="6"/>
  <c r="L251" i="6" s="1"/>
  <c r="AK339" i="6"/>
  <c r="J252" i="6"/>
  <c r="L252" i="6" s="1"/>
  <c r="AK340" i="6"/>
  <c r="J253" i="6"/>
  <c r="L253" i="6" s="1"/>
  <c r="AK341" i="6"/>
  <c r="J254" i="6"/>
  <c r="L254" i="6" s="1"/>
  <c r="AK342" i="6"/>
  <c r="J255" i="6"/>
  <c r="L255" i="6" s="1"/>
  <c r="AK343" i="6"/>
  <c r="J256" i="6"/>
  <c r="L256" i="6" s="1"/>
  <c r="AK344" i="6"/>
  <c r="J257" i="6"/>
  <c r="L257" i="6" s="1"/>
  <c r="AA10" i="6"/>
  <c r="AB10" i="6"/>
  <c r="R97" i="6"/>
  <c r="AA96" i="6"/>
  <c r="AC96" i="6" s="1"/>
  <c r="AE96" i="6" s="1"/>
  <c r="AJ270" i="6"/>
  <c r="K183" i="6"/>
  <c r="M183" i="6" s="1"/>
  <c r="T183" i="6" s="1"/>
  <c r="AB98" i="6"/>
  <c r="AA98" i="6"/>
  <c r="AJ271" i="6"/>
  <c r="K184" i="6"/>
  <c r="M184" i="6" s="1"/>
  <c r="T184" i="6" s="1"/>
  <c r="R185" i="6" s="1"/>
  <c r="AB99" i="6"/>
  <c r="AA99" i="6"/>
  <c r="AJ272" i="6"/>
  <c r="K185" i="6"/>
  <c r="M185" i="6" s="1"/>
  <c r="T185" i="6" s="1"/>
  <c r="R186" i="6" s="1"/>
  <c r="AB100" i="6"/>
  <c r="AA100" i="6"/>
  <c r="AJ273" i="6"/>
  <c r="K186" i="6"/>
  <c r="M186" i="6" s="1"/>
  <c r="T186" i="6" s="1"/>
  <c r="R187" i="6" s="1"/>
  <c r="AB101" i="6"/>
  <c r="AA101" i="6"/>
  <c r="AJ274" i="6"/>
  <c r="K187" i="6"/>
  <c r="M187" i="6" s="1"/>
  <c r="T187" i="6" s="1"/>
  <c r="R188" i="6" s="1"/>
  <c r="AB102" i="6"/>
  <c r="AA102" i="6"/>
  <c r="AJ275" i="6"/>
  <c r="K188" i="6"/>
  <c r="M188" i="6" s="1"/>
  <c r="T188" i="6" s="1"/>
  <c r="R189" i="6" s="1"/>
  <c r="AB103" i="6"/>
  <c r="AA103" i="6"/>
  <c r="AJ276" i="6"/>
  <c r="K189" i="6"/>
  <c r="M189" i="6" s="1"/>
  <c r="T189" i="6" s="1"/>
  <c r="R190" i="6" s="1"/>
  <c r="AB104" i="6"/>
  <c r="AA104" i="6"/>
  <c r="AJ277" i="6"/>
  <c r="K190" i="6"/>
  <c r="M190" i="6" s="1"/>
  <c r="T190" i="6" s="1"/>
  <c r="R191" i="6" s="1"/>
  <c r="AB105" i="6"/>
  <c r="AA105" i="6"/>
  <c r="AJ278" i="6"/>
  <c r="K191" i="6"/>
  <c r="M191" i="6" s="1"/>
  <c r="T191" i="6" s="1"/>
  <c r="R192" i="6" s="1"/>
  <c r="AB106" i="6"/>
  <c r="AA106" i="6"/>
  <c r="AJ279" i="6"/>
  <c r="K192" i="6"/>
  <c r="M192" i="6" s="1"/>
  <c r="T192" i="6" s="1"/>
  <c r="R193" i="6" s="1"/>
  <c r="AB107" i="6"/>
  <c r="AA107" i="6"/>
  <c r="AJ280" i="6"/>
  <c r="K193" i="6"/>
  <c r="M193" i="6" s="1"/>
  <c r="T193" i="6" s="1"/>
  <c r="R194" i="6" s="1"/>
  <c r="AB108" i="6"/>
  <c r="AA108" i="6"/>
  <c r="AJ281" i="6"/>
  <c r="K194" i="6"/>
  <c r="M194" i="6" s="1"/>
  <c r="T194" i="6" s="1"/>
  <c r="R195" i="6" s="1"/>
  <c r="AB109" i="6"/>
  <c r="AA109" i="6"/>
  <c r="AJ282" i="6"/>
  <c r="K195" i="6"/>
  <c r="M195" i="6" s="1"/>
  <c r="T195" i="6" s="1"/>
  <c r="R196" i="6" s="1"/>
  <c r="AB110" i="6"/>
  <c r="AA110" i="6"/>
  <c r="AJ283" i="6"/>
  <c r="K196" i="6"/>
  <c r="M196" i="6" s="1"/>
  <c r="T196" i="6" s="1"/>
  <c r="R197" i="6" s="1"/>
  <c r="AB111" i="6"/>
  <c r="AA111" i="6"/>
  <c r="AJ284" i="6"/>
  <c r="K197" i="6"/>
  <c r="M197" i="6" s="1"/>
  <c r="T197" i="6" s="1"/>
  <c r="R198" i="6" s="1"/>
  <c r="AB112" i="6"/>
  <c r="AA112" i="6"/>
  <c r="AJ285" i="6"/>
  <c r="K198" i="6"/>
  <c r="M198" i="6" s="1"/>
  <c r="T198" i="6" s="1"/>
  <c r="R199" i="6" s="1"/>
  <c r="AB113" i="6"/>
  <c r="AA113" i="6"/>
  <c r="AJ286" i="6"/>
  <c r="K199" i="6"/>
  <c r="M199" i="6" s="1"/>
  <c r="T199" i="6" s="1"/>
  <c r="R200" i="6" s="1"/>
  <c r="AB114" i="6"/>
  <c r="AA114" i="6"/>
  <c r="AJ287" i="6"/>
  <c r="K200" i="6"/>
  <c r="M200" i="6" s="1"/>
  <c r="T200" i="6" s="1"/>
  <c r="R201" i="6" s="1"/>
  <c r="AB115" i="6"/>
  <c r="AA115" i="6"/>
  <c r="AJ288" i="6"/>
  <c r="K201" i="6"/>
  <c r="M201" i="6" s="1"/>
  <c r="T201" i="6" s="1"/>
  <c r="R202" i="6" s="1"/>
  <c r="AB116" i="6"/>
  <c r="AA116" i="6"/>
  <c r="AJ289" i="6"/>
  <c r="K202" i="6"/>
  <c r="M202" i="6" s="1"/>
  <c r="T202" i="6" s="1"/>
  <c r="R203" i="6" s="1"/>
  <c r="AB117" i="6"/>
  <c r="AA117" i="6"/>
  <c r="AJ290" i="6"/>
  <c r="K203" i="6"/>
  <c r="M203" i="6" s="1"/>
  <c r="T203" i="6" s="1"/>
  <c r="R204" i="6" s="1"/>
  <c r="AB118" i="6"/>
  <c r="AA118" i="6"/>
  <c r="AJ291" i="6"/>
  <c r="K204" i="6"/>
  <c r="M204" i="6" s="1"/>
  <c r="T204" i="6" s="1"/>
  <c r="R205" i="6" s="1"/>
  <c r="AB119" i="6"/>
  <c r="AA119" i="6"/>
  <c r="AJ292" i="6"/>
  <c r="K205" i="6"/>
  <c r="M205" i="6" s="1"/>
  <c r="T205" i="6" s="1"/>
  <c r="R206" i="6" s="1"/>
  <c r="AB120" i="6"/>
  <c r="AA120" i="6"/>
  <c r="AJ293" i="6"/>
  <c r="K206" i="6"/>
  <c r="M206" i="6" s="1"/>
  <c r="T206" i="6" s="1"/>
  <c r="R207" i="6" s="1"/>
  <c r="AB121" i="6"/>
  <c r="AA121" i="6"/>
  <c r="AJ294" i="6"/>
  <c r="K207" i="6"/>
  <c r="M207" i="6" s="1"/>
  <c r="T207" i="6" s="1"/>
  <c r="R208" i="6" s="1"/>
  <c r="AB122" i="6"/>
  <c r="AA122" i="6"/>
  <c r="AJ295" i="6"/>
  <c r="K208" i="6"/>
  <c r="M208" i="6" s="1"/>
  <c r="T208" i="6" s="1"/>
  <c r="R209" i="6" s="1"/>
  <c r="AB123" i="6"/>
  <c r="AA123" i="6"/>
  <c r="AJ296" i="6"/>
  <c r="K209" i="6"/>
  <c r="M209" i="6" s="1"/>
  <c r="T209" i="6" s="1"/>
  <c r="R210" i="6" s="1"/>
  <c r="AB124" i="6"/>
  <c r="AA124" i="6"/>
  <c r="AJ297" i="6"/>
  <c r="K210" i="6"/>
  <c r="M210" i="6" s="1"/>
  <c r="T210" i="6" s="1"/>
  <c r="R211" i="6" s="1"/>
  <c r="AB125" i="6"/>
  <c r="AA125" i="6"/>
  <c r="AJ298" i="6"/>
  <c r="K211" i="6"/>
  <c r="M211" i="6" s="1"/>
  <c r="T211" i="6" s="1"/>
  <c r="R212" i="6" s="1"/>
  <c r="AB126" i="6"/>
  <c r="AA126" i="6"/>
  <c r="AJ299" i="6"/>
  <c r="K212" i="6"/>
  <c r="M212" i="6" s="1"/>
  <c r="T212" i="6" s="1"/>
  <c r="R213" i="6" s="1"/>
  <c r="AB127" i="6"/>
  <c r="AA127" i="6"/>
  <c r="AJ300" i="6"/>
  <c r="K213" i="6"/>
  <c r="M213" i="6" s="1"/>
  <c r="T213" i="6" s="1"/>
  <c r="R214" i="6" s="1"/>
  <c r="AB128" i="6"/>
  <c r="AA128" i="6"/>
  <c r="AJ301" i="6"/>
  <c r="K214" i="6"/>
  <c r="M214" i="6" s="1"/>
  <c r="T214" i="6" s="1"/>
  <c r="R215" i="6" s="1"/>
  <c r="AB129" i="6"/>
  <c r="AA129" i="6"/>
  <c r="AJ302" i="6"/>
  <c r="K215" i="6"/>
  <c r="M215" i="6" s="1"/>
  <c r="T215" i="6" s="1"/>
  <c r="R216" i="6" s="1"/>
  <c r="AB130" i="6"/>
  <c r="AA130" i="6"/>
  <c r="AJ303" i="6"/>
  <c r="K216" i="6"/>
  <c r="M216" i="6" s="1"/>
  <c r="T216" i="6" s="1"/>
  <c r="R217" i="6" s="1"/>
  <c r="AB131" i="6"/>
  <c r="AA131" i="6"/>
  <c r="AJ304" i="6"/>
  <c r="K217" i="6"/>
  <c r="M217" i="6" s="1"/>
  <c r="T217" i="6" s="1"/>
  <c r="R218" i="6" s="1"/>
  <c r="AB132" i="6"/>
  <c r="AA132" i="6"/>
  <c r="AJ305" i="6"/>
  <c r="K218" i="6"/>
  <c r="M218" i="6" s="1"/>
  <c r="T218" i="6" s="1"/>
  <c r="R219" i="6" s="1"/>
  <c r="AB133" i="6"/>
  <c r="AA133" i="6"/>
  <c r="AJ306" i="6"/>
  <c r="K219" i="6"/>
  <c r="M219" i="6" s="1"/>
  <c r="T219" i="6" s="1"/>
  <c r="R220" i="6" s="1"/>
  <c r="AB134" i="6"/>
  <c r="AA134" i="6"/>
  <c r="AJ307" i="6"/>
  <c r="K220" i="6"/>
  <c r="M220" i="6" s="1"/>
  <c r="T220" i="6" s="1"/>
  <c r="R221" i="6" s="1"/>
  <c r="AB135" i="6"/>
  <c r="AA135" i="6"/>
  <c r="AJ308" i="6"/>
  <c r="K221" i="6"/>
  <c r="M221" i="6" s="1"/>
  <c r="T221" i="6" s="1"/>
  <c r="R222" i="6" s="1"/>
  <c r="AB136" i="6"/>
  <c r="AA136" i="6"/>
  <c r="AJ309" i="6"/>
  <c r="K222" i="6"/>
  <c r="M222" i="6" s="1"/>
  <c r="T222" i="6" s="1"/>
  <c r="R223" i="6" s="1"/>
  <c r="AB137" i="6"/>
  <c r="AA137" i="6"/>
  <c r="AJ310" i="6"/>
  <c r="K223" i="6"/>
  <c r="M223" i="6" s="1"/>
  <c r="T223" i="6" s="1"/>
  <c r="R224" i="6" s="1"/>
  <c r="AB138" i="6"/>
  <c r="AA138" i="6"/>
  <c r="AJ311" i="6"/>
  <c r="K224" i="6"/>
  <c r="M224" i="6" s="1"/>
  <c r="T224" i="6" s="1"/>
  <c r="R225" i="6" s="1"/>
  <c r="AB139" i="6"/>
  <c r="AA139" i="6"/>
  <c r="AJ312" i="6"/>
  <c r="K225" i="6"/>
  <c r="M225" i="6" s="1"/>
  <c r="T225" i="6" s="1"/>
  <c r="R226" i="6" s="1"/>
  <c r="AB140" i="6"/>
  <c r="AA140" i="6"/>
  <c r="AJ313" i="6"/>
  <c r="K226" i="6"/>
  <c r="M226" i="6" s="1"/>
  <c r="T226" i="6" s="1"/>
  <c r="R227" i="6" s="1"/>
  <c r="AB141" i="6"/>
  <c r="AA141" i="6"/>
  <c r="AJ314" i="6"/>
  <c r="K227" i="6"/>
  <c r="M227" i="6" s="1"/>
  <c r="T227" i="6" s="1"/>
  <c r="R228" i="6" s="1"/>
  <c r="AB142" i="6"/>
  <c r="AA142" i="6"/>
  <c r="AJ315" i="6"/>
  <c r="K228" i="6"/>
  <c r="M228" i="6" s="1"/>
  <c r="T228" i="6" s="1"/>
  <c r="R229" i="6" s="1"/>
  <c r="AB143" i="6"/>
  <c r="AA143" i="6"/>
  <c r="AJ316" i="6"/>
  <c r="K229" i="6"/>
  <c r="M229" i="6" s="1"/>
  <c r="T229" i="6" s="1"/>
  <c r="R230" i="6" s="1"/>
  <c r="AB144" i="6"/>
  <c r="AA144" i="6"/>
  <c r="AJ317" i="6"/>
  <c r="K230" i="6"/>
  <c r="M230" i="6" s="1"/>
  <c r="T230" i="6" s="1"/>
  <c r="R231" i="6" s="1"/>
  <c r="AB145" i="6"/>
  <c r="AA145" i="6"/>
  <c r="AJ318" i="6"/>
  <c r="K231" i="6"/>
  <c r="M231" i="6" s="1"/>
  <c r="T231" i="6" s="1"/>
  <c r="R232" i="6" s="1"/>
  <c r="AB146" i="6"/>
  <c r="AA146" i="6"/>
  <c r="AJ319" i="6"/>
  <c r="K232" i="6"/>
  <c r="M232" i="6" s="1"/>
  <c r="T232" i="6" s="1"/>
  <c r="R233" i="6" s="1"/>
  <c r="AJ320" i="6"/>
  <c r="K233" i="6"/>
  <c r="M233" i="6" s="1"/>
  <c r="T233" i="6" s="1"/>
  <c r="R234" i="6" s="1"/>
  <c r="AB234" i="6" s="1"/>
  <c r="AJ321" i="6"/>
  <c r="K234" i="6"/>
  <c r="M234" i="6" s="1"/>
  <c r="T234" i="6" s="1"/>
  <c r="AJ322" i="6"/>
  <c r="K235" i="6"/>
  <c r="M235" i="6" s="1"/>
  <c r="AJ323" i="6"/>
  <c r="K236" i="6"/>
  <c r="M236" i="6" s="1"/>
  <c r="AJ324" i="6"/>
  <c r="K237" i="6"/>
  <c r="M237" i="6" s="1"/>
  <c r="AJ325" i="6"/>
  <c r="K238" i="6"/>
  <c r="M238" i="6" s="1"/>
  <c r="AJ326" i="6"/>
  <c r="K239" i="6"/>
  <c r="M239" i="6" s="1"/>
  <c r="AJ327" i="6"/>
  <c r="K240" i="6"/>
  <c r="M240" i="6" s="1"/>
  <c r="AJ328" i="6"/>
  <c r="K241" i="6"/>
  <c r="M241" i="6" s="1"/>
  <c r="AJ329" i="6"/>
  <c r="K242" i="6"/>
  <c r="M242" i="6" s="1"/>
  <c r="AJ330" i="6"/>
  <c r="K243" i="6"/>
  <c r="M243" i="6" s="1"/>
  <c r="AJ331" i="6"/>
  <c r="K244" i="6"/>
  <c r="M244" i="6" s="1"/>
  <c r="AJ332" i="6"/>
  <c r="K245" i="6"/>
  <c r="M245" i="6" s="1"/>
  <c r="AJ333" i="6"/>
  <c r="K246" i="6"/>
  <c r="M246" i="6" s="1"/>
  <c r="AJ334" i="6"/>
  <c r="K247" i="6"/>
  <c r="M247" i="6" s="1"/>
  <c r="AJ335" i="6"/>
  <c r="K248" i="6"/>
  <c r="M248" i="6" s="1"/>
  <c r="AJ336" i="6"/>
  <c r="K249" i="6"/>
  <c r="M249" i="6" s="1"/>
  <c r="AJ337" i="6"/>
  <c r="K250" i="6"/>
  <c r="M250" i="6" s="1"/>
  <c r="AJ338" i="6"/>
  <c r="K251" i="6"/>
  <c r="M251" i="6" s="1"/>
  <c r="AJ339" i="6"/>
  <c r="K252" i="6"/>
  <c r="M252" i="6" s="1"/>
  <c r="AJ340" i="6"/>
  <c r="K253" i="6"/>
  <c r="M253" i="6" s="1"/>
  <c r="AJ341" i="6"/>
  <c r="K254" i="6"/>
  <c r="M254" i="6" s="1"/>
  <c r="AJ342" i="6"/>
  <c r="K255" i="6"/>
  <c r="M255" i="6" s="1"/>
  <c r="AJ343" i="6"/>
  <c r="K256" i="6"/>
  <c r="M256" i="6" s="1"/>
  <c r="AJ344" i="6"/>
  <c r="K257" i="6"/>
  <c r="M257" i="6" s="1"/>
  <c r="S496" i="6"/>
  <c r="AD495" i="6"/>
  <c r="X496" i="6"/>
  <c r="W496" i="6"/>
  <c r="V496" i="6"/>
  <c r="P496" i="6"/>
  <c r="S409" i="6"/>
  <c r="AD408" i="6"/>
  <c r="X409" i="6"/>
  <c r="W409" i="6"/>
  <c r="V409" i="6"/>
  <c r="P409" i="6"/>
  <c r="S322" i="6"/>
  <c r="AD321" i="6"/>
  <c r="X322" i="6"/>
  <c r="W322" i="6"/>
  <c r="V322" i="6"/>
  <c r="P322" i="6"/>
  <c r="S235" i="6"/>
  <c r="AD234" i="6"/>
  <c r="X235" i="6"/>
  <c r="W235" i="6"/>
  <c r="V235" i="6"/>
  <c r="P235" i="6"/>
  <c r="R148" i="6"/>
  <c r="AA147" i="6"/>
  <c r="S148" i="6"/>
  <c r="AD147" i="6"/>
  <c r="X148" i="6"/>
  <c r="W148" i="6"/>
  <c r="V148" i="6"/>
  <c r="P148" i="6"/>
  <c r="V69" i="6" l="1"/>
  <c r="X69" i="6"/>
  <c r="S69" i="6"/>
  <c r="AA234" i="6"/>
  <c r="AC234" i="6" s="1"/>
  <c r="AE68" i="6"/>
  <c r="Q69" i="6"/>
  <c r="R235" i="6"/>
  <c r="AB16" i="6"/>
  <c r="AA16" i="6"/>
  <c r="AC146" i="6"/>
  <c r="AE146" i="6" s="1"/>
  <c r="AC145" i="6"/>
  <c r="AE145" i="6" s="1"/>
  <c r="AC144" i="6"/>
  <c r="AE144" i="6" s="1"/>
  <c r="AC143" i="6"/>
  <c r="AE143" i="6" s="1"/>
  <c r="AC142" i="6"/>
  <c r="AE142" i="6" s="1"/>
  <c r="AC141" i="6"/>
  <c r="AE141" i="6" s="1"/>
  <c r="AC140" i="6"/>
  <c r="AE140" i="6" s="1"/>
  <c r="AC139" i="6"/>
  <c r="AE139" i="6" s="1"/>
  <c r="AC138" i="6"/>
  <c r="AE138" i="6" s="1"/>
  <c r="AC137" i="6"/>
  <c r="AE137" i="6" s="1"/>
  <c r="AC136" i="6"/>
  <c r="AE136" i="6" s="1"/>
  <c r="AC135" i="6"/>
  <c r="AE135" i="6" s="1"/>
  <c r="AC134" i="6"/>
  <c r="AE134" i="6" s="1"/>
  <c r="AC133" i="6"/>
  <c r="AE133" i="6" s="1"/>
  <c r="AC132" i="6"/>
  <c r="AE132" i="6" s="1"/>
  <c r="AC131" i="6"/>
  <c r="AE131" i="6" s="1"/>
  <c r="AC130" i="6"/>
  <c r="AE130" i="6" s="1"/>
  <c r="AC129" i="6"/>
  <c r="AE129" i="6" s="1"/>
  <c r="AC128" i="6"/>
  <c r="AE128" i="6" s="1"/>
  <c r="AC127" i="6"/>
  <c r="AE127" i="6" s="1"/>
  <c r="AC126" i="6"/>
  <c r="AE126" i="6" s="1"/>
  <c r="AC125" i="6"/>
  <c r="AE125" i="6" s="1"/>
  <c r="AC124" i="6"/>
  <c r="AE124" i="6" s="1"/>
  <c r="AC123" i="6"/>
  <c r="AE123" i="6" s="1"/>
  <c r="AC122" i="6"/>
  <c r="AE122" i="6" s="1"/>
  <c r="AC121" i="6"/>
  <c r="AE121" i="6" s="1"/>
  <c r="AC120" i="6"/>
  <c r="AE120" i="6" s="1"/>
  <c r="AC119" i="6"/>
  <c r="AE119" i="6" s="1"/>
  <c r="AC118" i="6"/>
  <c r="AE118" i="6" s="1"/>
  <c r="AC117" i="6"/>
  <c r="AE117" i="6" s="1"/>
  <c r="AC116" i="6"/>
  <c r="AE116" i="6" s="1"/>
  <c r="AC115" i="6"/>
  <c r="AE115" i="6" s="1"/>
  <c r="AC114" i="6"/>
  <c r="AE114" i="6" s="1"/>
  <c r="AC113" i="6"/>
  <c r="AE113" i="6" s="1"/>
  <c r="AC112" i="6"/>
  <c r="AE112" i="6" s="1"/>
  <c r="AC111" i="6"/>
  <c r="AE111" i="6" s="1"/>
  <c r="AC110" i="6"/>
  <c r="AE110" i="6" s="1"/>
  <c r="AC109" i="6"/>
  <c r="AE109" i="6" s="1"/>
  <c r="AC108" i="6"/>
  <c r="AE108" i="6" s="1"/>
  <c r="AC107" i="6"/>
  <c r="AE107" i="6" s="1"/>
  <c r="AC106" i="6"/>
  <c r="AE106" i="6" s="1"/>
  <c r="AC105" i="6"/>
  <c r="AE105" i="6" s="1"/>
  <c r="AC104" i="6"/>
  <c r="AE104" i="6" s="1"/>
  <c r="AC103" i="6"/>
  <c r="AE103" i="6" s="1"/>
  <c r="AC102" i="6"/>
  <c r="AE102" i="6" s="1"/>
  <c r="AC101" i="6"/>
  <c r="AE101" i="6" s="1"/>
  <c r="AC100" i="6"/>
  <c r="AE100" i="6" s="1"/>
  <c r="AC99" i="6"/>
  <c r="AE99" i="6" s="1"/>
  <c r="AC98" i="6"/>
  <c r="AE98" i="6" s="1"/>
  <c r="AJ431" i="6"/>
  <c r="K344" i="6"/>
  <c r="M344" i="6" s="1"/>
  <c r="AJ430" i="6"/>
  <c r="K343" i="6"/>
  <c r="M343" i="6" s="1"/>
  <c r="AJ429" i="6"/>
  <c r="K342" i="6"/>
  <c r="M342" i="6" s="1"/>
  <c r="AJ428" i="6"/>
  <c r="K341" i="6"/>
  <c r="M341" i="6" s="1"/>
  <c r="AJ427" i="6"/>
  <c r="K340" i="6"/>
  <c r="M340" i="6" s="1"/>
  <c r="AJ426" i="6"/>
  <c r="K339" i="6"/>
  <c r="M339" i="6" s="1"/>
  <c r="AJ425" i="6"/>
  <c r="K338" i="6"/>
  <c r="M338" i="6" s="1"/>
  <c r="AJ424" i="6"/>
  <c r="K337" i="6"/>
  <c r="M337" i="6" s="1"/>
  <c r="AJ423" i="6"/>
  <c r="K336" i="6"/>
  <c r="M336" i="6" s="1"/>
  <c r="AJ422" i="6"/>
  <c r="K335" i="6"/>
  <c r="M335" i="6" s="1"/>
  <c r="AJ421" i="6"/>
  <c r="K334" i="6"/>
  <c r="M334" i="6" s="1"/>
  <c r="AJ420" i="6"/>
  <c r="K333" i="6"/>
  <c r="M333" i="6" s="1"/>
  <c r="AJ419" i="6"/>
  <c r="K332" i="6"/>
  <c r="M332" i="6" s="1"/>
  <c r="AJ418" i="6"/>
  <c r="K331" i="6"/>
  <c r="M331" i="6" s="1"/>
  <c r="AJ417" i="6"/>
  <c r="K330" i="6"/>
  <c r="M330" i="6" s="1"/>
  <c r="AJ416" i="6"/>
  <c r="K329" i="6"/>
  <c r="M329" i="6" s="1"/>
  <c r="AJ415" i="6"/>
  <c r="K328" i="6"/>
  <c r="M328" i="6" s="1"/>
  <c r="AJ414" i="6"/>
  <c r="K327" i="6"/>
  <c r="M327" i="6" s="1"/>
  <c r="AJ413" i="6"/>
  <c r="K326" i="6"/>
  <c r="M326" i="6" s="1"/>
  <c r="AJ412" i="6"/>
  <c r="K325" i="6"/>
  <c r="M325" i="6" s="1"/>
  <c r="AJ411" i="6"/>
  <c r="K324" i="6"/>
  <c r="M324" i="6" s="1"/>
  <c r="AJ410" i="6"/>
  <c r="K323" i="6"/>
  <c r="M323" i="6" s="1"/>
  <c r="AJ409" i="6"/>
  <c r="K322" i="6"/>
  <c r="M322" i="6" s="1"/>
  <c r="AJ408" i="6"/>
  <c r="K321" i="6"/>
  <c r="M321" i="6" s="1"/>
  <c r="T321" i="6" s="1"/>
  <c r="R322" i="6" s="1"/>
  <c r="AB322" i="6" s="1"/>
  <c r="AJ407" i="6"/>
  <c r="K320" i="6"/>
  <c r="M320" i="6" s="1"/>
  <c r="T320" i="6" s="1"/>
  <c r="R321" i="6" s="1"/>
  <c r="AB233" i="6"/>
  <c r="AA233" i="6"/>
  <c r="AJ406" i="6"/>
  <c r="K319" i="6"/>
  <c r="M319" i="6" s="1"/>
  <c r="T319" i="6" s="1"/>
  <c r="R320" i="6" s="1"/>
  <c r="AB232" i="6"/>
  <c r="AA232" i="6"/>
  <c r="AJ405" i="6"/>
  <c r="K318" i="6"/>
  <c r="M318" i="6" s="1"/>
  <c r="T318" i="6" s="1"/>
  <c r="R319" i="6" s="1"/>
  <c r="AB231" i="6"/>
  <c r="AA231" i="6"/>
  <c r="AJ404" i="6"/>
  <c r="K317" i="6"/>
  <c r="M317" i="6" s="1"/>
  <c r="T317" i="6" s="1"/>
  <c r="R318" i="6" s="1"/>
  <c r="AB230" i="6"/>
  <c r="AA230" i="6"/>
  <c r="AJ403" i="6"/>
  <c r="K316" i="6"/>
  <c r="M316" i="6" s="1"/>
  <c r="T316" i="6" s="1"/>
  <c r="R317" i="6" s="1"/>
  <c r="AB229" i="6"/>
  <c r="AA229" i="6"/>
  <c r="AJ402" i="6"/>
  <c r="K315" i="6"/>
  <c r="M315" i="6" s="1"/>
  <c r="T315" i="6" s="1"/>
  <c r="R316" i="6" s="1"/>
  <c r="AB228" i="6"/>
  <c r="AA228" i="6"/>
  <c r="AJ401" i="6"/>
  <c r="K314" i="6"/>
  <c r="M314" i="6" s="1"/>
  <c r="T314" i="6" s="1"/>
  <c r="R315" i="6" s="1"/>
  <c r="AB227" i="6"/>
  <c r="AA227" i="6"/>
  <c r="AJ400" i="6"/>
  <c r="K313" i="6"/>
  <c r="M313" i="6" s="1"/>
  <c r="T313" i="6" s="1"/>
  <c r="R314" i="6" s="1"/>
  <c r="AB226" i="6"/>
  <c r="AA226" i="6"/>
  <c r="AJ399" i="6"/>
  <c r="K312" i="6"/>
  <c r="M312" i="6" s="1"/>
  <c r="T312" i="6" s="1"/>
  <c r="R313" i="6" s="1"/>
  <c r="AB225" i="6"/>
  <c r="AA225" i="6"/>
  <c r="AJ398" i="6"/>
  <c r="K311" i="6"/>
  <c r="M311" i="6" s="1"/>
  <c r="T311" i="6" s="1"/>
  <c r="R312" i="6" s="1"/>
  <c r="AB224" i="6"/>
  <c r="AA224" i="6"/>
  <c r="AJ397" i="6"/>
  <c r="K310" i="6"/>
  <c r="M310" i="6" s="1"/>
  <c r="T310" i="6" s="1"/>
  <c r="R311" i="6" s="1"/>
  <c r="AB223" i="6"/>
  <c r="AA223" i="6"/>
  <c r="AJ396" i="6"/>
  <c r="K309" i="6"/>
  <c r="M309" i="6" s="1"/>
  <c r="T309" i="6" s="1"/>
  <c r="R310" i="6" s="1"/>
  <c r="AB222" i="6"/>
  <c r="AA222" i="6"/>
  <c r="AJ395" i="6"/>
  <c r="K308" i="6"/>
  <c r="M308" i="6" s="1"/>
  <c r="T308" i="6" s="1"/>
  <c r="R309" i="6" s="1"/>
  <c r="AB221" i="6"/>
  <c r="AA221" i="6"/>
  <c r="AJ394" i="6"/>
  <c r="K307" i="6"/>
  <c r="M307" i="6" s="1"/>
  <c r="T307" i="6" s="1"/>
  <c r="R308" i="6" s="1"/>
  <c r="AB220" i="6"/>
  <c r="AA220" i="6"/>
  <c r="AJ393" i="6"/>
  <c r="K306" i="6"/>
  <c r="M306" i="6" s="1"/>
  <c r="T306" i="6" s="1"/>
  <c r="R307" i="6" s="1"/>
  <c r="AB219" i="6"/>
  <c r="AA219" i="6"/>
  <c r="AJ392" i="6"/>
  <c r="K305" i="6"/>
  <c r="M305" i="6" s="1"/>
  <c r="T305" i="6" s="1"/>
  <c r="R306" i="6" s="1"/>
  <c r="AB218" i="6"/>
  <c r="AA218" i="6"/>
  <c r="AJ391" i="6"/>
  <c r="K304" i="6"/>
  <c r="M304" i="6" s="1"/>
  <c r="T304" i="6" s="1"/>
  <c r="R305" i="6" s="1"/>
  <c r="AB217" i="6"/>
  <c r="AA217" i="6"/>
  <c r="AJ390" i="6"/>
  <c r="K303" i="6"/>
  <c r="M303" i="6" s="1"/>
  <c r="T303" i="6" s="1"/>
  <c r="R304" i="6" s="1"/>
  <c r="AB216" i="6"/>
  <c r="AA216" i="6"/>
  <c r="AJ389" i="6"/>
  <c r="K302" i="6"/>
  <c r="M302" i="6" s="1"/>
  <c r="T302" i="6" s="1"/>
  <c r="R303" i="6" s="1"/>
  <c r="AB215" i="6"/>
  <c r="AA215" i="6"/>
  <c r="AJ388" i="6"/>
  <c r="K301" i="6"/>
  <c r="M301" i="6" s="1"/>
  <c r="T301" i="6" s="1"/>
  <c r="R302" i="6" s="1"/>
  <c r="AB214" i="6"/>
  <c r="AA214" i="6"/>
  <c r="AJ387" i="6"/>
  <c r="K300" i="6"/>
  <c r="M300" i="6" s="1"/>
  <c r="T300" i="6" s="1"/>
  <c r="R301" i="6" s="1"/>
  <c r="AB213" i="6"/>
  <c r="AA213" i="6"/>
  <c r="AJ386" i="6"/>
  <c r="K299" i="6"/>
  <c r="M299" i="6" s="1"/>
  <c r="T299" i="6" s="1"/>
  <c r="R300" i="6" s="1"/>
  <c r="AB212" i="6"/>
  <c r="AA212" i="6"/>
  <c r="AJ385" i="6"/>
  <c r="K298" i="6"/>
  <c r="M298" i="6" s="1"/>
  <c r="T298" i="6" s="1"/>
  <c r="R299" i="6" s="1"/>
  <c r="AB211" i="6"/>
  <c r="AA211" i="6"/>
  <c r="AJ384" i="6"/>
  <c r="K297" i="6"/>
  <c r="M297" i="6" s="1"/>
  <c r="T297" i="6" s="1"/>
  <c r="R298" i="6" s="1"/>
  <c r="AB210" i="6"/>
  <c r="AA210" i="6"/>
  <c r="AJ383" i="6"/>
  <c r="K296" i="6"/>
  <c r="M296" i="6" s="1"/>
  <c r="T296" i="6" s="1"/>
  <c r="R297" i="6" s="1"/>
  <c r="AB209" i="6"/>
  <c r="AA209" i="6"/>
  <c r="AJ382" i="6"/>
  <c r="K295" i="6"/>
  <c r="M295" i="6" s="1"/>
  <c r="T295" i="6" s="1"/>
  <c r="R296" i="6" s="1"/>
  <c r="AB208" i="6"/>
  <c r="AA208" i="6"/>
  <c r="AJ381" i="6"/>
  <c r="K294" i="6"/>
  <c r="M294" i="6" s="1"/>
  <c r="T294" i="6" s="1"/>
  <c r="R295" i="6" s="1"/>
  <c r="AB207" i="6"/>
  <c r="AA207" i="6"/>
  <c r="AJ380" i="6"/>
  <c r="K293" i="6"/>
  <c r="M293" i="6" s="1"/>
  <c r="T293" i="6" s="1"/>
  <c r="R294" i="6" s="1"/>
  <c r="AB206" i="6"/>
  <c r="AA206" i="6"/>
  <c r="AJ379" i="6"/>
  <c r="K292" i="6"/>
  <c r="M292" i="6" s="1"/>
  <c r="T292" i="6" s="1"/>
  <c r="R293" i="6" s="1"/>
  <c r="AB205" i="6"/>
  <c r="AA205" i="6"/>
  <c r="AJ378" i="6"/>
  <c r="K291" i="6"/>
  <c r="M291" i="6" s="1"/>
  <c r="T291" i="6" s="1"/>
  <c r="R292" i="6" s="1"/>
  <c r="AB204" i="6"/>
  <c r="AA204" i="6"/>
  <c r="AJ377" i="6"/>
  <c r="K290" i="6"/>
  <c r="M290" i="6" s="1"/>
  <c r="T290" i="6" s="1"/>
  <c r="R291" i="6" s="1"/>
  <c r="AB203" i="6"/>
  <c r="AA203" i="6"/>
  <c r="AJ376" i="6"/>
  <c r="K289" i="6"/>
  <c r="M289" i="6" s="1"/>
  <c r="T289" i="6" s="1"/>
  <c r="R290" i="6" s="1"/>
  <c r="AB202" i="6"/>
  <c r="AA202" i="6"/>
  <c r="AJ375" i="6"/>
  <c r="K288" i="6"/>
  <c r="M288" i="6" s="1"/>
  <c r="T288" i="6" s="1"/>
  <c r="R289" i="6" s="1"/>
  <c r="AB201" i="6"/>
  <c r="AA201" i="6"/>
  <c r="AJ374" i="6"/>
  <c r="K287" i="6"/>
  <c r="M287" i="6" s="1"/>
  <c r="T287" i="6" s="1"/>
  <c r="R288" i="6" s="1"/>
  <c r="AB200" i="6"/>
  <c r="AA200" i="6"/>
  <c r="AJ373" i="6"/>
  <c r="K286" i="6"/>
  <c r="M286" i="6" s="1"/>
  <c r="T286" i="6" s="1"/>
  <c r="R287" i="6" s="1"/>
  <c r="AB199" i="6"/>
  <c r="AA199" i="6"/>
  <c r="AJ372" i="6"/>
  <c r="K285" i="6"/>
  <c r="M285" i="6" s="1"/>
  <c r="T285" i="6" s="1"/>
  <c r="R286" i="6" s="1"/>
  <c r="AB198" i="6"/>
  <c r="AA198" i="6"/>
  <c r="AJ371" i="6"/>
  <c r="K284" i="6"/>
  <c r="M284" i="6" s="1"/>
  <c r="T284" i="6" s="1"/>
  <c r="R285" i="6" s="1"/>
  <c r="AB197" i="6"/>
  <c r="AA197" i="6"/>
  <c r="AJ370" i="6"/>
  <c r="K283" i="6"/>
  <c r="M283" i="6" s="1"/>
  <c r="T283" i="6" s="1"/>
  <c r="R284" i="6" s="1"/>
  <c r="AB196" i="6"/>
  <c r="AA196" i="6"/>
  <c r="AJ369" i="6"/>
  <c r="K282" i="6"/>
  <c r="M282" i="6" s="1"/>
  <c r="T282" i="6" s="1"/>
  <c r="R283" i="6" s="1"/>
  <c r="AB195" i="6"/>
  <c r="AA195" i="6"/>
  <c r="AJ368" i="6"/>
  <c r="K281" i="6"/>
  <c r="M281" i="6" s="1"/>
  <c r="T281" i="6" s="1"/>
  <c r="R282" i="6" s="1"/>
  <c r="AB194" i="6"/>
  <c r="AA194" i="6"/>
  <c r="AJ367" i="6"/>
  <c r="K280" i="6"/>
  <c r="M280" i="6" s="1"/>
  <c r="T280" i="6" s="1"/>
  <c r="R281" i="6" s="1"/>
  <c r="AB193" i="6"/>
  <c r="AA193" i="6"/>
  <c r="AJ366" i="6"/>
  <c r="K279" i="6"/>
  <c r="M279" i="6" s="1"/>
  <c r="T279" i="6" s="1"/>
  <c r="R280" i="6" s="1"/>
  <c r="AB192" i="6"/>
  <c r="AA192" i="6"/>
  <c r="AJ365" i="6"/>
  <c r="K278" i="6"/>
  <c r="M278" i="6" s="1"/>
  <c r="T278" i="6" s="1"/>
  <c r="R279" i="6" s="1"/>
  <c r="AB191" i="6"/>
  <c r="AA191" i="6"/>
  <c r="AJ364" i="6"/>
  <c r="K277" i="6"/>
  <c r="M277" i="6" s="1"/>
  <c r="T277" i="6" s="1"/>
  <c r="R278" i="6" s="1"/>
  <c r="AB190" i="6"/>
  <c r="AA190" i="6"/>
  <c r="AJ363" i="6"/>
  <c r="K276" i="6"/>
  <c r="M276" i="6" s="1"/>
  <c r="T276" i="6" s="1"/>
  <c r="R277" i="6" s="1"/>
  <c r="AB189" i="6"/>
  <c r="AA189" i="6"/>
  <c r="AJ362" i="6"/>
  <c r="K275" i="6"/>
  <c r="M275" i="6" s="1"/>
  <c r="T275" i="6" s="1"/>
  <c r="R276" i="6" s="1"/>
  <c r="AB188" i="6"/>
  <c r="AA188" i="6"/>
  <c r="AJ361" i="6"/>
  <c r="K274" i="6"/>
  <c r="M274" i="6" s="1"/>
  <c r="T274" i="6" s="1"/>
  <c r="R275" i="6" s="1"/>
  <c r="AB187" i="6"/>
  <c r="AA187" i="6"/>
  <c r="AJ360" i="6"/>
  <c r="K273" i="6"/>
  <c r="M273" i="6" s="1"/>
  <c r="T273" i="6" s="1"/>
  <c r="R274" i="6" s="1"/>
  <c r="AB186" i="6"/>
  <c r="AA186" i="6"/>
  <c r="AJ359" i="6"/>
  <c r="K272" i="6"/>
  <c r="M272" i="6" s="1"/>
  <c r="T272" i="6" s="1"/>
  <c r="R273" i="6" s="1"/>
  <c r="AB185" i="6"/>
  <c r="AA185" i="6"/>
  <c r="AJ358" i="6"/>
  <c r="K271" i="6"/>
  <c r="M271" i="6" s="1"/>
  <c r="T271" i="6" s="1"/>
  <c r="R272" i="6" s="1"/>
  <c r="R184" i="6"/>
  <c r="AA183" i="6"/>
  <c r="AC183" i="6" s="1"/>
  <c r="AE183" i="6" s="1"/>
  <c r="AJ357" i="6"/>
  <c r="K270" i="6"/>
  <c r="M270" i="6" s="1"/>
  <c r="T270" i="6" s="1"/>
  <c r="AB97" i="6"/>
  <c r="AA97" i="6"/>
  <c r="AC10" i="6"/>
  <c r="AE10" i="6" s="1"/>
  <c r="AK431" i="6"/>
  <c r="J344" i="6"/>
  <c r="L344" i="6" s="1"/>
  <c r="AK430" i="6"/>
  <c r="J343" i="6"/>
  <c r="L343" i="6" s="1"/>
  <c r="AK429" i="6"/>
  <c r="J342" i="6"/>
  <c r="L342" i="6" s="1"/>
  <c r="AK428" i="6"/>
  <c r="J341" i="6"/>
  <c r="L341" i="6" s="1"/>
  <c r="AK427" i="6"/>
  <c r="J340" i="6"/>
  <c r="L340" i="6" s="1"/>
  <c r="AK426" i="6"/>
  <c r="J339" i="6"/>
  <c r="L339" i="6" s="1"/>
  <c r="AK425" i="6"/>
  <c r="J338" i="6"/>
  <c r="L338" i="6" s="1"/>
  <c r="AK424" i="6"/>
  <c r="J337" i="6"/>
  <c r="L337" i="6" s="1"/>
  <c r="AK423" i="6"/>
  <c r="J336" i="6"/>
  <c r="L336" i="6" s="1"/>
  <c r="AK422" i="6"/>
  <c r="J335" i="6"/>
  <c r="L335" i="6" s="1"/>
  <c r="AK421" i="6"/>
  <c r="J334" i="6"/>
  <c r="L334" i="6" s="1"/>
  <c r="AK420" i="6"/>
  <c r="J333" i="6"/>
  <c r="L333" i="6" s="1"/>
  <c r="AK419" i="6"/>
  <c r="J332" i="6"/>
  <c r="L332" i="6" s="1"/>
  <c r="AK418" i="6"/>
  <c r="J331" i="6"/>
  <c r="L331" i="6" s="1"/>
  <c r="AK417" i="6"/>
  <c r="J330" i="6"/>
  <c r="L330" i="6" s="1"/>
  <c r="AK416" i="6"/>
  <c r="J329" i="6"/>
  <c r="L329" i="6" s="1"/>
  <c r="AK415" i="6"/>
  <c r="J328" i="6"/>
  <c r="L328" i="6" s="1"/>
  <c r="AK414" i="6"/>
  <c r="J327" i="6"/>
  <c r="L327" i="6" s="1"/>
  <c r="AK413" i="6"/>
  <c r="J326" i="6"/>
  <c r="L326" i="6" s="1"/>
  <c r="AK412" i="6"/>
  <c r="J325" i="6"/>
  <c r="L325" i="6" s="1"/>
  <c r="AK411" i="6"/>
  <c r="J324" i="6"/>
  <c r="L324" i="6" s="1"/>
  <c r="AK410" i="6"/>
  <c r="J323" i="6"/>
  <c r="L323" i="6" s="1"/>
  <c r="AK409" i="6"/>
  <c r="J322" i="6"/>
  <c r="L322" i="6" s="1"/>
  <c r="AK408" i="6"/>
  <c r="J321" i="6"/>
  <c r="L321" i="6" s="1"/>
  <c r="AK407" i="6"/>
  <c r="J320" i="6"/>
  <c r="L320" i="6" s="1"/>
  <c r="AK406" i="6"/>
  <c r="J319" i="6"/>
  <c r="L319" i="6" s="1"/>
  <c r="AK405" i="6"/>
  <c r="J318" i="6"/>
  <c r="L318" i="6" s="1"/>
  <c r="AK404" i="6"/>
  <c r="J317" i="6"/>
  <c r="L317" i="6" s="1"/>
  <c r="AK403" i="6"/>
  <c r="J316" i="6"/>
  <c r="L316" i="6" s="1"/>
  <c r="AK402" i="6"/>
  <c r="J315" i="6"/>
  <c r="L315" i="6" s="1"/>
  <c r="AK401" i="6"/>
  <c r="J314" i="6"/>
  <c r="L314" i="6" s="1"/>
  <c r="AK400" i="6"/>
  <c r="J313" i="6"/>
  <c r="L313" i="6" s="1"/>
  <c r="AK399" i="6"/>
  <c r="J312" i="6"/>
  <c r="L312" i="6" s="1"/>
  <c r="AK398" i="6"/>
  <c r="J311" i="6"/>
  <c r="L311" i="6" s="1"/>
  <c r="AK397" i="6"/>
  <c r="J310" i="6"/>
  <c r="L310" i="6" s="1"/>
  <c r="AK396" i="6"/>
  <c r="J309" i="6"/>
  <c r="L309" i="6" s="1"/>
  <c r="AK395" i="6"/>
  <c r="J308" i="6"/>
  <c r="L308" i="6" s="1"/>
  <c r="AK394" i="6"/>
  <c r="J307" i="6"/>
  <c r="L307" i="6" s="1"/>
  <c r="AK393" i="6"/>
  <c r="J306" i="6"/>
  <c r="L306" i="6" s="1"/>
  <c r="AK392" i="6"/>
  <c r="J305" i="6"/>
  <c r="L305" i="6" s="1"/>
  <c r="AK391" i="6"/>
  <c r="J304" i="6"/>
  <c r="L304" i="6" s="1"/>
  <c r="AK390" i="6"/>
  <c r="J303" i="6"/>
  <c r="L303" i="6" s="1"/>
  <c r="AK389" i="6"/>
  <c r="J302" i="6"/>
  <c r="L302" i="6" s="1"/>
  <c r="AK388" i="6"/>
  <c r="J301" i="6"/>
  <c r="L301" i="6" s="1"/>
  <c r="AK387" i="6"/>
  <c r="J300" i="6"/>
  <c r="L300" i="6" s="1"/>
  <c r="AK386" i="6"/>
  <c r="J299" i="6"/>
  <c r="L299" i="6" s="1"/>
  <c r="AK385" i="6"/>
  <c r="J298" i="6"/>
  <c r="L298" i="6" s="1"/>
  <c r="AK384" i="6"/>
  <c r="J297" i="6"/>
  <c r="L297" i="6" s="1"/>
  <c r="AK383" i="6"/>
  <c r="J296" i="6"/>
  <c r="L296" i="6" s="1"/>
  <c r="AK382" i="6"/>
  <c r="J295" i="6"/>
  <c r="L295" i="6" s="1"/>
  <c r="AK381" i="6"/>
  <c r="J294" i="6"/>
  <c r="L294" i="6" s="1"/>
  <c r="AK380" i="6"/>
  <c r="J293" i="6"/>
  <c r="L293" i="6" s="1"/>
  <c r="AK379" i="6"/>
  <c r="J292" i="6"/>
  <c r="L292" i="6" s="1"/>
  <c r="AK378" i="6"/>
  <c r="J291" i="6"/>
  <c r="L291" i="6" s="1"/>
  <c r="AK377" i="6"/>
  <c r="J290" i="6"/>
  <c r="L290" i="6" s="1"/>
  <c r="AK376" i="6"/>
  <c r="J289" i="6"/>
  <c r="L289" i="6" s="1"/>
  <c r="AK375" i="6"/>
  <c r="J288" i="6"/>
  <c r="L288" i="6" s="1"/>
  <c r="AK374" i="6"/>
  <c r="J287" i="6"/>
  <c r="L287" i="6" s="1"/>
  <c r="AK373" i="6"/>
  <c r="J286" i="6"/>
  <c r="L286" i="6" s="1"/>
  <c r="AK372" i="6"/>
  <c r="J285" i="6"/>
  <c r="L285" i="6" s="1"/>
  <c r="AK371" i="6"/>
  <c r="J284" i="6"/>
  <c r="L284" i="6" s="1"/>
  <c r="AK370" i="6"/>
  <c r="J283" i="6"/>
  <c r="L283" i="6" s="1"/>
  <c r="AK369" i="6"/>
  <c r="J282" i="6"/>
  <c r="L282" i="6" s="1"/>
  <c r="AK368" i="6"/>
  <c r="J281" i="6"/>
  <c r="L281" i="6" s="1"/>
  <c r="AK367" i="6"/>
  <c r="J280" i="6"/>
  <c r="L280" i="6" s="1"/>
  <c r="AK366" i="6"/>
  <c r="J279" i="6"/>
  <c r="L279" i="6" s="1"/>
  <c r="AK365" i="6"/>
  <c r="J278" i="6"/>
  <c r="L278" i="6" s="1"/>
  <c r="AK364" i="6"/>
  <c r="J277" i="6"/>
  <c r="L277" i="6" s="1"/>
  <c r="AK363" i="6"/>
  <c r="J276" i="6"/>
  <c r="L276" i="6" s="1"/>
  <c r="AK362" i="6"/>
  <c r="J275" i="6"/>
  <c r="L275" i="6" s="1"/>
  <c r="AK361" i="6"/>
  <c r="J274" i="6"/>
  <c r="L274" i="6" s="1"/>
  <c r="AK360" i="6"/>
  <c r="J273" i="6"/>
  <c r="L273" i="6" s="1"/>
  <c r="AK359" i="6"/>
  <c r="J272" i="6"/>
  <c r="L272" i="6" s="1"/>
  <c r="AK358" i="6"/>
  <c r="J271" i="6"/>
  <c r="L271" i="6" s="1"/>
  <c r="AK357" i="6"/>
  <c r="J270" i="6"/>
  <c r="L270" i="6" s="1"/>
  <c r="Y496" i="6"/>
  <c r="Z496" i="6" s="1"/>
  <c r="Q496" i="6"/>
  <c r="Y409" i="6"/>
  <c r="Z409" i="6" s="1"/>
  <c r="Q409" i="6"/>
  <c r="Y322" i="6"/>
  <c r="Z322" i="6" s="1"/>
  <c r="Q322" i="6"/>
  <c r="Y235" i="6"/>
  <c r="Z235" i="6" s="1"/>
  <c r="Q235" i="6"/>
  <c r="AB235" i="6"/>
  <c r="Y148" i="6"/>
  <c r="Z148" i="6" s="1"/>
  <c r="Q148" i="6"/>
  <c r="AC147" i="6"/>
  <c r="AB148" i="6"/>
  <c r="AB69" i="6" l="1"/>
  <c r="Z69" i="6"/>
  <c r="O70" i="6"/>
  <c r="U69" i="6"/>
  <c r="T69" i="6"/>
  <c r="AC16" i="6"/>
  <c r="AE16" i="6" s="1"/>
  <c r="AC97" i="6"/>
  <c r="AE97" i="6" s="1"/>
  <c r="AC185" i="6"/>
  <c r="AE185" i="6" s="1"/>
  <c r="AC186" i="6"/>
  <c r="AE186" i="6" s="1"/>
  <c r="AC187" i="6"/>
  <c r="AE187" i="6" s="1"/>
  <c r="AC188" i="6"/>
  <c r="AE188" i="6" s="1"/>
  <c r="AC189" i="6"/>
  <c r="AE189" i="6" s="1"/>
  <c r="AC190" i="6"/>
  <c r="AE190" i="6" s="1"/>
  <c r="AC191" i="6"/>
  <c r="AE191" i="6" s="1"/>
  <c r="AC192" i="6"/>
  <c r="AE192" i="6" s="1"/>
  <c r="AC193" i="6"/>
  <c r="AE193" i="6" s="1"/>
  <c r="AC194" i="6"/>
  <c r="AE194" i="6" s="1"/>
  <c r="AC195" i="6"/>
  <c r="AE195" i="6" s="1"/>
  <c r="AC196" i="6"/>
  <c r="AE196" i="6" s="1"/>
  <c r="AC197" i="6"/>
  <c r="AE197" i="6" s="1"/>
  <c r="AC198" i="6"/>
  <c r="AE198" i="6" s="1"/>
  <c r="AC199" i="6"/>
  <c r="AE199" i="6" s="1"/>
  <c r="AC200" i="6"/>
  <c r="AE200" i="6" s="1"/>
  <c r="AC201" i="6"/>
  <c r="AE201" i="6" s="1"/>
  <c r="AC202" i="6"/>
  <c r="AE202" i="6" s="1"/>
  <c r="AC203" i="6"/>
  <c r="AE203" i="6" s="1"/>
  <c r="AC204" i="6"/>
  <c r="AE204" i="6" s="1"/>
  <c r="AC205" i="6"/>
  <c r="AE205" i="6" s="1"/>
  <c r="AC206" i="6"/>
  <c r="AE206" i="6" s="1"/>
  <c r="AC207" i="6"/>
  <c r="AE207" i="6" s="1"/>
  <c r="AC208" i="6"/>
  <c r="AE208" i="6" s="1"/>
  <c r="AC209" i="6"/>
  <c r="AE209" i="6" s="1"/>
  <c r="AC210" i="6"/>
  <c r="AE210" i="6" s="1"/>
  <c r="AC211" i="6"/>
  <c r="AE211" i="6" s="1"/>
  <c r="AC212" i="6"/>
  <c r="AE212" i="6" s="1"/>
  <c r="AC213" i="6"/>
  <c r="AE213" i="6" s="1"/>
  <c r="AC214" i="6"/>
  <c r="AE214" i="6" s="1"/>
  <c r="AC215" i="6"/>
  <c r="AE215" i="6" s="1"/>
  <c r="AC216" i="6"/>
  <c r="AE216" i="6" s="1"/>
  <c r="AC217" i="6"/>
  <c r="AE217" i="6" s="1"/>
  <c r="AC218" i="6"/>
  <c r="AE218" i="6" s="1"/>
  <c r="AC219" i="6"/>
  <c r="AE219" i="6" s="1"/>
  <c r="AC220" i="6"/>
  <c r="AE220" i="6" s="1"/>
  <c r="AC221" i="6"/>
  <c r="AE221" i="6" s="1"/>
  <c r="AC222" i="6"/>
  <c r="AE222" i="6" s="1"/>
  <c r="AC223" i="6"/>
  <c r="AE223" i="6" s="1"/>
  <c r="AC224" i="6"/>
  <c r="AE224" i="6" s="1"/>
  <c r="AC225" i="6"/>
  <c r="AE225" i="6" s="1"/>
  <c r="AC226" i="6"/>
  <c r="AE226" i="6" s="1"/>
  <c r="AC227" i="6"/>
  <c r="AE227" i="6" s="1"/>
  <c r="AC228" i="6"/>
  <c r="AE228" i="6" s="1"/>
  <c r="AC229" i="6"/>
  <c r="AE229" i="6" s="1"/>
  <c r="AC230" i="6"/>
  <c r="AE230" i="6" s="1"/>
  <c r="AC231" i="6"/>
  <c r="AE231" i="6" s="1"/>
  <c r="AC232" i="6"/>
  <c r="AE232" i="6" s="1"/>
  <c r="AC233" i="6"/>
  <c r="AE233" i="6" s="1"/>
  <c r="AK444" i="6"/>
  <c r="J444" i="6" s="1"/>
  <c r="L444" i="6" s="1"/>
  <c r="J357" i="6"/>
  <c r="L357" i="6" s="1"/>
  <c r="AK445" i="6"/>
  <c r="J445" i="6" s="1"/>
  <c r="L445" i="6" s="1"/>
  <c r="J358" i="6"/>
  <c r="L358" i="6" s="1"/>
  <c r="AK446" i="6"/>
  <c r="J446" i="6" s="1"/>
  <c r="L446" i="6" s="1"/>
  <c r="J359" i="6"/>
  <c r="L359" i="6" s="1"/>
  <c r="AK447" i="6"/>
  <c r="J447" i="6" s="1"/>
  <c r="L447" i="6" s="1"/>
  <c r="J360" i="6"/>
  <c r="L360" i="6" s="1"/>
  <c r="AK448" i="6"/>
  <c r="J448" i="6" s="1"/>
  <c r="L448" i="6" s="1"/>
  <c r="J361" i="6"/>
  <c r="L361" i="6" s="1"/>
  <c r="AK449" i="6"/>
  <c r="J449" i="6" s="1"/>
  <c r="L449" i="6" s="1"/>
  <c r="J362" i="6"/>
  <c r="L362" i="6" s="1"/>
  <c r="AK450" i="6"/>
  <c r="J450" i="6" s="1"/>
  <c r="L450" i="6" s="1"/>
  <c r="J363" i="6"/>
  <c r="L363" i="6" s="1"/>
  <c r="AK451" i="6"/>
  <c r="J451" i="6" s="1"/>
  <c r="L451" i="6" s="1"/>
  <c r="J364" i="6"/>
  <c r="L364" i="6" s="1"/>
  <c r="AK452" i="6"/>
  <c r="J452" i="6" s="1"/>
  <c r="L452" i="6" s="1"/>
  <c r="J365" i="6"/>
  <c r="L365" i="6" s="1"/>
  <c r="AK453" i="6"/>
  <c r="J453" i="6" s="1"/>
  <c r="L453" i="6" s="1"/>
  <c r="J366" i="6"/>
  <c r="L366" i="6" s="1"/>
  <c r="AK454" i="6"/>
  <c r="J454" i="6" s="1"/>
  <c r="L454" i="6" s="1"/>
  <c r="J367" i="6"/>
  <c r="L367" i="6" s="1"/>
  <c r="AK455" i="6"/>
  <c r="J455" i="6" s="1"/>
  <c r="L455" i="6" s="1"/>
  <c r="J368" i="6"/>
  <c r="L368" i="6" s="1"/>
  <c r="AK456" i="6"/>
  <c r="J456" i="6" s="1"/>
  <c r="L456" i="6" s="1"/>
  <c r="J369" i="6"/>
  <c r="L369" i="6" s="1"/>
  <c r="AK457" i="6"/>
  <c r="J457" i="6" s="1"/>
  <c r="L457" i="6" s="1"/>
  <c r="J370" i="6"/>
  <c r="L370" i="6" s="1"/>
  <c r="AK458" i="6"/>
  <c r="J458" i="6" s="1"/>
  <c r="L458" i="6" s="1"/>
  <c r="J371" i="6"/>
  <c r="L371" i="6" s="1"/>
  <c r="AK459" i="6"/>
  <c r="J459" i="6" s="1"/>
  <c r="L459" i="6" s="1"/>
  <c r="J372" i="6"/>
  <c r="L372" i="6" s="1"/>
  <c r="AK460" i="6"/>
  <c r="J460" i="6" s="1"/>
  <c r="L460" i="6" s="1"/>
  <c r="J373" i="6"/>
  <c r="L373" i="6" s="1"/>
  <c r="AK461" i="6"/>
  <c r="J461" i="6" s="1"/>
  <c r="L461" i="6" s="1"/>
  <c r="J374" i="6"/>
  <c r="L374" i="6" s="1"/>
  <c r="AK462" i="6"/>
  <c r="J462" i="6" s="1"/>
  <c r="L462" i="6" s="1"/>
  <c r="J375" i="6"/>
  <c r="L375" i="6" s="1"/>
  <c r="AK463" i="6"/>
  <c r="J463" i="6" s="1"/>
  <c r="L463" i="6" s="1"/>
  <c r="J376" i="6"/>
  <c r="L376" i="6" s="1"/>
  <c r="AK464" i="6"/>
  <c r="J464" i="6" s="1"/>
  <c r="L464" i="6" s="1"/>
  <c r="J377" i="6"/>
  <c r="L377" i="6" s="1"/>
  <c r="AK465" i="6"/>
  <c r="J465" i="6" s="1"/>
  <c r="L465" i="6" s="1"/>
  <c r="J378" i="6"/>
  <c r="L378" i="6" s="1"/>
  <c r="AK466" i="6"/>
  <c r="J466" i="6" s="1"/>
  <c r="L466" i="6" s="1"/>
  <c r="J379" i="6"/>
  <c r="L379" i="6" s="1"/>
  <c r="AK467" i="6"/>
  <c r="J467" i="6" s="1"/>
  <c r="L467" i="6" s="1"/>
  <c r="J380" i="6"/>
  <c r="L380" i="6" s="1"/>
  <c r="AK468" i="6"/>
  <c r="J468" i="6" s="1"/>
  <c r="L468" i="6" s="1"/>
  <c r="J381" i="6"/>
  <c r="L381" i="6" s="1"/>
  <c r="AK469" i="6"/>
  <c r="J469" i="6" s="1"/>
  <c r="L469" i="6" s="1"/>
  <c r="J382" i="6"/>
  <c r="L382" i="6" s="1"/>
  <c r="AK470" i="6"/>
  <c r="J470" i="6" s="1"/>
  <c r="L470" i="6" s="1"/>
  <c r="J383" i="6"/>
  <c r="L383" i="6" s="1"/>
  <c r="AK471" i="6"/>
  <c r="J471" i="6" s="1"/>
  <c r="L471" i="6" s="1"/>
  <c r="J384" i="6"/>
  <c r="L384" i="6" s="1"/>
  <c r="AK472" i="6"/>
  <c r="J472" i="6" s="1"/>
  <c r="L472" i="6" s="1"/>
  <c r="J385" i="6"/>
  <c r="L385" i="6" s="1"/>
  <c r="AK473" i="6"/>
  <c r="J473" i="6" s="1"/>
  <c r="L473" i="6" s="1"/>
  <c r="J386" i="6"/>
  <c r="L386" i="6" s="1"/>
  <c r="AK474" i="6"/>
  <c r="J474" i="6" s="1"/>
  <c r="L474" i="6" s="1"/>
  <c r="J387" i="6"/>
  <c r="L387" i="6" s="1"/>
  <c r="AK475" i="6"/>
  <c r="J475" i="6" s="1"/>
  <c r="L475" i="6" s="1"/>
  <c r="J388" i="6"/>
  <c r="L388" i="6" s="1"/>
  <c r="AK476" i="6"/>
  <c r="J476" i="6" s="1"/>
  <c r="L476" i="6" s="1"/>
  <c r="J389" i="6"/>
  <c r="L389" i="6" s="1"/>
  <c r="AK477" i="6"/>
  <c r="J477" i="6" s="1"/>
  <c r="L477" i="6" s="1"/>
  <c r="J390" i="6"/>
  <c r="L390" i="6" s="1"/>
  <c r="AK478" i="6"/>
  <c r="J478" i="6" s="1"/>
  <c r="L478" i="6" s="1"/>
  <c r="J391" i="6"/>
  <c r="L391" i="6" s="1"/>
  <c r="AK479" i="6"/>
  <c r="J479" i="6" s="1"/>
  <c r="L479" i="6" s="1"/>
  <c r="J392" i="6"/>
  <c r="L392" i="6" s="1"/>
  <c r="AK480" i="6"/>
  <c r="J480" i="6" s="1"/>
  <c r="L480" i="6" s="1"/>
  <c r="J393" i="6"/>
  <c r="L393" i="6" s="1"/>
  <c r="AK481" i="6"/>
  <c r="J481" i="6" s="1"/>
  <c r="L481" i="6" s="1"/>
  <c r="J394" i="6"/>
  <c r="L394" i="6" s="1"/>
  <c r="AK482" i="6"/>
  <c r="J482" i="6" s="1"/>
  <c r="L482" i="6" s="1"/>
  <c r="J395" i="6"/>
  <c r="L395" i="6" s="1"/>
  <c r="AK483" i="6"/>
  <c r="J483" i="6" s="1"/>
  <c r="L483" i="6" s="1"/>
  <c r="J396" i="6"/>
  <c r="L396" i="6" s="1"/>
  <c r="AK484" i="6"/>
  <c r="J484" i="6" s="1"/>
  <c r="L484" i="6" s="1"/>
  <c r="J397" i="6"/>
  <c r="L397" i="6" s="1"/>
  <c r="AK485" i="6"/>
  <c r="J485" i="6" s="1"/>
  <c r="L485" i="6" s="1"/>
  <c r="J398" i="6"/>
  <c r="L398" i="6" s="1"/>
  <c r="AK486" i="6"/>
  <c r="J486" i="6" s="1"/>
  <c r="L486" i="6" s="1"/>
  <c r="J399" i="6"/>
  <c r="L399" i="6" s="1"/>
  <c r="AK487" i="6"/>
  <c r="J487" i="6" s="1"/>
  <c r="L487" i="6" s="1"/>
  <c r="J400" i="6"/>
  <c r="L400" i="6" s="1"/>
  <c r="AK488" i="6"/>
  <c r="J488" i="6" s="1"/>
  <c r="L488" i="6" s="1"/>
  <c r="J401" i="6"/>
  <c r="L401" i="6" s="1"/>
  <c r="AK489" i="6"/>
  <c r="J489" i="6" s="1"/>
  <c r="L489" i="6" s="1"/>
  <c r="J402" i="6"/>
  <c r="L402" i="6" s="1"/>
  <c r="AK490" i="6"/>
  <c r="J490" i="6" s="1"/>
  <c r="L490" i="6" s="1"/>
  <c r="J403" i="6"/>
  <c r="L403" i="6" s="1"/>
  <c r="AK491" i="6"/>
  <c r="J491" i="6" s="1"/>
  <c r="L491" i="6" s="1"/>
  <c r="J404" i="6"/>
  <c r="L404" i="6" s="1"/>
  <c r="AK492" i="6"/>
  <c r="J492" i="6" s="1"/>
  <c r="L492" i="6" s="1"/>
  <c r="J405" i="6"/>
  <c r="L405" i="6" s="1"/>
  <c r="AK493" i="6"/>
  <c r="J493" i="6" s="1"/>
  <c r="L493" i="6" s="1"/>
  <c r="J406" i="6"/>
  <c r="L406" i="6" s="1"/>
  <c r="AK494" i="6"/>
  <c r="J494" i="6" s="1"/>
  <c r="L494" i="6" s="1"/>
  <c r="J407" i="6"/>
  <c r="L407" i="6" s="1"/>
  <c r="AK495" i="6"/>
  <c r="J495" i="6" s="1"/>
  <c r="L495" i="6" s="1"/>
  <c r="J408" i="6"/>
  <c r="L408" i="6" s="1"/>
  <c r="AK496" i="6"/>
  <c r="J496" i="6" s="1"/>
  <c r="L496" i="6" s="1"/>
  <c r="J409" i="6"/>
  <c r="L409" i="6" s="1"/>
  <c r="AK497" i="6"/>
  <c r="J497" i="6" s="1"/>
  <c r="L497" i="6" s="1"/>
  <c r="J410" i="6"/>
  <c r="L410" i="6" s="1"/>
  <c r="AK498" i="6"/>
  <c r="J498" i="6" s="1"/>
  <c r="L498" i="6" s="1"/>
  <c r="J411" i="6"/>
  <c r="L411" i="6" s="1"/>
  <c r="AK499" i="6"/>
  <c r="J499" i="6" s="1"/>
  <c r="L499" i="6" s="1"/>
  <c r="J412" i="6"/>
  <c r="L412" i="6" s="1"/>
  <c r="AK500" i="6"/>
  <c r="J500" i="6" s="1"/>
  <c r="L500" i="6" s="1"/>
  <c r="J413" i="6"/>
  <c r="L413" i="6" s="1"/>
  <c r="AK501" i="6"/>
  <c r="J501" i="6" s="1"/>
  <c r="L501" i="6" s="1"/>
  <c r="J414" i="6"/>
  <c r="L414" i="6" s="1"/>
  <c r="AK502" i="6"/>
  <c r="J502" i="6" s="1"/>
  <c r="L502" i="6" s="1"/>
  <c r="J415" i="6"/>
  <c r="L415" i="6" s="1"/>
  <c r="AK503" i="6"/>
  <c r="J503" i="6" s="1"/>
  <c r="L503" i="6" s="1"/>
  <c r="J416" i="6"/>
  <c r="L416" i="6" s="1"/>
  <c r="AK504" i="6"/>
  <c r="J504" i="6" s="1"/>
  <c r="L504" i="6" s="1"/>
  <c r="J417" i="6"/>
  <c r="L417" i="6" s="1"/>
  <c r="AK505" i="6"/>
  <c r="J505" i="6" s="1"/>
  <c r="L505" i="6" s="1"/>
  <c r="J418" i="6"/>
  <c r="L418" i="6" s="1"/>
  <c r="AK506" i="6"/>
  <c r="J506" i="6" s="1"/>
  <c r="L506" i="6" s="1"/>
  <c r="J419" i="6"/>
  <c r="L419" i="6" s="1"/>
  <c r="AK507" i="6"/>
  <c r="J507" i="6" s="1"/>
  <c r="L507" i="6" s="1"/>
  <c r="J420" i="6"/>
  <c r="L420" i="6" s="1"/>
  <c r="AK508" i="6"/>
  <c r="J508" i="6" s="1"/>
  <c r="L508" i="6" s="1"/>
  <c r="J421" i="6"/>
  <c r="L421" i="6" s="1"/>
  <c r="AK509" i="6"/>
  <c r="J509" i="6" s="1"/>
  <c r="L509" i="6" s="1"/>
  <c r="J422" i="6"/>
  <c r="L422" i="6" s="1"/>
  <c r="AK510" i="6"/>
  <c r="J510" i="6" s="1"/>
  <c r="L510" i="6" s="1"/>
  <c r="J423" i="6"/>
  <c r="L423" i="6" s="1"/>
  <c r="AK511" i="6"/>
  <c r="J511" i="6" s="1"/>
  <c r="L511" i="6" s="1"/>
  <c r="J424" i="6"/>
  <c r="L424" i="6" s="1"/>
  <c r="AK512" i="6"/>
  <c r="J512" i="6" s="1"/>
  <c r="L512" i="6" s="1"/>
  <c r="J425" i="6"/>
  <c r="L425" i="6" s="1"/>
  <c r="AK513" i="6"/>
  <c r="J513" i="6" s="1"/>
  <c r="L513" i="6" s="1"/>
  <c r="J426" i="6"/>
  <c r="L426" i="6" s="1"/>
  <c r="AK514" i="6"/>
  <c r="J514" i="6" s="1"/>
  <c r="L514" i="6" s="1"/>
  <c r="J427" i="6"/>
  <c r="L427" i="6" s="1"/>
  <c r="AK515" i="6"/>
  <c r="J515" i="6" s="1"/>
  <c r="L515" i="6" s="1"/>
  <c r="J428" i="6"/>
  <c r="L428" i="6" s="1"/>
  <c r="AK516" i="6"/>
  <c r="J516" i="6" s="1"/>
  <c r="L516" i="6" s="1"/>
  <c r="J429" i="6"/>
  <c r="L429" i="6" s="1"/>
  <c r="AK517" i="6"/>
  <c r="J517" i="6" s="1"/>
  <c r="L517" i="6" s="1"/>
  <c r="J430" i="6"/>
  <c r="L430" i="6" s="1"/>
  <c r="AK518" i="6"/>
  <c r="J518" i="6" s="1"/>
  <c r="L518" i="6" s="1"/>
  <c r="J431" i="6"/>
  <c r="L431" i="6" s="1"/>
  <c r="R271" i="6"/>
  <c r="AA270" i="6"/>
  <c r="AC270" i="6" s="1"/>
  <c r="AE270" i="6" s="1"/>
  <c r="AJ444" i="6"/>
  <c r="K444" i="6" s="1"/>
  <c r="M444" i="6" s="1"/>
  <c r="T444" i="6" s="1"/>
  <c r="K357" i="6"/>
  <c r="M357" i="6" s="1"/>
  <c r="T357" i="6" s="1"/>
  <c r="AB184" i="6"/>
  <c r="AA184" i="6"/>
  <c r="AB272" i="6"/>
  <c r="AA272" i="6"/>
  <c r="AJ445" i="6"/>
  <c r="K445" i="6" s="1"/>
  <c r="M445" i="6" s="1"/>
  <c r="T445" i="6" s="1"/>
  <c r="R446" i="6" s="1"/>
  <c r="K358" i="6"/>
  <c r="M358" i="6" s="1"/>
  <c r="T358" i="6" s="1"/>
  <c r="R359" i="6" s="1"/>
  <c r="AB273" i="6"/>
  <c r="AA273" i="6"/>
  <c r="AJ446" i="6"/>
  <c r="K446" i="6" s="1"/>
  <c r="M446" i="6" s="1"/>
  <c r="T446" i="6" s="1"/>
  <c r="R447" i="6" s="1"/>
  <c r="K359" i="6"/>
  <c r="M359" i="6" s="1"/>
  <c r="T359" i="6" s="1"/>
  <c r="R360" i="6" s="1"/>
  <c r="AB274" i="6"/>
  <c r="AA274" i="6"/>
  <c r="AJ447" i="6"/>
  <c r="K447" i="6" s="1"/>
  <c r="M447" i="6" s="1"/>
  <c r="T447" i="6" s="1"/>
  <c r="R448" i="6" s="1"/>
  <c r="K360" i="6"/>
  <c r="M360" i="6" s="1"/>
  <c r="T360" i="6" s="1"/>
  <c r="R361" i="6" s="1"/>
  <c r="AB275" i="6"/>
  <c r="AA275" i="6"/>
  <c r="AJ448" i="6"/>
  <c r="K448" i="6" s="1"/>
  <c r="M448" i="6" s="1"/>
  <c r="T448" i="6" s="1"/>
  <c r="R449" i="6" s="1"/>
  <c r="K361" i="6"/>
  <c r="M361" i="6" s="1"/>
  <c r="T361" i="6" s="1"/>
  <c r="R362" i="6" s="1"/>
  <c r="AB276" i="6"/>
  <c r="AA276" i="6"/>
  <c r="AJ449" i="6"/>
  <c r="K449" i="6" s="1"/>
  <c r="M449" i="6" s="1"/>
  <c r="T449" i="6" s="1"/>
  <c r="R450" i="6" s="1"/>
  <c r="K362" i="6"/>
  <c r="M362" i="6" s="1"/>
  <c r="T362" i="6" s="1"/>
  <c r="R363" i="6" s="1"/>
  <c r="AB277" i="6"/>
  <c r="AA277" i="6"/>
  <c r="AJ450" i="6"/>
  <c r="K450" i="6" s="1"/>
  <c r="M450" i="6" s="1"/>
  <c r="T450" i="6" s="1"/>
  <c r="R451" i="6" s="1"/>
  <c r="K363" i="6"/>
  <c r="M363" i="6" s="1"/>
  <c r="T363" i="6" s="1"/>
  <c r="R364" i="6" s="1"/>
  <c r="AB278" i="6"/>
  <c r="AA278" i="6"/>
  <c r="AJ451" i="6"/>
  <c r="K451" i="6" s="1"/>
  <c r="M451" i="6" s="1"/>
  <c r="T451" i="6" s="1"/>
  <c r="R452" i="6" s="1"/>
  <c r="K364" i="6"/>
  <c r="M364" i="6" s="1"/>
  <c r="T364" i="6" s="1"/>
  <c r="R365" i="6" s="1"/>
  <c r="AB279" i="6"/>
  <c r="AA279" i="6"/>
  <c r="AJ452" i="6"/>
  <c r="K452" i="6" s="1"/>
  <c r="M452" i="6" s="1"/>
  <c r="T452" i="6" s="1"/>
  <c r="R453" i="6" s="1"/>
  <c r="K365" i="6"/>
  <c r="M365" i="6" s="1"/>
  <c r="T365" i="6" s="1"/>
  <c r="R366" i="6" s="1"/>
  <c r="AB280" i="6"/>
  <c r="AA280" i="6"/>
  <c r="AJ453" i="6"/>
  <c r="K453" i="6" s="1"/>
  <c r="M453" i="6" s="1"/>
  <c r="T453" i="6" s="1"/>
  <c r="R454" i="6" s="1"/>
  <c r="K366" i="6"/>
  <c r="M366" i="6" s="1"/>
  <c r="T366" i="6" s="1"/>
  <c r="R367" i="6" s="1"/>
  <c r="AB281" i="6"/>
  <c r="AA281" i="6"/>
  <c r="AJ454" i="6"/>
  <c r="K454" i="6" s="1"/>
  <c r="M454" i="6" s="1"/>
  <c r="T454" i="6" s="1"/>
  <c r="R455" i="6" s="1"/>
  <c r="K367" i="6"/>
  <c r="M367" i="6" s="1"/>
  <c r="T367" i="6" s="1"/>
  <c r="R368" i="6" s="1"/>
  <c r="AB282" i="6"/>
  <c r="AA282" i="6"/>
  <c r="AJ455" i="6"/>
  <c r="K455" i="6" s="1"/>
  <c r="M455" i="6" s="1"/>
  <c r="T455" i="6" s="1"/>
  <c r="R456" i="6" s="1"/>
  <c r="K368" i="6"/>
  <c r="M368" i="6" s="1"/>
  <c r="T368" i="6" s="1"/>
  <c r="R369" i="6" s="1"/>
  <c r="AB283" i="6"/>
  <c r="AA283" i="6"/>
  <c r="AJ456" i="6"/>
  <c r="K456" i="6" s="1"/>
  <c r="M456" i="6" s="1"/>
  <c r="T456" i="6" s="1"/>
  <c r="R457" i="6" s="1"/>
  <c r="K369" i="6"/>
  <c r="M369" i="6" s="1"/>
  <c r="T369" i="6" s="1"/>
  <c r="R370" i="6" s="1"/>
  <c r="AB284" i="6"/>
  <c r="AA284" i="6"/>
  <c r="AJ457" i="6"/>
  <c r="K457" i="6" s="1"/>
  <c r="M457" i="6" s="1"/>
  <c r="T457" i="6" s="1"/>
  <c r="R458" i="6" s="1"/>
  <c r="K370" i="6"/>
  <c r="M370" i="6" s="1"/>
  <c r="T370" i="6" s="1"/>
  <c r="R371" i="6" s="1"/>
  <c r="AB285" i="6"/>
  <c r="AA285" i="6"/>
  <c r="AJ458" i="6"/>
  <c r="K458" i="6" s="1"/>
  <c r="M458" i="6" s="1"/>
  <c r="T458" i="6" s="1"/>
  <c r="R459" i="6" s="1"/>
  <c r="K371" i="6"/>
  <c r="M371" i="6" s="1"/>
  <c r="T371" i="6" s="1"/>
  <c r="R372" i="6" s="1"/>
  <c r="AB286" i="6"/>
  <c r="AA286" i="6"/>
  <c r="AJ459" i="6"/>
  <c r="K459" i="6" s="1"/>
  <c r="M459" i="6" s="1"/>
  <c r="T459" i="6" s="1"/>
  <c r="R460" i="6" s="1"/>
  <c r="K372" i="6"/>
  <c r="M372" i="6" s="1"/>
  <c r="T372" i="6" s="1"/>
  <c r="R373" i="6" s="1"/>
  <c r="AB287" i="6"/>
  <c r="AA287" i="6"/>
  <c r="AJ460" i="6"/>
  <c r="K460" i="6" s="1"/>
  <c r="M460" i="6" s="1"/>
  <c r="T460" i="6" s="1"/>
  <c r="R461" i="6" s="1"/>
  <c r="K373" i="6"/>
  <c r="M373" i="6" s="1"/>
  <c r="T373" i="6" s="1"/>
  <c r="R374" i="6" s="1"/>
  <c r="AB288" i="6"/>
  <c r="AA288" i="6"/>
  <c r="AJ461" i="6"/>
  <c r="K461" i="6" s="1"/>
  <c r="M461" i="6" s="1"/>
  <c r="T461" i="6" s="1"/>
  <c r="R462" i="6" s="1"/>
  <c r="K374" i="6"/>
  <c r="M374" i="6" s="1"/>
  <c r="T374" i="6" s="1"/>
  <c r="R375" i="6" s="1"/>
  <c r="AB289" i="6"/>
  <c r="AA289" i="6"/>
  <c r="AJ462" i="6"/>
  <c r="K462" i="6" s="1"/>
  <c r="M462" i="6" s="1"/>
  <c r="T462" i="6" s="1"/>
  <c r="R463" i="6" s="1"/>
  <c r="K375" i="6"/>
  <c r="M375" i="6" s="1"/>
  <c r="T375" i="6" s="1"/>
  <c r="R376" i="6" s="1"/>
  <c r="AB290" i="6"/>
  <c r="AA290" i="6"/>
  <c r="AJ463" i="6"/>
  <c r="K463" i="6" s="1"/>
  <c r="M463" i="6" s="1"/>
  <c r="T463" i="6" s="1"/>
  <c r="R464" i="6" s="1"/>
  <c r="K376" i="6"/>
  <c r="M376" i="6" s="1"/>
  <c r="T376" i="6" s="1"/>
  <c r="R377" i="6" s="1"/>
  <c r="AB291" i="6"/>
  <c r="AA291" i="6"/>
  <c r="AJ464" i="6"/>
  <c r="K464" i="6" s="1"/>
  <c r="M464" i="6" s="1"/>
  <c r="T464" i="6" s="1"/>
  <c r="R465" i="6" s="1"/>
  <c r="K377" i="6"/>
  <c r="M377" i="6" s="1"/>
  <c r="T377" i="6" s="1"/>
  <c r="R378" i="6" s="1"/>
  <c r="AB292" i="6"/>
  <c r="AA292" i="6"/>
  <c r="AJ465" i="6"/>
  <c r="K465" i="6" s="1"/>
  <c r="M465" i="6" s="1"/>
  <c r="T465" i="6" s="1"/>
  <c r="R466" i="6" s="1"/>
  <c r="K378" i="6"/>
  <c r="M378" i="6" s="1"/>
  <c r="T378" i="6" s="1"/>
  <c r="R379" i="6" s="1"/>
  <c r="AB293" i="6"/>
  <c r="AA293" i="6"/>
  <c r="AJ466" i="6"/>
  <c r="K466" i="6" s="1"/>
  <c r="M466" i="6" s="1"/>
  <c r="T466" i="6" s="1"/>
  <c r="R467" i="6" s="1"/>
  <c r="K379" i="6"/>
  <c r="M379" i="6" s="1"/>
  <c r="T379" i="6" s="1"/>
  <c r="R380" i="6" s="1"/>
  <c r="AB294" i="6"/>
  <c r="AA294" i="6"/>
  <c r="AJ467" i="6"/>
  <c r="K467" i="6" s="1"/>
  <c r="M467" i="6" s="1"/>
  <c r="T467" i="6" s="1"/>
  <c r="R468" i="6" s="1"/>
  <c r="K380" i="6"/>
  <c r="M380" i="6" s="1"/>
  <c r="T380" i="6" s="1"/>
  <c r="R381" i="6" s="1"/>
  <c r="AB295" i="6"/>
  <c r="AA295" i="6"/>
  <c r="AJ468" i="6"/>
  <c r="K468" i="6" s="1"/>
  <c r="M468" i="6" s="1"/>
  <c r="T468" i="6" s="1"/>
  <c r="R469" i="6" s="1"/>
  <c r="K381" i="6"/>
  <c r="M381" i="6" s="1"/>
  <c r="T381" i="6" s="1"/>
  <c r="R382" i="6" s="1"/>
  <c r="AB296" i="6"/>
  <c r="AA296" i="6"/>
  <c r="AJ469" i="6"/>
  <c r="K469" i="6" s="1"/>
  <c r="M469" i="6" s="1"/>
  <c r="T469" i="6" s="1"/>
  <c r="R470" i="6" s="1"/>
  <c r="K382" i="6"/>
  <c r="M382" i="6" s="1"/>
  <c r="T382" i="6" s="1"/>
  <c r="R383" i="6" s="1"/>
  <c r="AB297" i="6"/>
  <c r="AA297" i="6"/>
  <c r="AJ470" i="6"/>
  <c r="K470" i="6" s="1"/>
  <c r="M470" i="6" s="1"/>
  <c r="T470" i="6" s="1"/>
  <c r="R471" i="6" s="1"/>
  <c r="K383" i="6"/>
  <c r="M383" i="6" s="1"/>
  <c r="T383" i="6" s="1"/>
  <c r="R384" i="6" s="1"/>
  <c r="AB298" i="6"/>
  <c r="AA298" i="6"/>
  <c r="AJ471" i="6"/>
  <c r="K471" i="6" s="1"/>
  <c r="M471" i="6" s="1"/>
  <c r="T471" i="6" s="1"/>
  <c r="R472" i="6" s="1"/>
  <c r="K384" i="6"/>
  <c r="M384" i="6" s="1"/>
  <c r="T384" i="6" s="1"/>
  <c r="R385" i="6" s="1"/>
  <c r="AB299" i="6"/>
  <c r="AA299" i="6"/>
  <c r="AJ472" i="6"/>
  <c r="K472" i="6" s="1"/>
  <c r="M472" i="6" s="1"/>
  <c r="T472" i="6" s="1"/>
  <c r="R473" i="6" s="1"/>
  <c r="K385" i="6"/>
  <c r="M385" i="6" s="1"/>
  <c r="T385" i="6" s="1"/>
  <c r="R386" i="6" s="1"/>
  <c r="AB300" i="6"/>
  <c r="AA300" i="6"/>
  <c r="AJ473" i="6"/>
  <c r="K473" i="6" s="1"/>
  <c r="M473" i="6" s="1"/>
  <c r="T473" i="6" s="1"/>
  <c r="R474" i="6" s="1"/>
  <c r="K386" i="6"/>
  <c r="M386" i="6" s="1"/>
  <c r="T386" i="6" s="1"/>
  <c r="R387" i="6" s="1"/>
  <c r="AB301" i="6"/>
  <c r="AA301" i="6"/>
  <c r="AJ474" i="6"/>
  <c r="K474" i="6" s="1"/>
  <c r="M474" i="6" s="1"/>
  <c r="T474" i="6" s="1"/>
  <c r="R475" i="6" s="1"/>
  <c r="K387" i="6"/>
  <c r="M387" i="6" s="1"/>
  <c r="T387" i="6" s="1"/>
  <c r="R388" i="6" s="1"/>
  <c r="AB302" i="6"/>
  <c r="AA302" i="6"/>
  <c r="AJ475" i="6"/>
  <c r="K475" i="6" s="1"/>
  <c r="M475" i="6" s="1"/>
  <c r="T475" i="6" s="1"/>
  <c r="R476" i="6" s="1"/>
  <c r="K388" i="6"/>
  <c r="M388" i="6" s="1"/>
  <c r="T388" i="6" s="1"/>
  <c r="R389" i="6" s="1"/>
  <c r="AB303" i="6"/>
  <c r="AA303" i="6"/>
  <c r="AJ476" i="6"/>
  <c r="K476" i="6" s="1"/>
  <c r="M476" i="6" s="1"/>
  <c r="T476" i="6" s="1"/>
  <c r="R477" i="6" s="1"/>
  <c r="K389" i="6"/>
  <c r="M389" i="6" s="1"/>
  <c r="T389" i="6" s="1"/>
  <c r="R390" i="6" s="1"/>
  <c r="AB304" i="6"/>
  <c r="AA304" i="6"/>
  <c r="AJ477" i="6"/>
  <c r="K477" i="6" s="1"/>
  <c r="M477" i="6" s="1"/>
  <c r="T477" i="6" s="1"/>
  <c r="R478" i="6" s="1"/>
  <c r="K390" i="6"/>
  <c r="M390" i="6" s="1"/>
  <c r="T390" i="6" s="1"/>
  <c r="R391" i="6" s="1"/>
  <c r="AB305" i="6"/>
  <c r="AA305" i="6"/>
  <c r="AJ478" i="6"/>
  <c r="K478" i="6" s="1"/>
  <c r="M478" i="6" s="1"/>
  <c r="T478" i="6" s="1"/>
  <c r="R479" i="6" s="1"/>
  <c r="K391" i="6"/>
  <c r="M391" i="6" s="1"/>
  <c r="T391" i="6" s="1"/>
  <c r="R392" i="6" s="1"/>
  <c r="AB306" i="6"/>
  <c r="AA306" i="6"/>
  <c r="AJ479" i="6"/>
  <c r="K479" i="6" s="1"/>
  <c r="M479" i="6" s="1"/>
  <c r="T479" i="6" s="1"/>
  <c r="R480" i="6" s="1"/>
  <c r="K392" i="6"/>
  <c r="M392" i="6" s="1"/>
  <c r="T392" i="6" s="1"/>
  <c r="R393" i="6" s="1"/>
  <c r="AB307" i="6"/>
  <c r="AA307" i="6"/>
  <c r="AJ480" i="6"/>
  <c r="K480" i="6" s="1"/>
  <c r="M480" i="6" s="1"/>
  <c r="T480" i="6" s="1"/>
  <c r="R481" i="6" s="1"/>
  <c r="K393" i="6"/>
  <c r="M393" i="6" s="1"/>
  <c r="T393" i="6" s="1"/>
  <c r="R394" i="6" s="1"/>
  <c r="AB308" i="6"/>
  <c r="AA308" i="6"/>
  <c r="AJ481" i="6"/>
  <c r="K481" i="6" s="1"/>
  <c r="M481" i="6" s="1"/>
  <c r="T481" i="6" s="1"/>
  <c r="R482" i="6" s="1"/>
  <c r="K394" i="6"/>
  <c r="M394" i="6" s="1"/>
  <c r="T394" i="6" s="1"/>
  <c r="R395" i="6" s="1"/>
  <c r="AB309" i="6"/>
  <c r="AA309" i="6"/>
  <c r="AJ482" i="6"/>
  <c r="K482" i="6" s="1"/>
  <c r="M482" i="6" s="1"/>
  <c r="T482" i="6" s="1"/>
  <c r="R483" i="6" s="1"/>
  <c r="K395" i="6"/>
  <c r="M395" i="6" s="1"/>
  <c r="T395" i="6" s="1"/>
  <c r="R396" i="6" s="1"/>
  <c r="AB310" i="6"/>
  <c r="AA310" i="6"/>
  <c r="AJ483" i="6"/>
  <c r="K483" i="6" s="1"/>
  <c r="M483" i="6" s="1"/>
  <c r="T483" i="6" s="1"/>
  <c r="R484" i="6" s="1"/>
  <c r="K396" i="6"/>
  <c r="M396" i="6" s="1"/>
  <c r="T396" i="6" s="1"/>
  <c r="R397" i="6" s="1"/>
  <c r="AB311" i="6"/>
  <c r="AA311" i="6"/>
  <c r="AJ484" i="6"/>
  <c r="K484" i="6" s="1"/>
  <c r="M484" i="6" s="1"/>
  <c r="T484" i="6" s="1"/>
  <c r="R485" i="6" s="1"/>
  <c r="K397" i="6"/>
  <c r="M397" i="6" s="1"/>
  <c r="T397" i="6" s="1"/>
  <c r="R398" i="6" s="1"/>
  <c r="AB312" i="6"/>
  <c r="AA312" i="6"/>
  <c r="AJ485" i="6"/>
  <c r="K485" i="6" s="1"/>
  <c r="M485" i="6" s="1"/>
  <c r="T485" i="6" s="1"/>
  <c r="R486" i="6" s="1"/>
  <c r="K398" i="6"/>
  <c r="M398" i="6" s="1"/>
  <c r="T398" i="6" s="1"/>
  <c r="R399" i="6" s="1"/>
  <c r="AB313" i="6"/>
  <c r="AA313" i="6"/>
  <c r="AJ486" i="6"/>
  <c r="K486" i="6" s="1"/>
  <c r="M486" i="6" s="1"/>
  <c r="T486" i="6" s="1"/>
  <c r="R487" i="6" s="1"/>
  <c r="K399" i="6"/>
  <c r="M399" i="6" s="1"/>
  <c r="T399" i="6" s="1"/>
  <c r="R400" i="6" s="1"/>
  <c r="AB314" i="6"/>
  <c r="AA314" i="6"/>
  <c r="AJ487" i="6"/>
  <c r="K487" i="6" s="1"/>
  <c r="M487" i="6" s="1"/>
  <c r="T487" i="6" s="1"/>
  <c r="R488" i="6" s="1"/>
  <c r="K400" i="6"/>
  <c r="M400" i="6" s="1"/>
  <c r="T400" i="6" s="1"/>
  <c r="R401" i="6" s="1"/>
  <c r="AB315" i="6"/>
  <c r="AA315" i="6"/>
  <c r="AJ488" i="6"/>
  <c r="K488" i="6" s="1"/>
  <c r="M488" i="6" s="1"/>
  <c r="T488" i="6" s="1"/>
  <c r="R489" i="6" s="1"/>
  <c r="K401" i="6"/>
  <c r="M401" i="6" s="1"/>
  <c r="T401" i="6" s="1"/>
  <c r="R402" i="6" s="1"/>
  <c r="AB316" i="6"/>
  <c r="AA316" i="6"/>
  <c r="AJ489" i="6"/>
  <c r="K489" i="6" s="1"/>
  <c r="M489" i="6" s="1"/>
  <c r="T489" i="6" s="1"/>
  <c r="R490" i="6" s="1"/>
  <c r="K402" i="6"/>
  <c r="M402" i="6" s="1"/>
  <c r="T402" i="6" s="1"/>
  <c r="R403" i="6" s="1"/>
  <c r="AB317" i="6"/>
  <c r="AA317" i="6"/>
  <c r="AJ490" i="6"/>
  <c r="K490" i="6" s="1"/>
  <c r="M490" i="6" s="1"/>
  <c r="T490" i="6" s="1"/>
  <c r="R491" i="6" s="1"/>
  <c r="K403" i="6"/>
  <c r="M403" i="6" s="1"/>
  <c r="T403" i="6" s="1"/>
  <c r="R404" i="6" s="1"/>
  <c r="AB318" i="6"/>
  <c r="AA318" i="6"/>
  <c r="AJ491" i="6"/>
  <c r="K491" i="6" s="1"/>
  <c r="M491" i="6" s="1"/>
  <c r="T491" i="6" s="1"/>
  <c r="R492" i="6" s="1"/>
  <c r="K404" i="6"/>
  <c r="M404" i="6" s="1"/>
  <c r="T404" i="6" s="1"/>
  <c r="R405" i="6" s="1"/>
  <c r="AB319" i="6"/>
  <c r="AA319" i="6"/>
  <c r="AJ492" i="6"/>
  <c r="K492" i="6" s="1"/>
  <c r="M492" i="6" s="1"/>
  <c r="T492" i="6" s="1"/>
  <c r="R493" i="6" s="1"/>
  <c r="K405" i="6"/>
  <c r="M405" i="6" s="1"/>
  <c r="T405" i="6" s="1"/>
  <c r="R406" i="6" s="1"/>
  <c r="AB320" i="6"/>
  <c r="AA320" i="6"/>
  <c r="AJ493" i="6"/>
  <c r="K493" i="6" s="1"/>
  <c r="M493" i="6" s="1"/>
  <c r="T493" i="6" s="1"/>
  <c r="R494" i="6" s="1"/>
  <c r="K406" i="6"/>
  <c r="M406" i="6" s="1"/>
  <c r="T406" i="6" s="1"/>
  <c r="R407" i="6" s="1"/>
  <c r="AB321" i="6"/>
  <c r="AA321" i="6"/>
  <c r="AJ494" i="6"/>
  <c r="K494" i="6" s="1"/>
  <c r="M494" i="6" s="1"/>
  <c r="T494" i="6" s="1"/>
  <c r="R495" i="6" s="1"/>
  <c r="K407" i="6"/>
  <c r="M407" i="6" s="1"/>
  <c r="T407" i="6" s="1"/>
  <c r="R408" i="6" s="1"/>
  <c r="AJ495" i="6"/>
  <c r="K495" i="6" s="1"/>
  <c r="M495" i="6" s="1"/>
  <c r="T495" i="6" s="1"/>
  <c r="R496" i="6" s="1"/>
  <c r="AB496" i="6" s="1"/>
  <c r="K408" i="6"/>
  <c r="M408" i="6" s="1"/>
  <c r="T408" i="6" s="1"/>
  <c r="R409" i="6" s="1"/>
  <c r="AB409" i="6" s="1"/>
  <c r="AJ496" i="6"/>
  <c r="K496" i="6" s="1"/>
  <c r="M496" i="6" s="1"/>
  <c r="K409" i="6"/>
  <c r="M409" i="6" s="1"/>
  <c r="T409" i="6" s="1"/>
  <c r="AJ497" i="6"/>
  <c r="K497" i="6" s="1"/>
  <c r="M497" i="6" s="1"/>
  <c r="K410" i="6"/>
  <c r="M410" i="6" s="1"/>
  <c r="AJ498" i="6"/>
  <c r="K498" i="6" s="1"/>
  <c r="M498" i="6" s="1"/>
  <c r="K411" i="6"/>
  <c r="M411" i="6" s="1"/>
  <c r="AJ499" i="6"/>
  <c r="K499" i="6" s="1"/>
  <c r="M499" i="6" s="1"/>
  <c r="K412" i="6"/>
  <c r="M412" i="6" s="1"/>
  <c r="AJ500" i="6"/>
  <c r="K500" i="6" s="1"/>
  <c r="M500" i="6" s="1"/>
  <c r="K413" i="6"/>
  <c r="M413" i="6" s="1"/>
  <c r="AJ501" i="6"/>
  <c r="K501" i="6" s="1"/>
  <c r="M501" i="6" s="1"/>
  <c r="K414" i="6"/>
  <c r="M414" i="6" s="1"/>
  <c r="AJ502" i="6"/>
  <c r="K502" i="6" s="1"/>
  <c r="M502" i="6" s="1"/>
  <c r="K415" i="6"/>
  <c r="M415" i="6" s="1"/>
  <c r="AJ503" i="6"/>
  <c r="K503" i="6" s="1"/>
  <c r="M503" i="6" s="1"/>
  <c r="K416" i="6"/>
  <c r="M416" i="6" s="1"/>
  <c r="AJ504" i="6"/>
  <c r="K504" i="6" s="1"/>
  <c r="M504" i="6" s="1"/>
  <c r="K417" i="6"/>
  <c r="M417" i="6" s="1"/>
  <c r="AJ505" i="6"/>
  <c r="K505" i="6" s="1"/>
  <c r="M505" i="6" s="1"/>
  <c r="K418" i="6"/>
  <c r="M418" i="6" s="1"/>
  <c r="AJ506" i="6"/>
  <c r="K506" i="6" s="1"/>
  <c r="M506" i="6" s="1"/>
  <c r="K419" i="6"/>
  <c r="M419" i="6" s="1"/>
  <c r="AJ507" i="6"/>
  <c r="K507" i="6" s="1"/>
  <c r="M507" i="6" s="1"/>
  <c r="K420" i="6"/>
  <c r="M420" i="6" s="1"/>
  <c r="AJ508" i="6"/>
  <c r="K508" i="6" s="1"/>
  <c r="M508" i="6" s="1"/>
  <c r="K421" i="6"/>
  <c r="M421" i="6" s="1"/>
  <c r="AJ509" i="6"/>
  <c r="K509" i="6" s="1"/>
  <c r="M509" i="6" s="1"/>
  <c r="K422" i="6"/>
  <c r="M422" i="6" s="1"/>
  <c r="AJ510" i="6"/>
  <c r="K510" i="6" s="1"/>
  <c r="M510" i="6" s="1"/>
  <c r="K423" i="6"/>
  <c r="M423" i="6" s="1"/>
  <c r="AJ511" i="6"/>
  <c r="K511" i="6" s="1"/>
  <c r="M511" i="6" s="1"/>
  <c r="K424" i="6"/>
  <c r="M424" i="6" s="1"/>
  <c r="AJ512" i="6"/>
  <c r="K512" i="6" s="1"/>
  <c r="M512" i="6" s="1"/>
  <c r="K425" i="6"/>
  <c r="M425" i="6" s="1"/>
  <c r="AJ513" i="6"/>
  <c r="K513" i="6" s="1"/>
  <c r="M513" i="6" s="1"/>
  <c r="K426" i="6"/>
  <c r="M426" i="6" s="1"/>
  <c r="AJ514" i="6"/>
  <c r="K514" i="6" s="1"/>
  <c r="M514" i="6" s="1"/>
  <c r="K427" i="6"/>
  <c r="M427" i="6" s="1"/>
  <c r="AJ515" i="6"/>
  <c r="K515" i="6" s="1"/>
  <c r="M515" i="6" s="1"/>
  <c r="K428" i="6"/>
  <c r="M428" i="6" s="1"/>
  <c r="AJ516" i="6"/>
  <c r="K516" i="6" s="1"/>
  <c r="M516" i="6" s="1"/>
  <c r="K429" i="6"/>
  <c r="M429" i="6" s="1"/>
  <c r="AJ517" i="6"/>
  <c r="K517" i="6" s="1"/>
  <c r="M517" i="6" s="1"/>
  <c r="K430" i="6"/>
  <c r="M430" i="6" s="1"/>
  <c r="AJ518" i="6"/>
  <c r="K518" i="6" s="1"/>
  <c r="M518" i="6" s="1"/>
  <c r="K431" i="6"/>
  <c r="M431" i="6" s="1"/>
  <c r="O497" i="6"/>
  <c r="U496" i="6"/>
  <c r="T496" i="6"/>
  <c r="O410" i="6"/>
  <c r="U409" i="6"/>
  <c r="O323" i="6"/>
  <c r="U322" i="6"/>
  <c r="T322" i="6"/>
  <c r="AE234" i="6"/>
  <c r="O236" i="6"/>
  <c r="U235" i="6"/>
  <c r="T235" i="6"/>
  <c r="AE147" i="6"/>
  <c r="O149" i="6"/>
  <c r="U148" i="6"/>
  <c r="T148" i="6"/>
  <c r="R70" i="6" l="1"/>
  <c r="AA69" i="6"/>
  <c r="AC69" i="6" s="1"/>
  <c r="S70" i="6"/>
  <c r="AD69" i="6"/>
  <c r="W70" i="6"/>
  <c r="V70" i="6"/>
  <c r="P70" i="6"/>
  <c r="Y70" i="6" s="1"/>
  <c r="X70" i="6"/>
  <c r="AC320" i="6"/>
  <c r="AE320" i="6" s="1"/>
  <c r="AC319" i="6"/>
  <c r="AE319" i="6" s="1"/>
  <c r="AC318" i="6"/>
  <c r="AE318" i="6" s="1"/>
  <c r="AC317" i="6"/>
  <c r="AE317" i="6" s="1"/>
  <c r="AC316" i="6"/>
  <c r="AE316" i="6" s="1"/>
  <c r="AC315" i="6"/>
  <c r="AE315" i="6" s="1"/>
  <c r="AC314" i="6"/>
  <c r="AE314" i="6" s="1"/>
  <c r="AC313" i="6"/>
  <c r="AE313" i="6" s="1"/>
  <c r="AC312" i="6"/>
  <c r="AE312" i="6" s="1"/>
  <c r="AC311" i="6"/>
  <c r="AE311" i="6" s="1"/>
  <c r="AC310" i="6"/>
  <c r="AE310" i="6" s="1"/>
  <c r="AC309" i="6"/>
  <c r="AE309" i="6" s="1"/>
  <c r="AC321" i="6"/>
  <c r="AE321" i="6" s="1"/>
  <c r="AC308" i="6"/>
  <c r="AE308" i="6" s="1"/>
  <c r="AC307" i="6"/>
  <c r="AE307" i="6" s="1"/>
  <c r="AC306" i="6"/>
  <c r="AE306" i="6" s="1"/>
  <c r="AC305" i="6"/>
  <c r="AE305" i="6" s="1"/>
  <c r="AC304" i="6"/>
  <c r="AE304" i="6" s="1"/>
  <c r="AC303" i="6"/>
  <c r="AE303" i="6" s="1"/>
  <c r="AC302" i="6"/>
  <c r="AE302" i="6" s="1"/>
  <c r="AC301" i="6"/>
  <c r="AE301" i="6" s="1"/>
  <c r="AC300" i="6"/>
  <c r="AE300" i="6" s="1"/>
  <c r="AC299" i="6"/>
  <c r="AE299" i="6" s="1"/>
  <c r="AC298" i="6"/>
  <c r="AE298" i="6" s="1"/>
  <c r="AC297" i="6"/>
  <c r="AE297" i="6" s="1"/>
  <c r="AC296" i="6"/>
  <c r="AE296" i="6" s="1"/>
  <c r="AC295" i="6"/>
  <c r="AE295" i="6" s="1"/>
  <c r="AC294" i="6"/>
  <c r="AE294" i="6" s="1"/>
  <c r="AC293" i="6"/>
  <c r="AE293" i="6" s="1"/>
  <c r="AC292" i="6"/>
  <c r="AE292" i="6" s="1"/>
  <c r="AC291" i="6"/>
  <c r="AE291" i="6" s="1"/>
  <c r="AC290" i="6"/>
  <c r="AE290" i="6" s="1"/>
  <c r="AC289" i="6"/>
  <c r="AE289" i="6" s="1"/>
  <c r="AC288" i="6"/>
  <c r="AE288" i="6" s="1"/>
  <c r="AC287" i="6"/>
  <c r="AE287" i="6" s="1"/>
  <c r="AC286" i="6"/>
  <c r="AE286" i="6" s="1"/>
  <c r="AC285" i="6"/>
  <c r="AE285" i="6" s="1"/>
  <c r="AC284" i="6"/>
  <c r="AE284" i="6" s="1"/>
  <c r="AC283" i="6"/>
  <c r="AE283" i="6" s="1"/>
  <c r="AC282" i="6"/>
  <c r="AE282" i="6" s="1"/>
  <c r="AC281" i="6"/>
  <c r="AE281" i="6" s="1"/>
  <c r="AC280" i="6"/>
  <c r="AE280" i="6" s="1"/>
  <c r="AC279" i="6"/>
  <c r="AE279" i="6" s="1"/>
  <c r="AC278" i="6"/>
  <c r="AE278" i="6" s="1"/>
  <c r="AC277" i="6"/>
  <c r="AE277" i="6" s="1"/>
  <c r="AC276" i="6"/>
  <c r="AE276" i="6" s="1"/>
  <c r="AC275" i="6"/>
  <c r="AE275" i="6" s="1"/>
  <c r="AC274" i="6"/>
  <c r="AE274" i="6" s="1"/>
  <c r="AC273" i="6"/>
  <c r="AE273" i="6" s="1"/>
  <c r="AC272" i="6"/>
  <c r="AE272" i="6" s="1"/>
  <c r="AC184" i="6"/>
  <c r="AE184" i="6" s="1"/>
  <c r="AB408" i="6"/>
  <c r="AA408" i="6"/>
  <c r="AB495" i="6"/>
  <c r="AA495" i="6"/>
  <c r="AB407" i="6"/>
  <c r="AA407" i="6"/>
  <c r="AB494" i="6"/>
  <c r="AA494" i="6"/>
  <c r="AB406" i="6"/>
  <c r="AA406" i="6"/>
  <c r="AB493" i="6"/>
  <c r="AA493" i="6"/>
  <c r="AB405" i="6"/>
  <c r="AA405" i="6"/>
  <c r="AB492" i="6"/>
  <c r="AA492" i="6"/>
  <c r="AB404" i="6"/>
  <c r="AA404" i="6"/>
  <c r="AB491" i="6"/>
  <c r="AA491" i="6"/>
  <c r="AB403" i="6"/>
  <c r="AA403" i="6"/>
  <c r="AB490" i="6"/>
  <c r="AA490" i="6"/>
  <c r="AB402" i="6"/>
  <c r="AA402" i="6"/>
  <c r="AB489" i="6"/>
  <c r="AA489" i="6"/>
  <c r="AB401" i="6"/>
  <c r="AA401" i="6"/>
  <c r="AB488" i="6"/>
  <c r="AA488" i="6"/>
  <c r="AB400" i="6"/>
  <c r="AA400" i="6"/>
  <c r="AB487" i="6"/>
  <c r="AA487" i="6"/>
  <c r="AB399" i="6"/>
  <c r="AA399" i="6"/>
  <c r="AB486" i="6"/>
  <c r="AA486" i="6"/>
  <c r="AB398" i="6"/>
  <c r="AA398" i="6"/>
  <c r="AB485" i="6"/>
  <c r="AA485" i="6"/>
  <c r="AB397" i="6"/>
  <c r="AA397" i="6"/>
  <c r="AB484" i="6"/>
  <c r="AA484" i="6"/>
  <c r="AB396" i="6"/>
  <c r="AA396" i="6"/>
  <c r="AB483" i="6"/>
  <c r="AA483" i="6"/>
  <c r="AB395" i="6"/>
  <c r="AA395" i="6"/>
  <c r="AB482" i="6"/>
  <c r="AA482" i="6"/>
  <c r="AB394" i="6"/>
  <c r="AA394" i="6"/>
  <c r="AB481" i="6"/>
  <c r="AA481" i="6"/>
  <c r="AB393" i="6"/>
  <c r="AA393" i="6"/>
  <c r="AB480" i="6"/>
  <c r="AA480" i="6"/>
  <c r="AB392" i="6"/>
  <c r="AA392" i="6"/>
  <c r="AB479" i="6"/>
  <c r="AA479" i="6"/>
  <c r="AB391" i="6"/>
  <c r="AA391" i="6"/>
  <c r="AB478" i="6"/>
  <c r="AA478" i="6"/>
  <c r="AB390" i="6"/>
  <c r="AA390" i="6"/>
  <c r="AB477" i="6"/>
  <c r="AA477" i="6"/>
  <c r="AB389" i="6"/>
  <c r="AA389" i="6"/>
  <c r="AB476" i="6"/>
  <c r="AA476" i="6"/>
  <c r="AB388" i="6"/>
  <c r="AA388" i="6"/>
  <c r="AB475" i="6"/>
  <c r="AA475" i="6"/>
  <c r="AB387" i="6"/>
  <c r="AA387" i="6"/>
  <c r="AB474" i="6"/>
  <c r="AA474" i="6"/>
  <c r="AB386" i="6"/>
  <c r="AA386" i="6"/>
  <c r="AB473" i="6"/>
  <c r="AA473" i="6"/>
  <c r="AB385" i="6"/>
  <c r="AA385" i="6"/>
  <c r="AB472" i="6"/>
  <c r="AA472" i="6"/>
  <c r="AB384" i="6"/>
  <c r="AA384" i="6"/>
  <c r="AB471" i="6"/>
  <c r="AA471" i="6"/>
  <c r="AB383" i="6"/>
  <c r="AA383" i="6"/>
  <c r="AB470" i="6"/>
  <c r="AA470" i="6"/>
  <c r="AB382" i="6"/>
  <c r="AA382" i="6"/>
  <c r="AB469" i="6"/>
  <c r="AA469" i="6"/>
  <c r="AB381" i="6"/>
  <c r="AA381" i="6"/>
  <c r="AB468" i="6"/>
  <c r="AA468" i="6"/>
  <c r="AB380" i="6"/>
  <c r="AA380" i="6"/>
  <c r="AB467" i="6"/>
  <c r="AA467" i="6"/>
  <c r="AB379" i="6"/>
  <c r="AA379" i="6"/>
  <c r="AB466" i="6"/>
  <c r="AA466" i="6"/>
  <c r="AB378" i="6"/>
  <c r="AA378" i="6"/>
  <c r="AB465" i="6"/>
  <c r="AA465" i="6"/>
  <c r="AB377" i="6"/>
  <c r="AA377" i="6"/>
  <c r="AB464" i="6"/>
  <c r="AA464" i="6"/>
  <c r="AB376" i="6"/>
  <c r="AA376" i="6"/>
  <c r="AB463" i="6"/>
  <c r="AA463" i="6"/>
  <c r="AB375" i="6"/>
  <c r="AA375" i="6"/>
  <c r="AB462" i="6"/>
  <c r="AA462" i="6"/>
  <c r="AB374" i="6"/>
  <c r="AA374" i="6"/>
  <c r="AB461" i="6"/>
  <c r="AA461" i="6"/>
  <c r="AB373" i="6"/>
  <c r="AA373" i="6"/>
  <c r="AB460" i="6"/>
  <c r="AA460" i="6"/>
  <c r="AB372" i="6"/>
  <c r="AA372" i="6"/>
  <c r="AB459" i="6"/>
  <c r="AA459" i="6"/>
  <c r="AB371" i="6"/>
  <c r="AA371" i="6"/>
  <c r="AB458" i="6"/>
  <c r="AA458" i="6"/>
  <c r="AB370" i="6"/>
  <c r="AA370" i="6"/>
  <c r="AB457" i="6"/>
  <c r="AA457" i="6"/>
  <c r="AB369" i="6"/>
  <c r="AA369" i="6"/>
  <c r="AB456" i="6"/>
  <c r="AA456" i="6"/>
  <c r="AB368" i="6"/>
  <c r="AA368" i="6"/>
  <c r="AB455" i="6"/>
  <c r="AA455" i="6"/>
  <c r="AB367" i="6"/>
  <c r="AA367" i="6"/>
  <c r="AB454" i="6"/>
  <c r="AA454" i="6"/>
  <c r="AB366" i="6"/>
  <c r="AA366" i="6"/>
  <c r="AB453" i="6"/>
  <c r="AA453" i="6"/>
  <c r="AB365" i="6"/>
  <c r="AA365" i="6"/>
  <c r="AB452" i="6"/>
  <c r="AA452" i="6"/>
  <c r="AB364" i="6"/>
  <c r="AA364" i="6"/>
  <c r="AB451" i="6"/>
  <c r="AA451" i="6"/>
  <c r="AB363" i="6"/>
  <c r="AA363" i="6"/>
  <c r="AB450" i="6"/>
  <c r="AA450" i="6"/>
  <c r="AB362" i="6"/>
  <c r="AA362" i="6"/>
  <c r="AB449" i="6"/>
  <c r="AA449" i="6"/>
  <c r="AB361" i="6"/>
  <c r="AA361" i="6"/>
  <c r="AB448" i="6"/>
  <c r="AA448" i="6"/>
  <c r="AB360" i="6"/>
  <c r="AA360" i="6"/>
  <c r="AB447" i="6"/>
  <c r="AA447" i="6"/>
  <c r="AB359" i="6"/>
  <c r="AA359" i="6"/>
  <c r="AB446" i="6"/>
  <c r="AA446" i="6"/>
  <c r="R358" i="6"/>
  <c r="AA357" i="6"/>
  <c r="AC357" i="6" s="1"/>
  <c r="AE357" i="6" s="1"/>
  <c r="R445" i="6"/>
  <c r="AA444" i="6"/>
  <c r="AC444" i="6" s="1"/>
  <c r="AE444" i="6" s="1"/>
  <c r="AB271" i="6"/>
  <c r="AA271" i="6"/>
  <c r="R497" i="6"/>
  <c r="AA496" i="6"/>
  <c r="S497" i="6"/>
  <c r="AD496" i="6"/>
  <c r="X497" i="6"/>
  <c r="W497" i="6"/>
  <c r="V497" i="6"/>
  <c r="P497" i="6"/>
  <c r="R410" i="6"/>
  <c r="AA409" i="6"/>
  <c r="S410" i="6"/>
  <c r="AD409" i="6"/>
  <c r="X410" i="6"/>
  <c r="W410" i="6"/>
  <c r="V410" i="6"/>
  <c r="P410" i="6"/>
  <c r="R323" i="6"/>
  <c r="AA322" i="6"/>
  <c r="S323" i="6"/>
  <c r="AD322" i="6"/>
  <c r="X323" i="6"/>
  <c r="W323" i="6"/>
  <c r="V323" i="6"/>
  <c r="P323" i="6"/>
  <c r="R236" i="6"/>
  <c r="AA235" i="6"/>
  <c r="S236" i="6"/>
  <c r="AD235" i="6"/>
  <c r="X236" i="6"/>
  <c r="W236" i="6"/>
  <c r="V236" i="6"/>
  <c r="P236" i="6"/>
  <c r="R149" i="6"/>
  <c r="AA148" i="6"/>
  <c r="S149" i="6"/>
  <c r="AD148" i="6"/>
  <c r="X149" i="6"/>
  <c r="W149" i="6"/>
  <c r="V149" i="6"/>
  <c r="P149" i="6"/>
  <c r="Z70" i="6" l="1"/>
  <c r="AE69" i="6"/>
  <c r="AC359" i="6"/>
  <c r="AE359" i="6" s="1"/>
  <c r="AC360" i="6"/>
  <c r="AE360" i="6" s="1"/>
  <c r="AC361" i="6"/>
  <c r="AE361" i="6" s="1"/>
  <c r="AC362" i="6"/>
  <c r="AE362" i="6" s="1"/>
  <c r="AC363" i="6"/>
  <c r="AE363" i="6" s="1"/>
  <c r="AC364" i="6"/>
  <c r="AE364" i="6" s="1"/>
  <c r="AC365" i="6"/>
  <c r="AE365" i="6" s="1"/>
  <c r="AC366" i="6"/>
  <c r="AE366" i="6" s="1"/>
  <c r="AC367" i="6"/>
  <c r="AE367" i="6" s="1"/>
  <c r="AC368" i="6"/>
  <c r="AE368" i="6" s="1"/>
  <c r="AC369" i="6"/>
  <c r="AE369" i="6" s="1"/>
  <c r="AC370" i="6"/>
  <c r="AE370" i="6" s="1"/>
  <c r="AC371" i="6"/>
  <c r="AE371" i="6" s="1"/>
  <c r="AC372" i="6"/>
  <c r="AE372" i="6" s="1"/>
  <c r="AC373" i="6"/>
  <c r="AE373" i="6" s="1"/>
  <c r="AC374" i="6"/>
  <c r="AE374" i="6" s="1"/>
  <c r="AC375" i="6"/>
  <c r="AE375" i="6" s="1"/>
  <c r="AC376" i="6"/>
  <c r="AE376" i="6" s="1"/>
  <c r="AC377" i="6"/>
  <c r="AE377" i="6" s="1"/>
  <c r="AC378" i="6"/>
  <c r="AE378" i="6" s="1"/>
  <c r="AC379" i="6"/>
  <c r="AE379" i="6" s="1"/>
  <c r="AC380" i="6"/>
  <c r="AE380" i="6" s="1"/>
  <c r="AC381" i="6"/>
  <c r="AE381" i="6" s="1"/>
  <c r="AC382" i="6"/>
  <c r="AE382" i="6" s="1"/>
  <c r="AC383" i="6"/>
  <c r="AE383" i="6" s="1"/>
  <c r="AC384" i="6"/>
  <c r="AE384" i="6" s="1"/>
  <c r="AC385" i="6"/>
  <c r="AE385" i="6" s="1"/>
  <c r="AC386" i="6"/>
  <c r="AE386" i="6" s="1"/>
  <c r="AC387" i="6"/>
  <c r="AE387" i="6" s="1"/>
  <c r="AC388" i="6"/>
  <c r="AE388" i="6" s="1"/>
  <c r="AC389" i="6"/>
  <c r="AE389" i="6" s="1"/>
  <c r="AC390" i="6"/>
  <c r="AE390" i="6" s="1"/>
  <c r="AC391" i="6"/>
  <c r="AE391" i="6" s="1"/>
  <c r="AC392" i="6"/>
  <c r="AE392" i="6" s="1"/>
  <c r="AC393" i="6"/>
  <c r="AE393" i="6" s="1"/>
  <c r="AC394" i="6"/>
  <c r="AE394" i="6" s="1"/>
  <c r="AC395" i="6"/>
  <c r="AE395" i="6" s="1"/>
  <c r="AC396" i="6"/>
  <c r="AE396" i="6" s="1"/>
  <c r="AC397" i="6"/>
  <c r="AE397" i="6" s="1"/>
  <c r="AC398" i="6"/>
  <c r="AE398" i="6" s="1"/>
  <c r="AC399" i="6"/>
  <c r="AE399" i="6" s="1"/>
  <c r="AC400" i="6"/>
  <c r="AE400" i="6" s="1"/>
  <c r="AC401" i="6"/>
  <c r="AE401" i="6" s="1"/>
  <c r="AC402" i="6"/>
  <c r="AE402" i="6" s="1"/>
  <c r="AC403" i="6"/>
  <c r="AE403" i="6" s="1"/>
  <c r="AC404" i="6"/>
  <c r="AE404" i="6" s="1"/>
  <c r="AC405" i="6"/>
  <c r="AE405" i="6" s="1"/>
  <c r="AC406" i="6"/>
  <c r="AE406" i="6" s="1"/>
  <c r="AC407" i="6"/>
  <c r="AE407" i="6" s="1"/>
  <c r="AC408" i="6"/>
  <c r="AE408" i="6" s="1"/>
  <c r="Q70" i="6"/>
  <c r="AB70" i="6"/>
  <c r="AC461" i="6"/>
  <c r="AE461" i="6" s="1"/>
  <c r="AC462" i="6"/>
  <c r="AE462" i="6" s="1"/>
  <c r="AC463" i="6"/>
  <c r="AE463" i="6" s="1"/>
  <c r="AC464" i="6"/>
  <c r="AE464" i="6" s="1"/>
  <c r="AC465" i="6"/>
  <c r="AE465" i="6" s="1"/>
  <c r="AC466" i="6"/>
  <c r="AE466" i="6" s="1"/>
  <c r="AC467" i="6"/>
  <c r="AE467" i="6" s="1"/>
  <c r="AC468" i="6"/>
  <c r="AE468" i="6" s="1"/>
  <c r="AC469" i="6"/>
  <c r="AE469" i="6" s="1"/>
  <c r="AC470" i="6"/>
  <c r="AE470" i="6" s="1"/>
  <c r="AC471" i="6"/>
  <c r="AE471" i="6" s="1"/>
  <c r="AC472" i="6"/>
  <c r="AE472" i="6" s="1"/>
  <c r="AC473" i="6"/>
  <c r="AE473" i="6" s="1"/>
  <c r="AC474" i="6"/>
  <c r="AE474" i="6" s="1"/>
  <c r="AC475" i="6"/>
  <c r="AE475" i="6" s="1"/>
  <c r="AC476" i="6"/>
  <c r="AE476" i="6" s="1"/>
  <c r="AC477" i="6"/>
  <c r="AE477" i="6" s="1"/>
  <c r="AC478" i="6"/>
  <c r="AE478" i="6" s="1"/>
  <c r="AC479" i="6"/>
  <c r="AE479" i="6" s="1"/>
  <c r="AC480" i="6"/>
  <c r="AE480" i="6" s="1"/>
  <c r="AC481" i="6"/>
  <c r="AE481" i="6" s="1"/>
  <c r="AC482" i="6"/>
  <c r="AE482" i="6" s="1"/>
  <c r="AC483" i="6"/>
  <c r="AE483" i="6" s="1"/>
  <c r="AC484" i="6"/>
  <c r="AE484" i="6" s="1"/>
  <c r="AC485" i="6"/>
  <c r="AE485" i="6" s="1"/>
  <c r="AC486" i="6"/>
  <c r="AE486" i="6" s="1"/>
  <c r="AC487" i="6"/>
  <c r="AE487" i="6" s="1"/>
  <c r="AC488" i="6"/>
  <c r="AE488" i="6" s="1"/>
  <c r="AC489" i="6"/>
  <c r="AE489" i="6" s="1"/>
  <c r="AC490" i="6"/>
  <c r="AE490" i="6" s="1"/>
  <c r="AC491" i="6"/>
  <c r="AE491" i="6" s="1"/>
  <c r="AC492" i="6"/>
  <c r="AE492" i="6" s="1"/>
  <c r="AC493" i="6"/>
  <c r="AE493" i="6" s="1"/>
  <c r="AC494" i="6"/>
  <c r="AE494" i="6" s="1"/>
  <c r="AC495" i="6"/>
  <c r="AE495" i="6" s="1"/>
  <c r="AC446" i="6"/>
  <c r="AE446" i="6" s="1"/>
  <c r="AC447" i="6"/>
  <c r="AE447" i="6" s="1"/>
  <c r="AC448" i="6"/>
  <c r="AE448" i="6" s="1"/>
  <c r="AC449" i="6"/>
  <c r="AE449" i="6" s="1"/>
  <c r="AC450" i="6"/>
  <c r="AE450" i="6" s="1"/>
  <c r="AC451" i="6"/>
  <c r="AE451" i="6" s="1"/>
  <c r="AC452" i="6"/>
  <c r="AE452" i="6" s="1"/>
  <c r="AC453" i="6"/>
  <c r="AE453" i="6" s="1"/>
  <c r="AC454" i="6"/>
  <c r="AE454" i="6" s="1"/>
  <c r="AC455" i="6"/>
  <c r="AE455" i="6" s="1"/>
  <c r="AC456" i="6"/>
  <c r="AE456" i="6" s="1"/>
  <c r="AC457" i="6"/>
  <c r="AE457" i="6" s="1"/>
  <c r="AC458" i="6"/>
  <c r="AE458" i="6" s="1"/>
  <c r="AC459" i="6"/>
  <c r="AE459" i="6" s="1"/>
  <c r="AC460" i="6"/>
  <c r="AE460" i="6" s="1"/>
  <c r="AC271" i="6"/>
  <c r="AE271" i="6" s="1"/>
  <c r="AB445" i="6"/>
  <c r="AA445" i="6"/>
  <c r="AB358" i="6"/>
  <c r="AA358" i="6"/>
  <c r="Y497" i="6"/>
  <c r="Z497" i="6" s="1"/>
  <c r="Q497" i="6"/>
  <c r="AC496" i="6"/>
  <c r="AB497" i="6"/>
  <c r="Y410" i="6"/>
  <c r="Z410" i="6" s="1"/>
  <c r="Q410" i="6"/>
  <c r="AC409" i="6"/>
  <c r="AB410" i="6"/>
  <c r="Y323" i="6"/>
  <c r="Z323" i="6" s="1"/>
  <c r="Q323" i="6"/>
  <c r="AC322" i="6"/>
  <c r="AB323" i="6"/>
  <c r="Y236" i="6"/>
  <c r="Z236" i="6" s="1"/>
  <c r="Q236" i="6"/>
  <c r="AC235" i="6"/>
  <c r="AB236" i="6"/>
  <c r="Y149" i="6"/>
  <c r="Z149" i="6" s="1"/>
  <c r="Q149" i="6"/>
  <c r="AC148" i="6"/>
  <c r="AB149" i="6"/>
  <c r="O71" i="6" l="1"/>
  <c r="U70" i="6"/>
  <c r="T70" i="6"/>
  <c r="AC445" i="6"/>
  <c r="AE445" i="6" s="1"/>
  <c r="AC358" i="6"/>
  <c r="AE358" i="6" s="1"/>
  <c r="AE496" i="6"/>
  <c r="O498" i="6"/>
  <c r="U497" i="6"/>
  <c r="T497" i="6"/>
  <c r="AE409" i="6"/>
  <c r="O411" i="6"/>
  <c r="U410" i="6"/>
  <c r="T410" i="6"/>
  <c r="AE322" i="6"/>
  <c r="O324" i="6"/>
  <c r="U323" i="6"/>
  <c r="T323" i="6"/>
  <c r="AE235" i="6"/>
  <c r="O237" i="6"/>
  <c r="U236" i="6"/>
  <c r="T236" i="6"/>
  <c r="AE148" i="6"/>
  <c r="O150" i="6"/>
  <c r="U149" i="6"/>
  <c r="T149" i="6"/>
  <c r="R71" i="6" l="1"/>
  <c r="AA70" i="6"/>
  <c r="AC70" i="6" s="1"/>
  <c r="S71" i="6"/>
  <c r="AD70" i="6"/>
  <c r="V71" i="6"/>
  <c r="P71" i="6"/>
  <c r="Y71" i="6" s="1"/>
  <c r="W71" i="6"/>
  <c r="X71" i="6"/>
  <c r="R498" i="6"/>
  <c r="AA497" i="6"/>
  <c r="S498" i="6"/>
  <c r="AD497" i="6"/>
  <c r="X498" i="6"/>
  <c r="W498" i="6"/>
  <c r="V498" i="6"/>
  <c r="P498" i="6"/>
  <c r="R411" i="6"/>
  <c r="AA410" i="6"/>
  <c r="S411" i="6"/>
  <c r="AD410" i="6"/>
  <c r="X411" i="6"/>
  <c r="W411" i="6"/>
  <c r="V411" i="6"/>
  <c r="P411" i="6"/>
  <c r="R324" i="6"/>
  <c r="AA323" i="6"/>
  <c r="S324" i="6"/>
  <c r="AD323" i="6"/>
  <c r="X324" i="6"/>
  <c r="W324" i="6"/>
  <c r="V324" i="6"/>
  <c r="P324" i="6"/>
  <c r="R237" i="6"/>
  <c r="AA236" i="6"/>
  <c r="S237" i="6"/>
  <c r="AD236" i="6"/>
  <c r="X237" i="6"/>
  <c r="W237" i="6"/>
  <c r="V237" i="6"/>
  <c r="P237" i="6"/>
  <c r="R150" i="6"/>
  <c r="AA149" i="6"/>
  <c r="S150" i="6"/>
  <c r="AD149" i="6"/>
  <c r="X150" i="6"/>
  <c r="W150" i="6"/>
  <c r="V150" i="6"/>
  <c r="P150" i="6"/>
  <c r="Q71" i="6" l="1"/>
  <c r="O72" i="6" s="1"/>
  <c r="AE70" i="6"/>
  <c r="Z71" i="6"/>
  <c r="AB71" i="6"/>
  <c r="Y498" i="6"/>
  <c r="Z498" i="6" s="1"/>
  <c r="Q498" i="6"/>
  <c r="AC497" i="6"/>
  <c r="AB498" i="6"/>
  <c r="Y411" i="6"/>
  <c r="Z411" i="6" s="1"/>
  <c r="Q411" i="6"/>
  <c r="AC410" i="6"/>
  <c r="AB411" i="6"/>
  <c r="Y324" i="6"/>
  <c r="Z324" i="6" s="1"/>
  <c r="Q324" i="6"/>
  <c r="AC323" i="6"/>
  <c r="AB324" i="6"/>
  <c r="Y237" i="6"/>
  <c r="Z237" i="6" s="1"/>
  <c r="Q237" i="6"/>
  <c r="AC236" i="6"/>
  <c r="AB237" i="6"/>
  <c r="Y150" i="6"/>
  <c r="Z150" i="6" s="1"/>
  <c r="Q150" i="6"/>
  <c r="AC149" i="6"/>
  <c r="AB150" i="6"/>
  <c r="T71" i="6" l="1"/>
  <c r="U71" i="6"/>
  <c r="S72" i="6" s="1"/>
  <c r="W72" i="6"/>
  <c r="X72" i="6"/>
  <c r="V72" i="6"/>
  <c r="P72" i="6"/>
  <c r="Y72" i="6" s="1"/>
  <c r="AE497" i="6"/>
  <c r="O499" i="6"/>
  <c r="U498" i="6"/>
  <c r="T498" i="6"/>
  <c r="AE410" i="6"/>
  <c r="O412" i="6"/>
  <c r="U411" i="6"/>
  <c r="T411" i="6"/>
  <c r="AE323" i="6"/>
  <c r="O325" i="6"/>
  <c r="U324" i="6"/>
  <c r="T324" i="6"/>
  <c r="AE236" i="6"/>
  <c r="O238" i="6"/>
  <c r="U237" i="6"/>
  <c r="T237" i="6"/>
  <c r="AE149" i="6"/>
  <c r="O151" i="6"/>
  <c r="U150" i="6"/>
  <c r="T150" i="6"/>
  <c r="Q72" i="6" l="1"/>
  <c r="U72" i="6" s="1"/>
  <c r="AD71" i="6"/>
  <c r="Z72" i="6"/>
  <c r="R72" i="6"/>
  <c r="AB72" i="6" s="1"/>
  <c r="AA71" i="6"/>
  <c r="AC71" i="6" s="1"/>
  <c r="T72" i="6"/>
  <c r="R499" i="6"/>
  <c r="AA498" i="6"/>
  <c r="S499" i="6"/>
  <c r="AD498" i="6"/>
  <c r="X499" i="6"/>
  <c r="W499" i="6"/>
  <c r="V499" i="6"/>
  <c r="P499" i="6"/>
  <c r="R412" i="6"/>
  <c r="AA411" i="6"/>
  <c r="S412" i="6"/>
  <c r="AD411" i="6"/>
  <c r="X412" i="6"/>
  <c r="W412" i="6"/>
  <c r="V412" i="6"/>
  <c r="P412" i="6"/>
  <c r="R325" i="6"/>
  <c r="AA324" i="6"/>
  <c r="S325" i="6"/>
  <c r="AD324" i="6"/>
  <c r="X325" i="6"/>
  <c r="W325" i="6"/>
  <c r="V325" i="6"/>
  <c r="P325" i="6"/>
  <c r="R238" i="6"/>
  <c r="AA237" i="6"/>
  <c r="S238" i="6"/>
  <c r="AD237" i="6"/>
  <c r="X238" i="6"/>
  <c r="W238" i="6"/>
  <c r="V238" i="6"/>
  <c r="P238" i="6"/>
  <c r="R151" i="6"/>
  <c r="AA150" i="6"/>
  <c r="S151" i="6"/>
  <c r="AD150" i="6"/>
  <c r="X151" i="6"/>
  <c r="W151" i="6"/>
  <c r="V151" i="6"/>
  <c r="P151" i="6"/>
  <c r="O73" i="6" l="1"/>
  <c r="X73" i="6" s="1"/>
  <c r="AE71" i="6"/>
  <c r="S73" i="6"/>
  <c r="AD72" i="6"/>
  <c r="R73" i="6"/>
  <c r="AA72" i="6"/>
  <c r="AC72" i="6" s="1"/>
  <c r="Y499" i="6"/>
  <c r="Z499" i="6" s="1"/>
  <c r="Q499" i="6"/>
  <c r="AC498" i="6"/>
  <c r="AB499" i="6"/>
  <c r="Y412" i="6"/>
  <c r="Z412" i="6" s="1"/>
  <c r="Q412" i="6"/>
  <c r="AC411" i="6"/>
  <c r="AB412" i="6"/>
  <c r="Y325" i="6"/>
  <c r="Z325" i="6" s="1"/>
  <c r="Q325" i="6"/>
  <c r="AC324" i="6"/>
  <c r="AB325" i="6"/>
  <c r="Y238" i="6"/>
  <c r="Z238" i="6" s="1"/>
  <c r="Q238" i="6"/>
  <c r="AC237" i="6"/>
  <c r="AB238" i="6"/>
  <c r="Y151" i="6"/>
  <c r="Z151" i="6" s="1"/>
  <c r="Q151" i="6"/>
  <c r="AC150" i="6"/>
  <c r="AB151" i="6"/>
  <c r="V73" i="6" l="1"/>
  <c r="AB73" i="6" s="1"/>
  <c r="W73" i="6"/>
  <c r="P73" i="6"/>
  <c r="Y73" i="6" s="1"/>
  <c r="Z73" i="6" s="1"/>
  <c r="AE72" i="6"/>
  <c r="AE498" i="6"/>
  <c r="O500" i="6"/>
  <c r="U499" i="6"/>
  <c r="T499" i="6"/>
  <c r="AE411" i="6"/>
  <c r="O413" i="6"/>
  <c r="U412" i="6"/>
  <c r="T412" i="6"/>
  <c r="AE324" i="6"/>
  <c r="O326" i="6"/>
  <c r="U325" i="6"/>
  <c r="T325" i="6"/>
  <c r="AE237" i="6"/>
  <c r="O239" i="6"/>
  <c r="U238" i="6"/>
  <c r="T238" i="6"/>
  <c r="AE150" i="6"/>
  <c r="O152" i="6"/>
  <c r="U151" i="6"/>
  <c r="T151" i="6"/>
  <c r="Q73" i="6" l="1"/>
  <c r="U73" i="6" s="1"/>
  <c r="S74" i="6" s="1"/>
  <c r="R500" i="6"/>
  <c r="AA499" i="6"/>
  <c r="S500" i="6"/>
  <c r="AD499" i="6"/>
  <c r="X500" i="6"/>
  <c r="W500" i="6"/>
  <c r="V500" i="6"/>
  <c r="P500" i="6"/>
  <c r="R413" i="6"/>
  <c r="AA412" i="6"/>
  <c r="S413" i="6"/>
  <c r="AD412" i="6"/>
  <c r="X413" i="6"/>
  <c r="W413" i="6"/>
  <c r="V413" i="6"/>
  <c r="P413" i="6"/>
  <c r="R326" i="6"/>
  <c r="AA325" i="6"/>
  <c r="S326" i="6"/>
  <c r="AD325" i="6"/>
  <c r="X326" i="6"/>
  <c r="W326" i="6"/>
  <c r="V326" i="6"/>
  <c r="P326" i="6"/>
  <c r="R239" i="6"/>
  <c r="AA238" i="6"/>
  <c r="S239" i="6"/>
  <c r="AD238" i="6"/>
  <c r="X239" i="6"/>
  <c r="W239" i="6"/>
  <c r="V239" i="6"/>
  <c r="P239" i="6"/>
  <c r="R152" i="6"/>
  <c r="AA151" i="6"/>
  <c r="S152" i="6"/>
  <c r="AD151" i="6"/>
  <c r="X152" i="6"/>
  <c r="W152" i="6"/>
  <c r="V152" i="6"/>
  <c r="P152" i="6"/>
  <c r="T73" i="6" l="1"/>
  <c r="AD73" i="6"/>
  <c r="O74" i="6"/>
  <c r="P74" i="6" s="1"/>
  <c r="Y74" i="6" s="1"/>
  <c r="R74" i="6"/>
  <c r="AA73" i="6"/>
  <c r="AC73" i="6" s="1"/>
  <c r="Y500" i="6"/>
  <c r="Z500" i="6" s="1"/>
  <c r="Q500" i="6"/>
  <c r="AC499" i="6"/>
  <c r="AB500" i="6"/>
  <c r="Y413" i="6"/>
  <c r="Z413" i="6" s="1"/>
  <c r="Q413" i="6"/>
  <c r="AC412" i="6"/>
  <c r="AB413" i="6"/>
  <c r="Y326" i="6"/>
  <c r="Z326" i="6" s="1"/>
  <c r="Q326" i="6"/>
  <c r="AC325" i="6"/>
  <c r="AB326" i="6"/>
  <c r="Y239" i="6"/>
  <c r="Z239" i="6" s="1"/>
  <c r="Q239" i="6"/>
  <c r="AC238" i="6"/>
  <c r="AB239" i="6"/>
  <c r="Y152" i="6"/>
  <c r="Z152" i="6" s="1"/>
  <c r="Q152" i="6"/>
  <c r="AC151" i="6"/>
  <c r="AB152" i="6"/>
  <c r="X74" i="6" l="1"/>
  <c r="W74" i="6"/>
  <c r="V74" i="6"/>
  <c r="AE73" i="6"/>
  <c r="Q74" i="6"/>
  <c r="U74" i="6" s="1"/>
  <c r="AE499" i="6"/>
  <c r="O501" i="6"/>
  <c r="U500" i="6"/>
  <c r="T500" i="6"/>
  <c r="AE412" i="6"/>
  <c r="O414" i="6"/>
  <c r="U413" i="6"/>
  <c r="T413" i="6"/>
  <c r="AE325" i="6"/>
  <c r="O327" i="6"/>
  <c r="U326" i="6"/>
  <c r="T326" i="6"/>
  <c r="AE238" i="6"/>
  <c r="O240" i="6"/>
  <c r="U239" i="6"/>
  <c r="T239" i="6"/>
  <c r="AE151" i="6"/>
  <c r="O153" i="6"/>
  <c r="U152" i="6"/>
  <c r="T152" i="6"/>
  <c r="Z74" i="6" l="1"/>
  <c r="T74" i="6"/>
  <c r="R75" i="6" s="1"/>
  <c r="AB74" i="6"/>
  <c r="O75" i="6"/>
  <c r="V75" i="6" s="1"/>
  <c r="S75" i="6"/>
  <c r="AD74" i="6"/>
  <c r="R501" i="6"/>
  <c r="AA500" i="6"/>
  <c r="S501" i="6"/>
  <c r="AD500" i="6"/>
  <c r="X501" i="6"/>
  <c r="W501" i="6"/>
  <c r="V501" i="6"/>
  <c r="P501" i="6"/>
  <c r="R414" i="6"/>
  <c r="AA413" i="6"/>
  <c r="S414" i="6"/>
  <c r="AD413" i="6"/>
  <c r="X414" i="6"/>
  <c r="W414" i="6"/>
  <c r="V414" i="6"/>
  <c r="P414" i="6"/>
  <c r="R327" i="6"/>
  <c r="AA326" i="6"/>
  <c r="S327" i="6"/>
  <c r="AD326" i="6"/>
  <c r="X327" i="6"/>
  <c r="W327" i="6"/>
  <c r="V327" i="6"/>
  <c r="P327" i="6"/>
  <c r="R240" i="6"/>
  <c r="AA239" i="6"/>
  <c r="S240" i="6"/>
  <c r="AD239" i="6"/>
  <c r="X240" i="6"/>
  <c r="W240" i="6"/>
  <c r="V240" i="6"/>
  <c r="P240" i="6"/>
  <c r="R153" i="6"/>
  <c r="AA152" i="6"/>
  <c r="S153" i="6"/>
  <c r="AD152" i="6"/>
  <c r="X153" i="6"/>
  <c r="W153" i="6"/>
  <c r="V153" i="6"/>
  <c r="P153" i="6"/>
  <c r="AA74" i="6" l="1"/>
  <c r="AC74" i="6"/>
  <c r="P75" i="6"/>
  <c r="Y75" i="6" s="1"/>
  <c r="W75" i="6"/>
  <c r="X75" i="6"/>
  <c r="AE74" i="6"/>
  <c r="AB75" i="6"/>
  <c r="Y501" i="6"/>
  <c r="Z501" i="6" s="1"/>
  <c r="Q501" i="6"/>
  <c r="AC500" i="6"/>
  <c r="AB501" i="6"/>
  <c r="Y414" i="6"/>
  <c r="Z414" i="6" s="1"/>
  <c r="Q414" i="6"/>
  <c r="AC413" i="6"/>
  <c r="AB414" i="6"/>
  <c r="Y327" i="6"/>
  <c r="Z327" i="6" s="1"/>
  <c r="Q327" i="6"/>
  <c r="AC326" i="6"/>
  <c r="AB327" i="6"/>
  <c r="Y240" i="6"/>
  <c r="Z240" i="6" s="1"/>
  <c r="Q240" i="6"/>
  <c r="AC239" i="6"/>
  <c r="AB240" i="6"/>
  <c r="Y153" i="6"/>
  <c r="Z153" i="6" s="1"/>
  <c r="Q153" i="6"/>
  <c r="AC152" i="6"/>
  <c r="AB153" i="6"/>
  <c r="Q75" i="6" l="1"/>
  <c r="Z75" i="6"/>
  <c r="O76" i="6"/>
  <c r="T75" i="6"/>
  <c r="U75" i="6"/>
  <c r="AE500" i="6"/>
  <c r="O502" i="6"/>
  <c r="U501" i="6"/>
  <c r="T501" i="6"/>
  <c r="AE413" i="6"/>
  <c r="O415" i="6"/>
  <c r="U414" i="6"/>
  <c r="T414" i="6"/>
  <c r="AE326" i="6"/>
  <c r="O328" i="6"/>
  <c r="U327" i="6"/>
  <c r="T327" i="6"/>
  <c r="AE239" i="6"/>
  <c r="O241" i="6"/>
  <c r="U240" i="6"/>
  <c r="T240" i="6"/>
  <c r="AE152" i="6"/>
  <c r="O154" i="6"/>
  <c r="U153" i="6"/>
  <c r="T153" i="6"/>
  <c r="S76" i="6" l="1"/>
  <c r="AD75" i="6"/>
  <c r="R76" i="6"/>
  <c r="AA75" i="6"/>
  <c r="AC75" i="6" s="1"/>
  <c r="V76" i="6"/>
  <c r="P76" i="6"/>
  <c r="Y76" i="6" s="1"/>
  <c r="X76" i="6"/>
  <c r="W76" i="6"/>
  <c r="R502" i="6"/>
  <c r="AA501" i="6"/>
  <c r="S502" i="6"/>
  <c r="AD501" i="6"/>
  <c r="X502" i="6"/>
  <c r="W502" i="6"/>
  <c r="V502" i="6"/>
  <c r="P502" i="6"/>
  <c r="R415" i="6"/>
  <c r="AA414" i="6"/>
  <c r="S415" i="6"/>
  <c r="AD414" i="6"/>
  <c r="X415" i="6"/>
  <c r="W415" i="6"/>
  <c r="V415" i="6"/>
  <c r="P415" i="6"/>
  <c r="R328" i="6"/>
  <c r="AA327" i="6"/>
  <c r="S328" i="6"/>
  <c r="AD327" i="6"/>
  <c r="X328" i="6"/>
  <c r="W328" i="6"/>
  <c r="V328" i="6"/>
  <c r="P328" i="6"/>
  <c r="R241" i="6"/>
  <c r="AA240" i="6"/>
  <c r="S241" i="6"/>
  <c r="AD240" i="6"/>
  <c r="X241" i="6"/>
  <c r="W241" i="6"/>
  <c r="V241" i="6"/>
  <c r="P241" i="6"/>
  <c r="R154" i="6"/>
  <c r="AA153" i="6"/>
  <c r="S154" i="6"/>
  <c r="AD153" i="6"/>
  <c r="X154" i="6"/>
  <c r="W154" i="6"/>
  <c r="V154" i="6"/>
  <c r="P154" i="6"/>
  <c r="AE75" i="6" l="1"/>
  <c r="AB76" i="6"/>
  <c r="Q76" i="6"/>
  <c r="Z76" i="6"/>
  <c r="Y502" i="6"/>
  <c r="Z502" i="6" s="1"/>
  <c r="Q502" i="6"/>
  <c r="AC501" i="6"/>
  <c r="AB502" i="6"/>
  <c r="Y415" i="6"/>
  <c r="Z415" i="6" s="1"/>
  <c r="Q415" i="6"/>
  <c r="AC414" i="6"/>
  <c r="AB415" i="6"/>
  <c r="Y328" i="6"/>
  <c r="Z328" i="6" s="1"/>
  <c r="Q328" i="6"/>
  <c r="AC327" i="6"/>
  <c r="AB328" i="6"/>
  <c r="Y241" i="6"/>
  <c r="Z241" i="6" s="1"/>
  <c r="Q241" i="6"/>
  <c r="AC240" i="6"/>
  <c r="AB241" i="6"/>
  <c r="Y154" i="6"/>
  <c r="Z154" i="6" s="1"/>
  <c r="Q154" i="6"/>
  <c r="AC153" i="6"/>
  <c r="AB154" i="6"/>
  <c r="O77" i="6" l="1"/>
  <c r="U76" i="6"/>
  <c r="T76" i="6"/>
  <c r="AE501" i="6"/>
  <c r="O503" i="6"/>
  <c r="U502" i="6"/>
  <c r="T502" i="6"/>
  <c r="AE414" i="6"/>
  <c r="O416" i="6"/>
  <c r="U415" i="6"/>
  <c r="T415" i="6"/>
  <c r="AE327" i="6"/>
  <c r="O329" i="6"/>
  <c r="U328" i="6"/>
  <c r="T328" i="6"/>
  <c r="AE240" i="6"/>
  <c r="O242" i="6"/>
  <c r="U241" i="6"/>
  <c r="T241" i="6"/>
  <c r="AE153" i="6"/>
  <c r="O155" i="6"/>
  <c r="U154" i="6"/>
  <c r="T154" i="6"/>
  <c r="R77" i="6" l="1"/>
  <c r="AA76" i="6"/>
  <c r="S77" i="6"/>
  <c r="AD76" i="6"/>
  <c r="W77" i="6"/>
  <c r="P77" i="6"/>
  <c r="Y77" i="6" s="1"/>
  <c r="X77" i="6"/>
  <c r="V77" i="6"/>
  <c r="R503" i="6"/>
  <c r="AA502" i="6"/>
  <c r="S503" i="6"/>
  <c r="AD502" i="6"/>
  <c r="X503" i="6"/>
  <c r="W503" i="6"/>
  <c r="V503" i="6"/>
  <c r="P503" i="6"/>
  <c r="R416" i="6"/>
  <c r="AA415" i="6"/>
  <c r="S416" i="6"/>
  <c r="AD415" i="6"/>
  <c r="X416" i="6"/>
  <c r="W416" i="6"/>
  <c r="V416" i="6"/>
  <c r="P416" i="6"/>
  <c r="R329" i="6"/>
  <c r="AA328" i="6"/>
  <c r="S329" i="6"/>
  <c r="AD328" i="6"/>
  <c r="X329" i="6"/>
  <c r="W329" i="6"/>
  <c r="V329" i="6"/>
  <c r="P329" i="6"/>
  <c r="R242" i="6"/>
  <c r="AA241" i="6"/>
  <c r="S242" i="6"/>
  <c r="AD241" i="6"/>
  <c r="X242" i="6"/>
  <c r="W242" i="6"/>
  <c r="V242" i="6"/>
  <c r="P242" i="6"/>
  <c r="R155" i="6"/>
  <c r="AA154" i="6"/>
  <c r="S155" i="6"/>
  <c r="AD154" i="6"/>
  <c r="X155" i="6"/>
  <c r="W155" i="6"/>
  <c r="V155" i="6"/>
  <c r="P155" i="6"/>
  <c r="Z77" i="6" l="1"/>
  <c r="AC76" i="6"/>
  <c r="Q77" i="6"/>
  <c r="AB77" i="6"/>
  <c r="Y503" i="6"/>
  <c r="Z503" i="6" s="1"/>
  <c r="Q503" i="6"/>
  <c r="AC502" i="6"/>
  <c r="AB503" i="6"/>
  <c r="Y416" i="6"/>
  <c r="Z416" i="6" s="1"/>
  <c r="Q416" i="6"/>
  <c r="AC415" i="6"/>
  <c r="AB416" i="6"/>
  <c r="Y329" i="6"/>
  <c r="Z329" i="6" s="1"/>
  <c r="Q329" i="6"/>
  <c r="AC328" i="6"/>
  <c r="AB329" i="6"/>
  <c r="Y242" i="6"/>
  <c r="Z242" i="6" s="1"/>
  <c r="Q242" i="6"/>
  <c r="AC241" i="6"/>
  <c r="AB242" i="6"/>
  <c r="Y155" i="6"/>
  <c r="Z155" i="6" s="1"/>
  <c r="Q155" i="6"/>
  <c r="AC154" i="6"/>
  <c r="AB155" i="6"/>
  <c r="O78" i="6" l="1"/>
  <c r="U77" i="6"/>
  <c r="T77" i="6"/>
  <c r="AE76" i="6"/>
  <c r="AE502" i="6"/>
  <c r="O504" i="6"/>
  <c r="U503" i="6"/>
  <c r="T503" i="6"/>
  <c r="AE415" i="6"/>
  <c r="O417" i="6"/>
  <c r="U416" i="6"/>
  <c r="T416" i="6"/>
  <c r="AE328" i="6"/>
  <c r="O330" i="6"/>
  <c r="U329" i="6"/>
  <c r="T329" i="6"/>
  <c r="AE241" i="6"/>
  <c r="O243" i="6"/>
  <c r="U242" i="6"/>
  <c r="T242" i="6"/>
  <c r="AE154" i="6"/>
  <c r="O156" i="6"/>
  <c r="U155" i="6"/>
  <c r="T155" i="6"/>
  <c r="V78" i="6" l="1"/>
  <c r="P78" i="6"/>
  <c r="Y78" i="6" s="1"/>
  <c r="X78" i="6"/>
  <c r="W78" i="6"/>
  <c r="R78" i="6"/>
  <c r="AA77" i="6"/>
  <c r="S78" i="6"/>
  <c r="AD77" i="6"/>
  <c r="R504" i="6"/>
  <c r="AA503" i="6"/>
  <c r="S504" i="6"/>
  <c r="AD503" i="6"/>
  <c r="X504" i="6"/>
  <c r="W504" i="6"/>
  <c r="V504" i="6"/>
  <c r="P504" i="6"/>
  <c r="R417" i="6"/>
  <c r="AA416" i="6"/>
  <c r="S417" i="6"/>
  <c r="AD416" i="6"/>
  <c r="X417" i="6"/>
  <c r="W417" i="6"/>
  <c r="V417" i="6"/>
  <c r="P417" i="6"/>
  <c r="R330" i="6"/>
  <c r="AA329" i="6"/>
  <c r="S330" i="6"/>
  <c r="AD329" i="6"/>
  <c r="X330" i="6"/>
  <c r="W330" i="6"/>
  <c r="V330" i="6"/>
  <c r="P330" i="6"/>
  <c r="R243" i="6"/>
  <c r="AA242" i="6"/>
  <c r="S243" i="6"/>
  <c r="AD242" i="6"/>
  <c r="X243" i="6"/>
  <c r="W243" i="6"/>
  <c r="V243" i="6"/>
  <c r="P243" i="6"/>
  <c r="R156" i="6"/>
  <c r="AA155" i="6"/>
  <c r="S156" i="6"/>
  <c r="AD155" i="6"/>
  <c r="X156" i="6"/>
  <c r="W156" i="6"/>
  <c r="V156" i="6"/>
  <c r="P156" i="6"/>
  <c r="AC77" i="6" l="1"/>
  <c r="AB78" i="6"/>
  <c r="Q78" i="6"/>
  <c r="Z78" i="6"/>
  <c r="Y504" i="6"/>
  <c r="Z504" i="6" s="1"/>
  <c r="Q504" i="6"/>
  <c r="AC503" i="6"/>
  <c r="AB504" i="6"/>
  <c r="Y417" i="6"/>
  <c r="Z417" i="6" s="1"/>
  <c r="Q417" i="6"/>
  <c r="AC416" i="6"/>
  <c r="AB417" i="6"/>
  <c r="Y330" i="6"/>
  <c r="Z330" i="6" s="1"/>
  <c r="Q330" i="6"/>
  <c r="AC329" i="6"/>
  <c r="AB330" i="6"/>
  <c r="Y243" i="6"/>
  <c r="Z243" i="6" s="1"/>
  <c r="Q243" i="6"/>
  <c r="AC242" i="6"/>
  <c r="AB243" i="6"/>
  <c r="Y156" i="6"/>
  <c r="Z156" i="6" s="1"/>
  <c r="Q156" i="6"/>
  <c r="AC155" i="6"/>
  <c r="AB156" i="6"/>
  <c r="AE77" i="6" l="1"/>
  <c r="O79" i="6"/>
  <c r="T78" i="6"/>
  <c r="U78" i="6"/>
  <c r="AE503" i="6"/>
  <c r="O505" i="6"/>
  <c r="U504" i="6"/>
  <c r="T504" i="6"/>
  <c r="AE416" i="6"/>
  <c r="O418" i="6"/>
  <c r="U417" i="6"/>
  <c r="T417" i="6"/>
  <c r="AE329" i="6"/>
  <c r="O331" i="6"/>
  <c r="U330" i="6"/>
  <c r="T330" i="6"/>
  <c r="AE242" i="6"/>
  <c r="O244" i="6"/>
  <c r="U243" i="6"/>
  <c r="T243" i="6"/>
  <c r="AE155" i="6"/>
  <c r="O157" i="6"/>
  <c r="U156" i="6"/>
  <c r="T156" i="6"/>
  <c r="S79" i="6" l="1"/>
  <c r="AD78" i="6"/>
  <c r="R79" i="6"/>
  <c r="AA78" i="6"/>
  <c r="P79" i="6"/>
  <c r="Y79" i="6" s="1"/>
  <c r="V79" i="6"/>
  <c r="X79" i="6"/>
  <c r="W79" i="6"/>
  <c r="Q79" i="6"/>
  <c r="R505" i="6"/>
  <c r="AA504" i="6"/>
  <c r="S505" i="6"/>
  <c r="AD504" i="6"/>
  <c r="X505" i="6"/>
  <c r="W505" i="6"/>
  <c r="V505" i="6"/>
  <c r="P505" i="6"/>
  <c r="R418" i="6"/>
  <c r="AA417" i="6"/>
  <c r="S418" i="6"/>
  <c r="AD417" i="6"/>
  <c r="X418" i="6"/>
  <c r="W418" i="6"/>
  <c r="V418" i="6"/>
  <c r="P418" i="6"/>
  <c r="R331" i="6"/>
  <c r="AA330" i="6"/>
  <c r="S331" i="6"/>
  <c r="AD330" i="6"/>
  <c r="X331" i="6"/>
  <c r="W331" i="6"/>
  <c r="V331" i="6"/>
  <c r="P331" i="6"/>
  <c r="R244" i="6"/>
  <c r="AA243" i="6"/>
  <c r="S244" i="6"/>
  <c r="AD243" i="6"/>
  <c r="X244" i="6"/>
  <c r="W244" i="6"/>
  <c r="V244" i="6"/>
  <c r="P244" i="6"/>
  <c r="R157" i="6"/>
  <c r="AA156" i="6"/>
  <c r="S157" i="6"/>
  <c r="AD156" i="6"/>
  <c r="X157" i="6"/>
  <c r="W157" i="6"/>
  <c r="V157" i="6"/>
  <c r="P157" i="6"/>
  <c r="AC78" i="6" l="1"/>
  <c r="AB79" i="6"/>
  <c r="Z79" i="6"/>
  <c r="O80" i="6"/>
  <c r="T79" i="6"/>
  <c r="R80" i="6" s="1"/>
  <c r="U79" i="6"/>
  <c r="S80" i="6" s="1"/>
  <c r="Y505" i="6"/>
  <c r="Z505" i="6" s="1"/>
  <c r="Q505" i="6"/>
  <c r="AC504" i="6"/>
  <c r="AB505" i="6"/>
  <c r="Y418" i="6"/>
  <c r="Z418" i="6" s="1"/>
  <c r="Q418" i="6"/>
  <c r="AC417" i="6"/>
  <c r="AB418" i="6"/>
  <c r="Y331" i="6"/>
  <c r="Z331" i="6" s="1"/>
  <c r="Q331" i="6"/>
  <c r="AC330" i="6"/>
  <c r="AB331" i="6"/>
  <c r="Y244" i="6"/>
  <c r="Z244" i="6" s="1"/>
  <c r="Q244" i="6"/>
  <c r="AC243" i="6"/>
  <c r="AB244" i="6"/>
  <c r="Y157" i="6"/>
  <c r="Z157" i="6" s="1"/>
  <c r="Q157" i="6"/>
  <c r="AC156" i="6"/>
  <c r="AB157" i="6"/>
  <c r="AD79" i="6" l="1"/>
  <c r="X80" i="6"/>
  <c r="W80" i="6"/>
  <c r="V80" i="6"/>
  <c r="P80" i="6"/>
  <c r="Y80" i="6" s="1"/>
  <c r="AA79" i="6"/>
  <c r="AE78" i="6"/>
  <c r="AE504" i="6"/>
  <c r="O506" i="6"/>
  <c r="U505" i="6"/>
  <c r="T505" i="6"/>
  <c r="AE417" i="6"/>
  <c r="O419" i="6"/>
  <c r="U418" i="6"/>
  <c r="T418" i="6"/>
  <c r="AE330" i="6"/>
  <c r="O332" i="6"/>
  <c r="U331" i="6"/>
  <c r="T331" i="6"/>
  <c r="AE243" i="6"/>
  <c r="O245" i="6"/>
  <c r="U244" i="6"/>
  <c r="T244" i="6"/>
  <c r="AE156" i="6"/>
  <c r="O158" i="6"/>
  <c r="U157" i="6"/>
  <c r="T157" i="6"/>
  <c r="AB80" i="6" l="1"/>
  <c r="AC79" i="6"/>
  <c r="Q80" i="6"/>
  <c r="Z80" i="6"/>
  <c r="R506" i="6"/>
  <c r="AA505" i="6"/>
  <c r="S506" i="6"/>
  <c r="AD505" i="6"/>
  <c r="X506" i="6"/>
  <c r="W506" i="6"/>
  <c r="V506" i="6"/>
  <c r="P506" i="6"/>
  <c r="R419" i="6"/>
  <c r="AA418" i="6"/>
  <c r="S419" i="6"/>
  <c r="AD418" i="6"/>
  <c r="X419" i="6"/>
  <c r="W419" i="6"/>
  <c r="V419" i="6"/>
  <c r="P419" i="6"/>
  <c r="R332" i="6"/>
  <c r="AA331" i="6"/>
  <c r="S332" i="6"/>
  <c r="AD331" i="6"/>
  <c r="X332" i="6"/>
  <c r="W332" i="6"/>
  <c r="V332" i="6"/>
  <c r="P332" i="6"/>
  <c r="R245" i="6"/>
  <c r="AA244" i="6"/>
  <c r="S245" i="6"/>
  <c r="AD244" i="6"/>
  <c r="X245" i="6"/>
  <c r="W245" i="6"/>
  <c r="V245" i="6"/>
  <c r="P245" i="6"/>
  <c r="R158" i="6"/>
  <c r="AA157" i="6"/>
  <c r="S158" i="6"/>
  <c r="AD157" i="6"/>
  <c r="X158" i="6"/>
  <c r="W158" i="6"/>
  <c r="V158" i="6"/>
  <c r="P158" i="6"/>
  <c r="U80" i="6" l="1"/>
  <c r="O81" i="6"/>
  <c r="T80" i="6"/>
  <c r="AE79" i="6"/>
  <c r="Y506" i="6"/>
  <c r="Z506" i="6" s="1"/>
  <c r="Q506" i="6"/>
  <c r="AC505" i="6"/>
  <c r="AB506" i="6"/>
  <c r="Y419" i="6"/>
  <c r="Z419" i="6" s="1"/>
  <c r="Q419" i="6"/>
  <c r="AC418" i="6"/>
  <c r="AB419" i="6"/>
  <c r="Y332" i="6"/>
  <c r="Z332" i="6" s="1"/>
  <c r="Q332" i="6"/>
  <c r="AC331" i="6"/>
  <c r="AB332" i="6"/>
  <c r="Y245" i="6"/>
  <c r="Z245" i="6" s="1"/>
  <c r="Q245" i="6"/>
  <c r="AC244" i="6"/>
  <c r="AB245" i="6"/>
  <c r="Y158" i="6"/>
  <c r="Z158" i="6" s="1"/>
  <c r="Q158" i="6"/>
  <c r="AC157" i="6"/>
  <c r="AB158" i="6"/>
  <c r="AA80" i="6" l="1"/>
  <c r="R81" i="6"/>
  <c r="P81" i="6"/>
  <c r="Y81" i="6" s="1"/>
  <c r="X81" i="6"/>
  <c r="V81" i="6"/>
  <c r="W81" i="6"/>
  <c r="S81" i="6"/>
  <c r="AD80" i="6"/>
  <c r="AE505" i="6"/>
  <c r="O507" i="6"/>
  <c r="U506" i="6"/>
  <c r="T506" i="6"/>
  <c r="AE418" i="6"/>
  <c r="O420" i="6"/>
  <c r="U419" i="6"/>
  <c r="T419" i="6"/>
  <c r="AE331" i="6"/>
  <c r="O333" i="6"/>
  <c r="U332" i="6"/>
  <c r="T332" i="6"/>
  <c r="AE244" i="6"/>
  <c r="O246" i="6"/>
  <c r="U245" i="6"/>
  <c r="T245" i="6"/>
  <c r="AE157" i="6"/>
  <c r="O159" i="6"/>
  <c r="U158" i="6"/>
  <c r="T158" i="6"/>
  <c r="Z81" i="6" l="1"/>
  <c r="AC80" i="6"/>
  <c r="Q81" i="6"/>
  <c r="AB81" i="6"/>
  <c r="R507" i="6"/>
  <c r="AA506" i="6"/>
  <c r="S507" i="6"/>
  <c r="AD506" i="6"/>
  <c r="X507" i="6"/>
  <c r="W507" i="6"/>
  <c r="V507" i="6"/>
  <c r="P507" i="6"/>
  <c r="R420" i="6"/>
  <c r="AA419" i="6"/>
  <c r="S420" i="6"/>
  <c r="AD419" i="6"/>
  <c r="X420" i="6"/>
  <c r="W420" i="6"/>
  <c r="V420" i="6"/>
  <c r="P420" i="6"/>
  <c r="R333" i="6"/>
  <c r="AA332" i="6"/>
  <c r="S333" i="6"/>
  <c r="AD332" i="6"/>
  <c r="X333" i="6"/>
  <c r="W333" i="6"/>
  <c r="V333" i="6"/>
  <c r="P333" i="6"/>
  <c r="R246" i="6"/>
  <c r="AA245" i="6"/>
  <c r="S246" i="6"/>
  <c r="AD245" i="6"/>
  <c r="X246" i="6"/>
  <c r="W246" i="6"/>
  <c r="V246" i="6"/>
  <c r="P246" i="6"/>
  <c r="R159" i="6"/>
  <c r="AA158" i="6"/>
  <c r="S159" i="6"/>
  <c r="AD158" i="6"/>
  <c r="X159" i="6"/>
  <c r="W159" i="6"/>
  <c r="V159" i="6"/>
  <c r="P159" i="6"/>
  <c r="AE80" i="6" l="1"/>
  <c r="O82" i="6"/>
  <c r="T81" i="6"/>
  <c r="U81" i="6"/>
  <c r="Y507" i="6"/>
  <c r="Z507" i="6" s="1"/>
  <c r="Q507" i="6"/>
  <c r="AC506" i="6"/>
  <c r="AB507" i="6"/>
  <c r="Y420" i="6"/>
  <c r="Z420" i="6" s="1"/>
  <c r="Q420" i="6"/>
  <c r="AC419" i="6"/>
  <c r="AB420" i="6"/>
  <c r="Y333" i="6"/>
  <c r="Z333" i="6" s="1"/>
  <c r="Q333" i="6"/>
  <c r="AC332" i="6"/>
  <c r="AB333" i="6"/>
  <c r="Y246" i="6"/>
  <c r="Z246" i="6" s="1"/>
  <c r="Q246" i="6"/>
  <c r="AC245" i="6"/>
  <c r="AB246" i="6"/>
  <c r="Y159" i="6"/>
  <c r="Z159" i="6" s="1"/>
  <c r="Q159" i="6"/>
  <c r="AC158" i="6"/>
  <c r="AB159" i="6"/>
  <c r="R82" i="6" l="1"/>
  <c r="AA81" i="6"/>
  <c r="AC81" i="6" s="1"/>
  <c r="S82" i="6"/>
  <c r="AD81" i="6"/>
  <c r="X82" i="6"/>
  <c r="V82" i="6"/>
  <c r="P82" i="6"/>
  <c r="Y82" i="6" s="1"/>
  <c r="W82" i="6"/>
  <c r="AE506" i="6"/>
  <c r="O508" i="6"/>
  <c r="U507" i="6"/>
  <c r="T507" i="6"/>
  <c r="AE419" i="6"/>
  <c r="O421" i="6"/>
  <c r="U420" i="6"/>
  <c r="T420" i="6"/>
  <c r="AE332" i="6"/>
  <c r="O334" i="6"/>
  <c r="U333" i="6"/>
  <c r="T333" i="6"/>
  <c r="AE245" i="6"/>
  <c r="O247" i="6"/>
  <c r="U246" i="6"/>
  <c r="T246" i="6"/>
  <c r="AE158" i="6"/>
  <c r="O160" i="6"/>
  <c r="U159" i="6"/>
  <c r="T159" i="6"/>
  <c r="Q82" i="6" l="1"/>
  <c r="T82" i="6" s="1"/>
  <c r="AE81" i="6"/>
  <c r="AB82" i="6"/>
  <c r="Z82" i="6"/>
  <c r="R508" i="6"/>
  <c r="AA507" i="6"/>
  <c r="S508" i="6"/>
  <c r="AD507" i="6"/>
  <c r="X508" i="6"/>
  <c r="W508" i="6"/>
  <c r="V508" i="6"/>
  <c r="P508" i="6"/>
  <c r="R421" i="6"/>
  <c r="AA420" i="6"/>
  <c r="S421" i="6"/>
  <c r="AD420" i="6"/>
  <c r="X421" i="6"/>
  <c r="W421" i="6"/>
  <c r="V421" i="6"/>
  <c r="P421" i="6"/>
  <c r="R334" i="6"/>
  <c r="AA333" i="6"/>
  <c r="S334" i="6"/>
  <c r="AD333" i="6"/>
  <c r="X334" i="6"/>
  <c r="W334" i="6"/>
  <c r="V334" i="6"/>
  <c r="P334" i="6"/>
  <c r="R247" i="6"/>
  <c r="AA246" i="6"/>
  <c r="S247" i="6"/>
  <c r="AD246" i="6"/>
  <c r="X247" i="6"/>
  <c r="W247" i="6"/>
  <c r="V247" i="6"/>
  <c r="P247" i="6"/>
  <c r="R160" i="6"/>
  <c r="AA159" i="6"/>
  <c r="S160" i="6"/>
  <c r="AD159" i="6"/>
  <c r="X160" i="6"/>
  <c r="W160" i="6"/>
  <c r="V160" i="6"/>
  <c r="P160" i="6"/>
  <c r="O83" i="6" l="1"/>
  <c r="W83" i="6" s="1"/>
  <c r="U82" i="6"/>
  <c r="S83" i="6" s="1"/>
  <c r="R83" i="6"/>
  <c r="AA82" i="6"/>
  <c r="AC82" i="6" s="1"/>
  <c r="X83" i="6"/>
  <c r="V83" i="6"/>
  <c r="Y508" i="6"/>
  <c r="Z508" i="6" s="1"/>
  <c r="Q508" i="6"/>
  <c r="AC507" i="6"/>
  <c r="AB508" i="6"/>
  <c r="Y421" i="6"/>
  <c r="Z421" i="6" s="1"/>
  <c r="Q421" i="6"/>
  <c r="AC420" i="6"/>
  <c r="AB421" i="6"/>
  <c r="Y334" i="6"/>
  <c r="Z334" i="6" s="1"/>
  <c r="Q334" i="6"/>
  <c r="AC333" i="6"/>
  <c r="AB334" i="6"/>
  <c r="Y247" i="6"/>
  <c r="Z247" i="6" s="1"/>
  <c r="Q247" i="6"/>
  <c r="AC246" i="6"/>
  <c r="AB247" i="6"/>
  <c r="Y160" i="6"/>
  <c r="Z160" i="6" s="1"/>
  <c r="Q160" i="6"/>
  <c r="AC159" i="6"/>
  <c r="AB160" i="6"/>
  <c r="AD82" i="6" l="1"/>
  <c r="AE82" i="6" s="1"/>
  <c r="P83" i="6"/>
  <c r="Y83" i="6" s="1"/>
  <c r="Z83" i="6" s="1"/>
  <c r="AB83" i="6"/>
  <c r="AE507" i="6"/>
  <c r="O509" i="6"/>
  <c r="U508" i="6"/>
  <c r="T508" i="6"/>
  <c r="AE420" i="6"/>
  <c r="O422" i="6"/>
  <c r="U421" i="6"/>
  <c r="T421" i="6"/>
  <c r="AE333" i="6"/>
  <c r="O335" i="6"/>
  <c r="U334" i="6"/>
  <c r="T334" i="6"/>
  <c r="AE246" i="6"/>
  <c r="O248" i="6"/>
  <c r="U247" i="6"/>
  <c r="T247" i="6"/>
  <c r="AE159" i="6"/>
  <c r="O161" i="6"/>
  <c r="U160" i="6"/>
  <c r="T160" i="6"/>
  <c r="Q83" i="6" l="1"/>
  <c r="U83" i="6" s="1"/>
  <c r="R509" i="6"/>
  <c r="AA508" i="6"/>
  <c r="S509" i="6"/>
  <c r="AD508" i="6"/>
  <c r="X509" i="6"/>
  <c r="W509" i="6"/>
  <c r="V509" i="6"/>
  <c r="P509" i="6"/>
  <c r="R422" i="6"/>
  <c r="AA421" i="6"/>
  <c r="S422" i="6"/>
  <c r="AD421" i="6"/>
  <c r="X422" i="6"/>
  <c r="W422" i="6"/>
  <c r="V422" i="6"/>
  <c r="P422" i="6"/>
  <c r="R335" i="6"/>
  <c r="AA334" i="6"/>
  <c r="S335" i="6"/>
  <c r="AD334" i="6"/>
  <c r="X335" i="6"/>
  <c r="W335" i="6"/>
  <c r="V335" i="6"/>
  <c r="P335" i="6"/>
  <c r="R248" i="6"/>
  <c r="AA247" i="6"/>
  <c r="S248" i="6"/>
  <c r="AD247" i="6"/>
  <c r="X248" i="6"/>
  <c r="W248" i="6"/>
  <c r="V248" i="6"/>
  <c r="P248" i="6"/>
  <c r="R161" i="6"/>
  <c r="AA160" i="6"/>
  <c r="S161" i="6"/>
  <c r="AD160" i="6"/>
  <c r="X161" i="6"/>
  <c r="W161" i="6"/>
  <c r="V161" i="6"/>
  <c r="P161" i="6"/>
  <c r="T83" i="6" l="1"/>
  <c r="AA83" i="6" s="1"/>
  <c r="AC83" i="6" s="1"/>
  <c r="O84" i="6"/>
  <c r="V84" i="6" s="1"/>
  <c r="S84" i="6"/>
  <c r="AD83" i="6"/>
  <c r="Y509" i="6"/>
  <c r="Z509" i="6" s="1"/>
  <c r="Q509" i="6"/>
  <c r="AC508" i="6"/>
  <c r="AB509" i="6"/>
  <c r="Y422" i="6"/>
  <c r="Z422" i="6" s="1"/>
  <c r="Q422" i="6"/>
  <c r="AC421" i="6"/>
  <c r="AB422" i="6"/>
  <c r="Y335" i="6"/>
  <c r="Z335" i="6" s="1"/>
  <c r="Q335" i="6"/>
  <c r="AC334" i="6"/>
  <c r="AB335" i="6"/>
  <c r="Y248" i="6"/>
  <c r="Z248" i="6" s="1"/>
  <c r="Q248" i="6"/>
  <c r="AC247" i="6"/>
  <c r="AB248" i="6"/>
  <c r="Y161" i="6"/>
  <c r="Z161" i="6" s="1"/>
  <c r="Q161" i="6"/>
  <c r="AC160" i="6"/>
  <c r="AB161" i="6"/>
  <c r="R84" i="6" l="1"/>
  <c r="W84" i="6"/>
  <c r="W87" i="6" s="1"/>
  <c r="X84" i="6"/>
  <c r="X88" i="6" s="1"/>
  <c r="P84" i="6"/>
  <c r="Y84" i="6" s="1"/>
  <c r="AE83" i="6"/>
  <c r="V88" i="6"/>
  <c r="V87" i="6"/>
  <c r="V89" i="6"/>
  <c r="AB84" i="6"/>
  <c r="X89" i="6"/>
  <c r="AE508" i="6"/>
  <c r="O510" i="6"/>
  <c r="U509" i="6"/>
  <c r="T509" i="6"/>
  <c r="AE421" i="6"/>
  <c r="O423" i="6"/>
  <c r="U422" i="6"/>
  <c r="T422" i="6"/>
  <c r="AE334" i="6"/>
  <c r="O336" i="6"/>
  <c r="U335" i="6"/>
  <c r="T335" i="6"/>
  <c r="AE247" i="6"/>
  <c r="O249" i="6"/>
  <c r="U248" i="6"/>
  <c r="T248" i="6"/>
  <c r="AE160" i="6"/>
  <c r="O162" i="6"/>
  <c r="U161" i="6"/>
  <c r="T161" i="6"/>
  <c r="Z84" i="6" l="1"/>
  <c r="W88" i="6"/>
  <c r="W89" i="6"/>
  <c r="X87" i="6"/>
  <c r="Y89" i="6"/>
  <c r="Y88" i="6"/>
  <c r="Y87" i="6"/>
  <c r="Q84" i="6"/>
  <c r="T84" i="6" s="1"/>
  <c r="AA84" i="6" s="1"/>
  <c r="AC84" i="6" s="1"/>
  <c r="Z89" i="6"/>
  <c r="Z88" i="6"/>
  <c r="Z87" i="6"/>
  <c r="AB87" i="6"/>
  <c r="AB88" i="6"/>
  <c r="AB89" i="6"/>
  <c r="R510" i="6"/>
  <c r="AA509" i="6"/>
  <c r="S510" i="6"/>
  <c r="AD509" i="6"/>
  <c r="X510" i="6"/>
  <c r="W510" i="6"/>
  <c r="V510" i="6"/>
  <c r="P510" i="6"/>
  <c r="R423" i="6"/>
  <c r="AA422" i="6"/>
  <c r="S423" i="6"/>
  <c r="AD422" i="6"/>
  <c r="X423" i="6"/>
  <c r="W423" i="6"/>
  <c r="V423" i="6"/>
  <c r="P423" i="6"/>
  <c r="R336" i="6"/>
  <c r="AA335" i="6"/>
  <c r="S336" i="6"/>
  <c r="AD335" i="6"/>
  <c r="X336" i="6"/>
  <c r="W336" i="6"/>
  <c r="V336" i="6"/>
  <c r="P336" i="6"/>
  <c r="R249" i="6"/>
  <c r="AA248" i="6"/>
  <c r="S249" i="6"/>
  <c r="AD248" i="6"/>
  <c r="X249" i="6"/>
  <c r="W249" i="6"/>
  <c r="V249" i="6"/>
  <c r="P249" i="6"/>
  <c r="R162" i="6"/>
  <c r="AA161" i="6"/>
  <c r="S162" i="6"/>
  <c r="AD161" i="6"/>
  <c r="X162" i="6"/>
  <c r="W162" i="6"/>
  <c r="V162" i="6"/>
  <c r="P162" i="6"/>
  <c r="U84" i="6" l="1"/>
  <c r="AD84" i="6" s="1"/>
  <c r="AE84" i="6" s="1"/>
  <c r="AC88" i="6"/>
  <c r="AC89" i="6"/>
  <c r="AC87" i="6"/>
  <c r="AA87" i="6"/>
  <c r="AA89" i="6"/>
  <c r="AA88" i="6"/>
  <c r="AD89" i="6"/>
  <c r="AD88" i="6"/>
  <c r="AD87" i="6"/>
  <c r="Y510" i="6"/>
  <c r="Z510" i="6" s="1"/>
  <c r="Q510" i="6"/>
  <c r="AC509" i="6"/>
  <c r="AB510" i="6"/>
  <c r="Y423" i="6"/>
  <c r="Z423" i="6" s="1"/>
  <c r="Q423" i="6"/>
  <c r="AC422" i="6"/>
  <c r="AB423" i="6"/>
  <c r="Y336" i="6"/>
  <c r="Z336" i="6" s="1"/>
  <c r="Q336" i="6"/>
  <c r="AC335" i="6"/>
  <c r="AB336" i="6"/>
  <c r="Y249" i="6"/>
  <c r="Z249" i="6" s="1"/>
  <c r="Q249" i="6"/>
  <c r="AC248" i="6"/>
  <c r="AB249" i="6"/>
  <c r="Y162" i="6"/>
  <c r="Z162" i="6" s="1"/>
  <c r="Q162" i="6"/>
  <c r="AC161" i="6"/>
  <c r="AB162" i="6"/>
  <c r="V91" i="6" l="1"/>
  <c r="B4" i="6"/>
  <c r="AE87" i="6"/>
  <c r="AE89" i="6"/>
  <c r="V92" i="6" s="1"/>
  <c r="AE88" i="6"/>
  <c r="AE509" i="6"/>
  <c r="O511" i="6"/>
  <c r="U510" i="6"/>
  <c r="T510" i="6"/>
  <c r="AE422" i="6"/>
  <c r="O424" i="6"/>
  <c r="U423" i="6"/>
  <c r="T423" i="6"/>
  <c r="AE335" i="6"/>
  <c r="O337" i="6"/>
  <c r="U336" i="6"/>
  <c r="T336" i="6"/>
  <c r="AE248" i="6"/>
  <c r="O250" i="6"/>
  <c r="U249" i="6"/>
  <c r="T249" i="6"/>
  <c r="AE161" i="6"/>
  <c r="O163" i="6"/>
  <c r="U162" i="6"/>
  <c r="T162" i="6"/>
  <c r="R511" i="6" l="1"/>
  <c r="AA510" i="6"/>
  <c r="S511" i="6"/>
  <c r="AD510" i="6"/>
  <c r="X511" i="6"/>
  <c r="W511" i="6"/>
  <c r="V511" i="6"/>
  <c r="P511" i="6"/>
  <c r="R424" i="6"/>
  <c r="AA423" i="6"/>
  <c r="S424" i="6"/>
  <c r="AD423" i="6"/>
  <c r="X424" i="6"/>
  <c r="W424" i="6"/>
  <c r="V424" i="6"/>
  <c r="P424" i="6"/>
  <c r="R337" i="6"/>
  <c r="AA336" i="6"/>
  <c r="S337" i="6"/>
  <c r="AD336" i="6"/>
  <c r="X337" i="6"/>
  <c r="W337" i="6"/>
  <c r="V337" i="6"/>
  <c r="P337" i="6"/>
  <c r="R250" i="6"/>
  <c r="AA249" i="6"/>
  <c r="S250" i="6"/>
  <c r="AD249" i="6"/>
  <c r="X250" i="6"/>
  <c r="W250" i="6"/>
  <c r="V250" i="6"/>
  <c r="P250" i="6"/>
  <c r="R163" i="6"/>
  <c r="AA162" i="6"/>
  <c r="S163" i="6"/>
  <c r="AD162" i="6"/>
  <c r="X163" i="6"/>
  <c r="W163" i="6"/>
  <c r="V163" i="6"/>
  <c r="P163" i="6"/>
  <c r="Y511" i="6" l="1"/>
  <c r="Z511" i="6" s="1"/>
  <c r="Q511" i="6"/>
  <c r="AC510" i="6"/>
  <c r="AB511" i="6"/>
  <c r="Y424" i="6"/>
  <c r="Z424" i="6" s="1"/>
  <c r="Q424" i="6"/>
  <c r="AC423" i="6"/>
  <c r="AB424" i="6"/>
  <c r="Y337" i="6"/>
  <c r="Z337" i="6" s="1"/>
  <c r="Q337" i="6"/>
  <c r="AC336" i="6"/>
  <c r="AB337" i="6"/>
  <c r="Y250" i="6"/>
  <c r="Z250" i="6" s="1"/>
  <c r="Q250" i="6"/>
  <c r="AC249" i="6"/>
  <c r="AB250" i="6"/>
  <c r="Y163" i="6"/>
  <c r="Z163" i="6" s="1"/>
  <c r="Q163" i="6"/>
  <c r="AC162" i="6"/>
  <c r="AB163" i="6"/>
  <c r="AE510" i="6" l="1"/>
  <c r="O512" i="6"/>
  <c r="U511" i="6"/>
  <c r="T511" i="6"/>
  <c r="AE423" i="6"/>
  <c r="O425" i="6"/>
  <c r="U424" i="6"/>
  <c r="T424" i="6"/>
  <c r="AE336" i="6"/>
  <c r="O338" i="6"/>
  <c r="U337" i="6"/>
  <c r="T337" i="6"/>
  <c r="AE249" i="6"/>
  <c r="O251" i="6"/>
  <c r="U250" i="6"/>
  <c r="T250" i="6"/>
  <c r="AE162" i="6"/>
  <c r="O164" i="6"/>
  <c r="U163" i="6"/>
  <c r="T163" i="6"/>
  <c r="R512" i="6" l="1"/>
  <c r="AA511" i="6"/>
  <c r="S512" i="6"/>
  <c r="AD511" i="6"/>
  <c r="X512" i="6"/>
  <c r="W512" i="6"/>
  <c r="V512" i="6"/>
  <c r="P512" i="6"/>
  <c r="R425" i="6"/>
  <c r="AA424" i="6"/>
  <c r="S425" i="6"/>
  <c r="AD424" i="6"/>
  <c r="X425" i="6"/>
  <c r="W425" i="6"/>
  <c r="V425" i="6"/>
  <c r="P425" i="6"/>
  <c r="R338" i="6"/>
  <c r="AA337" i="6"/>
  <c r="S338" i="6"/>
  <c r="AD337" i="6"/>
  <c r="X338" i="6"/>
  <c r="W338" i="6"/>
  <c r="V338" i="6"/>
  <c r="P338" i="6"/>
  <c r="R251" i="6"/>
  <c r="AA250" i="6"/>
  <c r="S251" i="6"/>
  <c r="AD250" i="6"/>
  <c r="X251" i="6"/>
  <c r="W251" i="6"/>
  <c r="V251" i="6"/>
  <c r="P251" i="6"/>
  <c r="R164" i="6"/>
  <c r="AA163" i="6"/>
  <c r="S164" i="6"/>
  <c r="AD163" i="6"/>
  <c r="X164" i="6"/>
  <c r="W164" i="6"/>
  <c r="V164" i="6"/>
  <c r="P164" i="6"/>
  <c r="Y512" i="6" l="1"/>
  <c r="Z512" i="6" s="1"/>
  <c r="Q512" i="6"/>
  <c r="AC511" i="6"/>
  <c r="AB512" i="6"/>
  <c r="Y425" i="6"/>
  <c r="Z425" i="6" s="1"/>
  <c r="Q425" i="6"/>
  <c r="AC424" i="6"/>
  <c r="AB425" i="6"/>
  <c r="Y338" i="6"/>
  <c r="Z338" i="6" s="1"/>
  <c r="Q338" i="6"/>
  <c r="AC337" i="6"/>
  <c r="AB338" i="6"/>
  <c r="Y251" i="6"/>
  <c r="Z251" i="6" s="1"/>
  <c r="Q251" i="6"/>
  <c r="AC250" i="6"/>
  <c r="AB251" i="6"/>
  <c r="Y164" i="6"/>
  <c r="Z164" i="6" s="1"/>
  <c r="Q164" i="6"/>
  <c r="AC163" i="6"/>
  <c r="AB164" i="6"/>
  <c r="AE511" i="6" l="1"/>
  <c r="O513" i="6"/>
  <c r="U512" i="6"/>
  <c r="T512" i="6"/>
  <c r="AE424" i="6"/>
  <c r="O426" i="6"/>
  <c r="U425" i="6"/>
  <c r="T425" i="6"/>
  <c r="AE337" i="6"/>
  <c r="O339" i="6"/>
  <c r="U338" i="6"/>
  <c r="T338" i="6"/>
  <c r="AE250" i="6"/>
  <c r="O252" i="6"/>
  <c r="U251" i="6"/>
  <c r="T251" i="6"/>
  <c r="AE163" i="6"/>
  <c r="O165" i="6"/>
  <c r="U164" i="6"/>
  <c r="T164" i="6"/>
  <c r="R513" i="6" l="1"/>
  <c r="AA512" i="6"/>
  <c r="S513" i="6"/>
  <c r="AD512" i="6"/>
  <c r="X513" i="6"/>
  <c r="W513" i="6"/>
  <c r="V513" i="6"/>
  <c r="P513" i="6"/>
  <c r="R426" i="6"/>
  <c r="AA425" i="6"/>
  <c r="S426" i="6"/>
  <c r="AD425" i="6"/>
  <c r="X426" i="6"/>
  <c r="W426" i="6"/>
  <c r="V426" i="6"/>
  <c r="P426" i="6"/>
  <c r="R339" i="6"/>
  <c r="AA338" i="6"/>
  <c r="S339" i="6"/>
  <c r="AD338" i="6"/>
  <c r="X339" i="6"/>
  <c r="W339" i="6"/>
  <c r="V339" i="6"/>
  <c r="P339" i="6"/>
  <c r="R252" i="6"/>
  <c r="AA251" i="6"/>
  <c r="S252" i="6"/>
  <c r="AD251" i="6"/>
  <c r="X252" i="6"/>
  <c r="W252" i="6"/>
  <c r="V252" i="6"/>
  <c r="P252" i="6"/>
  <c r="R165" i="6"/>
  <c r="AA164" i="6"/>
  <c r="S165" i="6"/>
  <c r="AD164" i="6"/>
  <c r="X165" i="6"/>
  <c r="W165" i="6"/>
  <c r="V165" i="6"/>
  <c r="P165" i="6"/>
  <c r="Y513" i="6" l="1"/>
  <c r="Z513" i="6" s="1"/>
  <c r="Q513" i="6"/>
  <c r="AC512" i="6"/>
  <c r="AB513" i="6"/>
  <c r="Y426" i="6"/>
  <c r="Z426" i="6" s="1"/>
  <c r="Q426" i="6"/>
  <c r="AC425" i="6"/>
  <c r="AB426" i="6"/>
  <c r="Y339" i="6"/>
  <c r="Z339" i="6" s="1"/>
  <c r="Q339" i="6"/>
  <c r="AC338" i="6"/>
  <c r="AB339" i="6"/>
  <c r="Y252" i="6"/>
  <c r="Z252" i="6" s="1"/>
  <c r="Q252" i="6"/>
  <c r="AC251" i="6"/>
  <c r="AB252" i="6"/>
  <c r="Y165" i="6"/>
  <c r="Z165" i="6" s="1"/>
  <c r="Q165" i="6"/>
  <c r="AC164" i="6"/>
  <c r="AB165" i="6"/>
  <c r="AE512" i="6" l="1"/>
  <c r="O514" i="6"/>
  <c r="U513" i="6"/>
  <c r="T513" i="6"/>
  <c r="AE425" i="6"/>
  <c r="O427" i="6"/>
  <c r="U426" i="6"/>
  <c r="T426" i="6"/>
  <c r="AE338" i="6"/>
  <c r="O340" i="6"/>
  <c r="U339" i="6"/>
  <c r="T339" i="6"/>
  <c r="AE251" i="6"/>
  <c r="O253" i="6"/>
  <c r="U252" i="6"/>
  <c r="T252" i="6"/>
  <c r="AE164" i="6"/>
  <c r="O166" i="6"/>
  <c r="U165" i="6"/>
  <c r="T165" i="6"/>
  <c r="R514" i="6" l="1"/>
  <c r="AA513" i="6"/>
  <c r="S514" i="6"/>
  <c r="AD513" i="6"/>
  <c r="X514" i="6"/>
  <c r="W514" i="6"/>
  <c r="V514" i="6"/>
  <c r="P514" i="6"/>
  <c r="R427" i="6"/>
  <c r="AA426" i="6"/>
  <c r="S427" i="6"/>
  <c r="AD426" i="6"/>
  <c r="X427" i="6"/>
  <c r="W427" i="6"/>
  <c r="V427" i="6"/>
  <c r="P427" i="6"/>
  <c r="R340" i="6"/>
  <c r="AA339" i="6"/>
  <c r="S340" i="6"/>
  <c r="AD339" i="6"/>
  <c r="X340" i="6"/>
  <c r="W340" i="6"/>
  <c r="V340" i="6"/>
  <c r="P340" i="6"/>
  <c r="R253" i="6"/>
  <c r="AA252" i="6"/>
  <c r="S253" i="6"/>
  <c r="AD252" i="6"/>
  <c r="X253" i="6"/>
  <c r="W253" i="6"/>
  <c r="V253" i="6"/>
  <c r="P253" i="6"/>
  <c r="R166" i="6"/>
  <c r="AA165" i="6"/>
  <c r="S166" i="6"/>
  <c r="AD165" i="6"/>
  <c r="X166" i="6"/>
  <c r="W166" i="6"/>
  <c r="V166" i="6"/>
  <c r="P166" i="6"/>
  <c r="Y514" i="6" l="1"/>
  <c r="Z514" i="6" s="1"/>
  <c r="Q514" i="6"/>
  <c r="AC513" i="6"/>
  <c r="AB514" i="6"/>
  <c r="Y427" i="6"/>
  <c r="Z427" i="6" s="1"/>
  <c r="Q427" i="6"/>
  <c r="AC426" i="6"/>
  <c r="AB427" i="6"/>
  <c r="Y340" i="6"/>
  <c r="Z340" i="6" s="1"/>
  <c r="Q340" i="6"/>
  <c r="AC339" i="6"/>
  <c r="AB340" i="6"/>
  <c r="Y253" i="6"/>
  <c r="Z253" i="6" s="1"/>
  <c r="Q253" i="6"/>
  <c r="AC252" i="6"/>
  <c r="AB253" i="6"/>
  <c r="Y166" i="6"/>
  <c r="Z166" i="6" s="1"/>
  <c r="Q166" i="6"/>
  <c r="AC165" i="6"/>
  <c r="AB166" i="6"/>
  <c r="AE513" i="6" l="1"/>
  <c r="O515" i="6"/>
  <c r="U514" i="6"/>
  <c r="T514" i="6"/>
  <c r="AE426" i="6"/>
  <c r="O428" i="6"/>
  <c r="U427" i="6"/>
  <c r="T427" i="6"/>
  <c r="AE339" i="6"/>
  <c r="O341" i="6"/>
  <c r="U340" i="6"/>
  <c r="T340" i="6"/>
  <c r="AE252" i="6"/>
  <c r="O254" i="6"/>
  <c r="U253" i="6"/>
  <c r="T253" i="6"/>
  <c r="AE165" i="6"/>
  <c r="O167" i="6"/>
  <c r="U166" i="6"/>
  <c r="T166" i="6"/>
  <c r="R515" i="6" l="1"/>
  <c r="AA514" i="6"/>
  <c r="S515" i="6"/>
  <c r="AD514" i="6"/>
  <c r="X515" i="6"/>
  <c r="W515" i="6"/>
  <c r="V515" i="6"/>
  <c r="P515" i="6"/>
  <c r="R428" i="6"/>
  <c r="AA427" i="6"/>
  <c r="S428" i="6"/>
  <c r="AD427" i="6"/>
  <c r="X428" i="6"/>
  <c r="W428" i="6"/>
  <c r="V428" i="6"/>
  <c r="P428" i="6"/>
  <c r="R341" i="6"/>
  <c r="AA340" i="6"/>
  <c r="S341" i="6"/>
  <c r="AD340" i="6"/>
  <c r="X341" i="6"/>
  <c r="W341" i="6"/>
  <c r="V341" i="6"/>
  <c r="P341" i="6"/>
  <c r="R254" i="6"/>
  <c r="AA253" i="6"/>
  <c r="S254" i="6"/>
  <c r="AD253" i="6"/>
  <c r="X254" i="6"/>
  <c r="W254" i="6"/>
  <c r="V254" i="6"/>
  <c r="P254" i="6"/>
  <c r="R167" i="6"/>
  <c r="AA166" i="6"/>
  <c r="S167" i="6"/>
  <c r="AD166" i="6"/>
  <c r="X167" i="6"/>
  <c r="W167" i="6"/>
  <c r="V167" i="6"/>
  <c r="P167" i="6"/>
  <c r="Y515" i="6" l="1"/>
  <c r="Z515" i="6" s="1"/>
  <c r="Q515" i="6"/>
  <c r="AC514" i="6"/>
  <c r="AB515" i="6"/>
  <c r="Y428" i="6"/>
  <c r="Z428" i="6" s="1"/>
  <c r="Q428" i="6"/>
  <c r="AC427" i="6"/>
  <c r="AB428" i="6"/>
  <c r="Y341" i="6"/>
  <c r="Z341" i="6" s="1"/>
  <c r="Q341" i="6"/>
  <c r="AC340" i="6"/>
  <c r="AB341" i="6"/>
  <c r="Y254" i="6"/>
  <c r="Z254" i="6" s="1"/>
  <c r="Q254" i="6"/>
  <c r="AC253" i="6"/>
  <c r="AB254" i="6"/>
  <c r="Y167" i="6"/>
  <c r="Z167" i="6" s="1"/>
  <c r="Q167" i="6"/>
  <c r="AC166" i="6"/>
  <c r="AB167" i="6"/>
  <c r="AE514" i="6" l="1"/>
  <c r="O516" i="6"/>
  <c r="U515" i="6"/>
  <c r="T515" i="6"/>
  <c r="AE427" i="6"/>
  <c r="O429" i="6"/>
  <c r="U428" i="6"/>
  <c r="T428" i="6"/>
  <c r="AE340" i="6"/>
  <c r="O342" i="6"/>
  <c r="U341" i="6"/>
  <c r="T341" i="6"/>
  <c r="AE253" i="6"/>
  <c r="O255" i="6"/>
  <c r="U254" i="6"/>
  <c r="T254" i="6"/>
  <c r="AE166" i="6"/>
  <c r="O168" i="6"/>
  <c r="U167" i="6"/>
  <c r="T167" i="6"/>
  <c r="R516" i="6" l="1"/>
  <c r="AA515" i="6"/>
  <c r="S516" i="6"/>
  <c r="AD515" i="6"/>
  <c r="X516" i="6"/>
  <c r="W516" i="6"/>
  <c r="V516" i="6"/>
  <c r="P516" i="6"/>
  <c r="R429" i="6"/>
  <c r="AA428" i="6"/>
  <c r="S429" i="6"/>
  <c r="AD428" i="6"/>
  <c r="X429" i="6"/>
  <c r="W429" i="6"/>
  <c r="V429" i="6"/>
  <c r="P429" i="6"/>
  <c r="R342" i="6"/>
  <c r="AA341" i="6"/>
  <c r="S342" i="6"/>
  <c r="AD341" i="6"/>
  <c r="X342" i="6"/>
  <c r="W342" i="6"/>
  <c r="V342" i="6"/>
  <c r="P342" i="6"/>
  <c r="R255" i="6"/>
  <c r="AA254" i="6"/>
  <c r="S255" i="6"/>
  <c r="AD254" i="6"/>
  <c r="X255" i="6"/>
  <c r="W255" i="6"/>
  <c r="V255" i="6"/>
  <c r="P255" i="6"/>
  <c r="R168" i="6"/>
  <c r="AA167" i="6"/>
  <c r="S168" i="6"/>
  <c r="AD167" i="6"/>
  <c r="X168" i="6"/>
  <c r="W168" i="6"/>
  <c r="V168" i="6"/>
  <c r="P168" i="6"/>
  <c r="Y516" i="6" l="1"/>
  <c r="Z516" i="6" s="1"/>
  <c r="Q516" i="6"/>
  <c r="AC515" i="6"/>
  <c r="AB516" i="6"/>
  <c r="Y429" i="6"/>
  <c r="Z429" i="6" s="1"/>
  <c r="Q429" i="6"/>
  <c r="AC428" i="6"/>
  <c r="AB429" i="6"/>
  <c r="Y342" i="6"/>
  <c r="Z342" i="6" s="1"/>
  <c r="Q342" i="6"/>
  <c r="AC341" i="6"/>
  <c r="AB342" i="6"/>
  <c r="Y255" i="6"/>
  <c r="Z255" i="6" s="1"/>
  <c r="Q255" i="6"/>
  <c r="AC254" i="6"/>
  <c r="AB255" i="6"/>
  <c r="Y168" i="6"/>
  <c r="Z168" i="6" s="1"/>
  <c r="Q168" i="6"/>
  <c r="AC167" i="6"/>
  <c r="AB168" i="6"/>
  <c r="AE515" i="6" l="1"/>
  <c r="O517" i="6"/>
  <c r="U516" i="6"/>
  <c r="T516" i="6"/>
  <c r="AE428" i="6"/>
  <c r="O430" i="6"/>
  <c r="U429" i="6"/>
  <c r="T429" i="6"/>
  <c r="AE341" i="6"/>
  <c r="O343" i="6"/>
  <c r="U342" i="6"/>
  <c r="T342" i="6"/>
  <c r="AE254" i="6"/>
  <c r="O256" i="6"/>
  <c r="U255" i="6"/>
  <c r="T255" i="6"/>
  <c r="AE167" i="6"/>
  <c r="O169" i="6"/>
  <c r="U168" i="6"/>
  <c r="T168" i="6"/>
  <c r="R517" i="6" l="1"/>
  <c r="AA516" i="6"/>
  <c r="S517" i="6"/>
  <c r="AD516" i="6"/>
  <c r="X517" i="6"/>
  <c r="W517" i="6"/>
  <c r="V517" i="6"/>
  <c r="P517" i="6"/>
  <c r="R430" i="6"/>
  <c r="AA429" i="6"/>
  <c r="S430" i="6"/>
  <c r="AD429" i="6"/>
  <c r="X430" i="6"/>
  <c r="W430" i="6"/>
  <c r="V430" i="6"/>
  <c r="P430" i="6"/>
  <c r="R343" i="6"/>
  <c r="AA342" i="6"/>
  <c r="S343" i="6"/>
  <c r="AD342" i="6"/>
  <c r="X343" i="6"/>
  <c r="W343" i="6"/>
  <c r="V343" i="6"/>
  <c r="P343" i="6"/>
  <c r="R256" i="6"/>
  <c r="AA255" i="6"/>
  <c r="S256" i="6"/>
  <c r="AD255" i="6"/>
  <c r="X256" i="6"/>
  <c r="W256" i="6"/>
  <c r="V256" i="6"/>
  <c r="P256" i="6"/>
  <c r="R169" i="6"/>
  <c r="AA168" i="6"/>
  <c r="S169" i="6"/>
  <c r="AD168" i="6"/>
  <c r="X169" i="6"/>
  <c r="W169" i="6"/>
  <c r="V169" i="6"/>
  <c r="P169" i="6"/>
  <c r="Y517" i="6" l="1"/>
  <c r="Z517" i="6" s="1"/>
  <c r="Q517" i="6"/>
  <c r="AC516" i="6"/>
  <c r="AB517" i="6"/>
  <c r="Y430" i="6"/>
  <c r="Z430" i="6" s="1"/>
  <c r="Q430" i="6"/>
  <c r="AC429" i="6"/>
  <c r="AB430" i="6"/>
  <c r="Y343" i="6"/>
  <c r="Z343" i="6" s="1"/>
  <c r="Q343" i="6"/>
  <c r="AC342" i="6"/>
  <c r="AB343" i="6"/>
  <c r="Y256" i="6"/>
  <c r="Z256" i="6" s="1"/>
  <c r="Q256" i="6"/>
  <c r="AC255" i="6"/>
  <c r="AB256" i="6"/>
  <c r="Y169" i="6"/>
  <c r="Z169" i="6" s="1"/>
  <c r="Q169" i="6"/>
  <c r="AC168" i="6"/>
  <c r="AB169" i="6"/>
  <c r="AE516" i="6" l="1"/>
  <c r="O518" i="6"/>
  <c r="U517" i="6"/>
  <c r="T517" i="6"/>
  <c r="AE429" i="6"/>
  <c r="O431" i="6"/>
  <c r="U430" i="6"/>
  <c r="T430" i="6"/>
  <c r="AE342" i="6"/>
  <c r="O344" i="6"/>
  <c r="U343" i="6"/>
  <c r="T343" i="6"/>
  <c r="AE255" i="6"/>
  <c r="O257" i="6"/>
  <c r="U256" i="6"/>
  <c r="T256" i="6"/>
  <c r="AE168" i="6"/>
  <c r="O170" i="6"/>
  <c r="U169" i="6"/>
  <c r="T169" i="6"/>
  <c r="R518" i="6" l="1"/>
  <c r="AA517" i="6"/>
  <c r="S518" i="6"/>
  <c r="AD517" i="6"/>
  <c r="X518" i="6"/>
  <c r="W518" i="6"/>
  <c r="V518" i="6"/>
  <c r="P518" i="6"/>
  <c r="R431" i="6"/>
  <c r="AA430" i="6"/>
  <c r="S431" i="6"/>
  <c r="AD430" i="6"/>
  <c r="X431" i="6"/>
  <c r="W431" i="6"/>
  <c r="V431" i="6"/>
  <c r="P431" i="6"/>
  <c r="R344" i="6"/>
  <c r="AA343" i="6"/>
  <c r="S344" i="6"/>
  <c r="AD343" i="6"/>
  <c r="X344" i="6"/>
  <c r="W344" i="6"/>
  <c r="V344" i="6"/>
  <c r="P344" i="6"/>
  <c r="R257" i="6"/>
  <c r="AA256" i="6"/>
  <c r="S257" i="6"/>
  <c r="AD256" i="6"/>
  <c r="X257" i="6"/>
  <c r="W257" i="6"/>
  <c r="V257" i="6"/>
  <c r="P257" i="6"/>
  <c r="R170" i="6"/>
  <c r="AA169" i="6"/>
  <c r="S170" i="6"/>
  <c r="AD169" i="6"/>
  <c r="X170" i="6"/>
  <c r="W170" i="6"/>
  <c r="V170" i="6"/>
  <c r="P170" i="6"/>
  <c r="Y518" i="6" l="1"/>
  <c r="Z518" i="6" s="1"/>
  <c r="Q518" i="6"/>
  <c r="AC517" i="6"/>
  <c r="AB518" i="6"/>
  <c r="Y431" i="6"/>
  <c r="Z431" i="6" s="1"/>
  <c r="Q431" i="6"/>
  <c r="AC430" i="6"/>
  <c r="AB431" i="6"/>
  <c r="Y344" i="6"/>
  <c r="Z344" i="6" s="1"/>
  <c r="Q344" i="6"/>
  <c r="AC343" i="6"/>
  <c r="AB344" i="6"/>
  <c r="Y257" i="6"/>
  <c r="Z257" i="6" s="1"/>
  <c r="Q257" i="6"/>
  <c r="AC256" i="6"/>
  <c r="AB257" i="6"/>
  <c r="Y170" i="6"/>
  <c r="Z170" i="6" s="1"/>
  <c r="Q170" i="6"/>
  <c r="AC169" i="6"/>
  <c r="AB170" i="6"/>
  <c r="AE517" i="6" l="1"/>
  <c r="O519" i="6"/>
  <c r="U518" i="6"/>
  <c r="T518" i="6"/>
  <c r="AE430" i="6"/>
  <c r="O432" i="6"/>
  <c r="U431" i="6"/>
  <c r="T431" i="6"/>
  <c r="AE343" i="6"/>
  <c r="O345" i="6"/>
  <c r="U344" i="6"/>
  <c r="T344" i="6"/>
  <c r="AE256" i="6"/>
  <c r="O258" i="6"/>
  <c r="U257" i="6"/>
  <c r="T257" i="6"/>
  <c r="AE169" i="6"/>
  <c r="O171" i="6"/>
  <c r="U170" i="6"/>
  <c r="T170" i="6"/>
  <c r="R519" i="6" l="1"/>
  <c r="AA518" i="6"/>
  <c r="S519" i="6"/>
  <c r="AD518" i="6"/>
  <c r="X519" i="6"/>
  <c r="W519" i="6"/>
  <c r="V519" i="6"/>
  <c r="P519" i="6"/>
  <c r="R432" i="6"/>
  <c r="AA431" i="6"/>
  <c r="S432" i="6"/>
  <c r="AD431" i="6"/>
  <c r="X432" i="6"/>
  <c r="W432" i="6"/>
  <c r="V432" i="6"/>
  <c r="P432" i="6"/>
  <c r="R345" i="6"/>
  <c r="AA344" i="6"/>
  <c r="S345" i="6"/>
  <c r="AD344" i="6"/>
  <c r="X345" i="6"/>
  <c r="W345" i="6"/>
  <c r="V345" i="6"/>
  <c r="P345" i="6"/>
  <c r="R258" i="6"/>
  <c r="AA257" i="6"/>
  <c r="S258" i="6"/>
  <c r="AD257" i="6"/>
  <c r="X258" i="6"/>
  <c r="W258" i="6"/>
  <c r="V258" i="6"/>
  <c r="P258" i="6"/>
  <c r="R171" i="6"/>
  <c r="AA170" i="6"/>
  <c r="S171" i="6"/>
  <c r="AD170" i="6"/>
  <c r="X171" i="6"/>
  <c r="W171" i="6"/>
  <c r="V171" i="6"/>
  <c r="P171" i="6"/>
  <c r="Y519" i="6" l="1"/>
  <c r="Z519" i="6" s="1"/>
  <c r="Q519" i="6"/>
  <c r="V524" i="6"/>
  <c r="V523" i="6"/>
  <c r="V522" i="6"/>
  <c r="W524" i="6"/>
  <c r="W523" i="6"/>
  <c r="W522" i="6"/>
  <c r="X524" i="6"/>
  <c r="X523" i="6"/>
  <c r="X522" i="6"/>
  <c r="AC518" i="6"/>
  <c r="AB519" i="6"/>
  <c r="Y432" i="6"/>
  <c r="Z432" i="6" s="1"/>
  <c r="Q432" i="6"/>
  <c r="V437" i="6"/>
  <c r="V436" i="6"/>
  <c r="V435" i="6"/>
  <c r="W437" i="6"/>
  <c r="W436" i="6"/>
  <c r="W435" i="6"/>
  <c r="X437" i="6"/>
  <c r="X436" i="6"/>
  <c r="X435" i="6"/>
  <c r="AC431" i="6"/>
  <c r="AB432" i="6"/>
  <c r="Y345" i="6"/>
  <c r="Z345" i="6" s="1"/>
  <c r="Q345" i="6"/>
  <c r="V350" i="6"/>
  <c r="V349" i="6"/>
  <c r="V348" i="6"/>
  <c r="W350" i="6"/>
  <c r="W349" i="6"/>
  <c r="W348" i="6"/>
  <c r="X350" i="6"/>
  <c r="X349" i="6"/>
  <c r="X348" i="6"/>
  <c r="AC344" i="6"/>
  <c r="AB345" i="6"/>
  <c r="Y258" i="6"/>
  <c r="Z258" i="6" s="1"/>
  <c r="Q258" i="6"/>
  <c r="V263" i="6"/>
  <c r="V262" i="6"/>
  <c r="V261" i="6"/>
  <c r="W263" i="6"/>
  <c r="W262" i="6"/>
  <c r="W261" i="6"/>
  <c r="X263" i="6"/>
  <c r="X262" i="6"/>
  <c r="X261" i="6"/>
  <c r="AC257" i="6"/>
  <c r="AB258" i="6"/>
  <c r="Y171" i="6"/>
  <c r="Z171" i="6" s="1"/>
  <c r="Q171" i="6"/>
  <c r="V176" i="6"/>
  <c r="V175" i="6"/>
  <c r="V174" i="6"/>
  <c r="W176" i="6"/>
  <c r="W175" i="6"/>
  <c r="W174" i="6"/>
  <c r="X176" i="6"/>
  <c r="X175" i="6"/>
  <c r="X174" i="6"/>
  <c r="AC170" i="6"/>
  <c r="AB171" i="6"/>
  <c r="AB524" i="6" l="1"/>
  <c r="AB523" i="6"/>
  <c r="AB522" i="6"/>
  <c r="AE518" i="6"/>
  <c r="Z524" i="6"/>
  <c r="Z523" i="6"/>
  <c r="Z522" i="6"/>
  <c r="U519" i="6"/>
  <c r="AD519" i="6" s="1"/>
  <c r="T519" i="6"/>
  <c r="AA519" i="6" s="1"/>
  <c r="Y524" i="6"/>
  <c r="Y523" i="6"/>
  <c r="Y522" i="6"/>
  <c r="AB437" i="6"/>
  <c r="AB436" i="6"/>
  <c r="AB435" i="6"/>
  <c r="AE431" i="6"/>
  <c r="Z437" i="6"/>
  <c r="Z436" i="6"/>
  <c r="Z435" i="6"/>
  <c r="U432" i="6"/>
  <c r="AD432" i="6" s="1"/>
  <c r="T432" i="6"/>
  <c r="AA432" i="6" s="1"/>
  <c r="Y437" i="6"/>
  <c r="Y436" i="6"/>
  <c r="Y435" i="6"/>
  <c r="AB350" i="6"/>
  <c r="AB349" i="6"/>
  <c r="AB348" i="6"/>
  <c r="AE344" i="6"/>
  <c r="Z350" i="6"/>
  <c r="Z349" i="6"/>
  <c r="Z348" i="6"/>
  <c r="U345" i="6"/>
  <c r="AD345" i="6" s="1"/>
  <c r="T345" i="6"/>
  <c r="AA345" i="6" s="1"/>
  <c r="Y350" i="6"/>
  <c r="Y349" i="6"/>
  <c r="Y348" i="6"/>
  <c r="AB263" i="6"/>
  <c r="AB262" i="6"/>
  <c r="AB261" i="6"/>
  <c r="AE257" i="6"/>
  <c r="Z263" i="6"/>
  <c r="Z262" i="6"/>
  <c r="Z261" i="6"/>
  <c r="U258" i="6"/>
  <c r="AD258" i="6" s="1"/>
  <c r="T258" i="6"/>
  <c r="AA258" i="6" s="1"/>
  <c r="Y263" i="6"/>
  <c r="Y262" i="6"/>
  <c r="Y261" i="6"/>
  <c r="AB176" i="6"/>
  <c r="AB175" i="6"/>
  <c r="AB174" i="6"/>
  <c r="AE170" i="6"/>
  <c r="Z176" i="6"/>
  <c r="Z175" i="6"/>
  <c r="Z174" i="6"/>
  <c r="U171" i="6"/>
  <c r="AD171" i="6" s="1"/>
  <c r="T171" i="6"/>
  <c r="AA171" i="6" s="1"/>
  <c r="Y176" i="6"/>
  <c r="Y175" i="6"/>
  <c r="Y174" i="6"/>
  <c r="AA524" i="6" l="1"/>
  <c r="AA523" i="6"/>
  <c r="AA522" i="6"/>
  <c r="AC519" i="6"/>
  <c r="AD524" i="6"/>
  <c r="AD523" i="6"/>
  <c r="AD522" i="6"/>
  <c r="AA437" i="6"/>
  <c r="AA436" i="6"/>
  <c r="AA435" i="6"/>
  <c r="AC432" i="6"/>
  <c r="AD437" i="6"/>
  <c r="AD436" i="6"/>
  <c r="AD435" i="6"/>
  <c r="AA350" i="6"/>
  <c r="AA349" i="6"/>
  <c r="AA348" i="6"/>
  <c r="AC345" i="6"/>
  <c r="AD350" i="6"/>
  <c r="AD349" i="6"/>
  <c r="AD348" i="6"/>
  <c r="AA263" i="6"/>
  <c r="AA262" i="6"/>
  <c r="AA261" i="6"/>
  <c r="AC258" i="6"/>
  <c r="AD263" i="6"/>
  <c r="AD262" i="6"/>
  <c r="AD261" i="6"/>
  <c r="AA176" i="6"/>
  <c r="AA175" i="6"/>
  <c r="AA174" i="6"/>
  <c r="AC171" i="6"/>
  <c r="AD176" i="6"/>
  <c r="AD175" i="6"/>
  <c r="AD174" i="6"/>
  <c r="AE519" i="6" l="1"/>
  <c r="AC524" i="6"/>
  <c r="AC523" i="6"/>
  <c r="AC522" i="6"/>
  <c r="AE432" i="6"/>
  <c r="AC437" i="6"/>
  <c r="AC436" i="6"/>
  <c r="AC435" i="6"/>
  <c r="AE345" i="6"/>
  <c r="AC350" i="6"/>
  <c r="AC349" i="6"/>
  <c r="AC348" i="6"/>
  <c r="AE258" i="6"/>
  <c r="AC263" i="6"/>
  <c r="AC262" i="6"/>
  <c r="AC261" i="6"/>
  <c r="AE171" i="6"/>
  <c r="AC176" i="6"/>
  <c r="AC175" i="6"/>
  <c r="AC174" i="6"/>
  <c r="V526" i="6" l="1"/>
  <c r="G4" i="6"/>
  <c r="V439" i="6"/>
  <c r="F4" i="6"/>
  <c r="V352" i="6"/>
  <c r="E4" i="6"/>
  <c r="V265" i="6"/>
  <c r="D4" i="6"/>
  <c r="C4" i="6"/>
  <c r="V178" i="6"/>
  <c r="AE524" i="6"/>
  <c r="V527" i="6" s="1"/>
  <c r="AE523" i="6"/>
  <c r="AE522" i="6"/>
  <c r="AE437" i="6"/>
  <c r="V440" i="6" s="1"/>
  <c r="AE436" i="6"/>
  <c r="AE435" i="6"/>
  <c r="AE350" i="6"/>
  <c r="V353" i="6" s="1"/>
  <c r="AE349" i="6"/>
  <c r="AE348" i="6"/>
  <c r="AE263" i="6"/>
  <c r="V266" i="6" s="1"/>
  <c r="AE262" i="6"/>
  <c r="AE261" i="6"/>
  <c r="AE176" i="6"/>
  <c r="V179" i="6" s="1"/>
  <c r="AE175" i="6"/>
  <c r="AE174" i="6"/>
  <c r="K3" i="7"/>
  <c r="L2" i="7"/>
  <c r="B7" i="7"/>
  <c r="E7" i="7"/>
  <c r="F7" i="7"/>
  <c r="G7" i="7"/>
  <c r="M22" i="7"/>
  <c r="O22" i="7"/>
  <c r="M11" i="7" l="1"/>
  <c r="O11" i="7" s="1"/>
  <c r="M12" i="7"/>
  <c r="O12" i="7" s="1"/>
  <c r="M13" i="7"/>
  <c r="O13" i="7" s="1"/>
  <c r="M14" i="7"/>
  <c r="O14" i="7" s="1"/>
  <c r="M19" i="7"/>
  <c r="O19" i="7" s="1"/>
  <c r="M20" i="7"/>
  <c r="O20" i="7" s="1"/>
  <c r="M21" i="7"/>
  <c r="O2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tc={9D4C6241-DD85-48E7-ADB0-17BDEF63C741}</author>
    <author>Alex Lu</author>
  </authors>
  <commentList>
    <comment ref="B7" authorId="0" shapeId="0" xr:uid="{9D4C6241-DD85-48E7-ADB0-17BDEF63C741}">
      <text>
        <t>[Threaded comment]
Your version of Excel allows you to read this threaded comment; however, any edits to it will get removed if the file is opened in a newer version of Excel. Learn more: https://go.microsoft.com/fwlink/?linkid=870924
Comment:
    Compare the cost reduction after the model, and see what is the lowest premium we can offer without suffering a loss
Reply:
    Use solver to see what the unprofitable premium is</t>
      </text>
    </comment>
    <comment ref="M9" authorId="1" shapeId="0" xr:uid="{5F7C624F-6204-4745-9A8F-82248E2B8F7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0" authorId="1" shapeId="0" xr:uid="{ED7C695D-D7ED-4887-8AC6-443729973D7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1" authorId="1" shapeId="0" xr:uid="{4C03781B-ACF9-4EA2-9655-9A94CEAD12B5}">
      <text>
        <r>
          <rPr>
            <sz val="11"/>
            <color rgb="FF000000"/>
            <rFont val="Calibri"/>
            <family val="2"/>
          </rPr>
          <t xml:space="preserve">Alex Lu:
</t>
        </r>
        <r>
          <rPr>
            <sz val="11"/>
            <color rgb="FF000000"/>
            <rFont val="Calibri"/>
            <family val="2"/>
          </rPr>
          <t xml:space="preserve">Need Mortality for Base customer
</t>
        </r>
      </text>
    </comment>
    <comment ref="M12" authorId="1" shapeId="0" xr:uid="{AB3310EF-3220-4F60-88E0-034D27287C61}">
      <text>
        <r>
          <rPr>
            <sz val="11"/>
            <color rgb="FF000000"/>
            <rFont val="Calibri"/>
            <family val="2"/>
          </rPr>
          <t xml:space="preserve">Alex Lu:
</t>
        </r>
        <r>
          <rPr>
            <sz val="11"/>
            <color rgb="FF000000"/>
            <rFont val="Calibri"/>
            <family val="2"/>
          </rPr>
          <t xml:space="preserve">Need Mortality for Base customer
</t>
        </r>
      </text>
    </comment>
    <comment ref="M13" authorId="1" shapeId="0" xr:uid="{FA358187-5C8B-4605-BFF7-7B298E386A8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4" authorId="1" shapeId="0" xr:uid="{38040EC3-885E-44A5-AD44-1FA2CCAD526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5" authorId="1" shapeId="0" xr:uid="{1BE05AF1-274F-4A7A-93A0-67BFF38F91A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6" authorId="1" shapeId="0" xr:uid="{196875F7-C03D-4A49-ACC8-9C5891D8819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7" authorId="1" shapeId="0" xr:uid="{8B5BC560-3C07-486A-9563-B2D5C271FF7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8" authorId="1" shapeId="0" xr:uid="{6CB62975-D77C-498E-BD0E-DE8A46C9D3D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9" authorId="1" shapeId="0" xr:uid="{92957097-BDE4-4F3B-A3D3-F2782CE59EE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20" authorId="1" shapeId="0" xr:uid="{D28B2C09-E1DF-4327-B2D6-AD4E4628592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21" authorId="1" shapeId="0" xr:uid="{251B7FE8-7ED2-4A9B-A8C7-40A06A49BCC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22" authorId="1" shapeId="0" xr:uid="{50EA25C8-782B-4410-871A-ADCEF7E0D7F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23" authorId="1" shapeId="0" xr:uid="{A54FB922-0741-4997-BE3C-3935930FBFB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24" authorId="1" shapeId="0" xr:uid="{12F88689-2188-429A-9046-2E18C16DAE4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25" authorId="1" shapeId="0" xr:uid="{93C8D28A-F97E-446C-903E-92774551118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26" authorId="1" shapeId="0" xr:uid="{03D143B3-F946-4CAA-BA89-75AF91E4AB7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27" authorId="1" shapeId="0" xr:uid="{FF6F4984-DB27-4618-A46D-4C8FF68E494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28" authorId="1" shapeId="0" xr:uid="{81814EBD-2358-4C60-AF14-28E809866F5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40" authorId="1" shapeId="0" xr:uid="{9798EC78-FC06-435C-97D5-749F90E4AF4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41" authorId="1" shapeId="0" xr:uid="{2D11BADA-0AAF-45D7-B8B3-79266913C38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42" authorId="1" shapeId="0" xr:uid="{48F31A84-496A-4AA3-A7B4-45917FE1CAA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43" authorId="1" shapeId="0" xr:uid="{A2B7DBC3-0DC8-4E53-94C2-7B99790BE5D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44" authorId="1" shapeId="0" xr:uid="{F6884CC1-2052-4E0C-A425-B513C158416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45" authorId="1" shapeId="0" xr:uid="{345797FE-864D-44AF-ABD5-5C33B6748C3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46" authorId="1" shapeId="0" xr:uid="{B72715F2-8525-4F4B-B921-2096E291C41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47" authorId="1" shapeId="0" xr:uid="{8FF04465-8071-4BDC-901D-0DF1E9EB66C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48" authorId="1" shapeId="0" xr:uid="{C32C4909-C04A-406A-99E1-98227569429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49" authorId="1" shapeId="0" xr:uid="{85E4FBA1-327E-4912-9AAD-846E2F0B520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50" authorId="1" shapeId="0" xr:uid="{5A0CA686-142B-4966-AA7E-ADC34A40E6A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51" authorId="1" shapeId="0" xr:uid="{77DCFD21-538A-4D35-B883-1A8C8FF964A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52" authorId="1" shapeId="0" xr:uid="{51B9B33E-64FC-464E-BCF7-6FF475B6920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53" authorId="1" shapeId="0" xr:uid="{71067622-9B24-41B9-8D4A-8A9CF4BE0CD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54" authorId="1" shapeId="0" xr:uid="{96FE33B9-EDCC-4576-9F55-9B394A7AD4B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55" authorId="1" shapeId="0" xr:uid="{69D32268-78F1-4925-A09A-5B2CA3681D6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56" authorId="1" shapeId="0" xr:uid="{900C3376-2B1B-44EF-9AB1-83B5487E0EA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57" authorId="1" shapeId="0" xr:uid="{32C706CB-9668-4707-BBC5-8A67BA29215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58" authorId="1" shapeId="0" xr:uid="{7CE45D6A-5C12-47FA-BC93-19C3AC090F2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59" authorId="1" shapeId="0" xr:uid="{11C95DB7-922D-4426-81C2-4DADE291643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71" authorId="1" shapeId="0" xr:uid="{2F5F4BD3-7C10-438E-9361-93D671D9277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72" authorId="1" shapeId="0" xr:uid="{26FB145F-5522-4F11-9D00-92849B08849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73" authorId="1" shapeId="0" xr:uid="{EC8CC90A-2214-41AC-A051-95AD5D69C9C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74" authorId="1" shapeId="0" xr:uid="{017D2513-4791-41EC-A577-E37BFE69EE4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75" authorId="1" shapeId="0" xr:uid="{9A41D5D9-7020-4C11-8CC2-97638C3685F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76" authorId="1" shapeId="0" xr:uid="{19C6A318-4E0E-4C01-B8C2-CBF9E285E2D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77" authorId="1" shapeId="0" xr:uid="{30408260-F8DA-4AF8-AF5A-A93CC097CF7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78" authorId="1" shapeId="0" xr:uid="{A7DDB272-F89D-4FF1-9A8D-E8CF2233831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79" authorId="1" shapeId="0" xr:uid="{6BF130A2-8E71-4F71-B0FC-4857C7F86D8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80" authorId="1" shapeId="0" xr:uid="{7ECF38A1-3F28-4579-BF68-7D00A67BE41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81" authorId="1" shapeId="0" xr:uid="{D4BD441D-D72E-4537-97F9-536A32249B1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82" authorId="1" shapeId="0" xr:uid="{4A41900F-8C55-4351-B4E9-ECA3C635C44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83" authorId="1" shapeId="0" xr:uid="{FF4A0981-4361-421C-AD69-781A7921281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84" authorId="1" shapeId="0" xr:uid="{480A6B01-755E-4B2B-B22D-DE103C7C2EC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85" authorId="1" shapeId="0" xr:uid="{1BF5E4F6-ADFD-45DC-9759-A53927DF47A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86" authorId="1" shapeId="0" xr:uid="{3C4D2269-94D1-4AE9-8EA9-30B08B9B8B6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87" authorId="1" shapeId="0" xr:uid="{62ADF001-3389-445E-91C9-A728A4C8172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88" authorId="1" shapeId="0" xr:uid="{9935C631-CED3-42D9-A809-615D587B6B5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89" authorId="1" shapeId="0" xr:uid="{17BA2F0D-DB0B-4F61-8A8E-789A19E4420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90" authorId="1" shapeId="0" xr:uid="{CBD80E5B-D9D9-4DC3-8740-7A14D2E2D29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02" authorId="1" shapeId="0" xr:uid="{417EC20C-B1B3-4875-8627-705342B5587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03" authorId="1" shapeId="0" xr:uid="{D192FB75-4F2F-499E-8154-E452218FAE3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04" authorId="1" shapeId="0" xr:uid="{F5AFB7A2-7D5A-4536-88AB-209096138F8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05" authorId="1" shapeId="0" xr:uid="{C07B7FBF-512A-4719-BC66-42FD6FAA2EF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06" authorId="1" shapeId="0" xr:uid="{B2F66B25-DE65-4AFC-88C4-B7AF659ED84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07" authorId="1" shapeId="0" xr:uid="{EE58A9C4-C63D-48BE-ACE1-5F4CF8DD110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08" authorId="1" shapeId="0" xr:uid="{DEDEDC5D-800E-42B6-96FF-D305AA492E4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09" authorId="1" shapeId="0" xr:uid="{D32A9117-7B2A-4360-8600-E874C6E10D2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10" authorId="1" shapeId="0" xr:uid="{F2A2E584-9DD2-475E-8C97-6DEF16B062C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11" authorId="1" shapeId="0" xr:uid="{04CA740B-B02E-44FD-903B-142C00C58F9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12" authorId="1" shapeId="0" xr:uid="{2C7A33B8-9B25-43EE-B16C-3610FEB9F56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13" authorId="1" shapeId="0" xr:uid="{569EF298-01B0-48C1-9E97-059EFE5F274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14" authorId="1" shapeId="0" xr:uid="{AB09B0D0-5C80-4D40-8D00-0AD50989D44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15" authorId="1" shapeId="0" xr:uid="{9E951988-235C-46FE-A895-61619D76B5D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16" authorId="1" shapeId="0" xr:uid="{EC62C2B3-65C9-4E77-8A2E-FDDA42F6952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17" authorId="1" shapeId="0" xr:uid="{1EA2D98F-3E21-4230-A3D2-3BB7AC800E6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18" authorId="1" shapeId="0" xr:uid="{2EC24EAA-24F9-4149-BC59-60AB33D35EC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19" authorId="1" shapeId="0" xr:uid="{7082EA9B-848C-4DA1-9666-B0F0CEAA3C2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20" authorId="1" shapeId="0" xr:uid="{079C9909-4214-4175-AE67-40AE6E3F41E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21" authorId="1" shapeId="0" xr:uid="{FB9E6ADB-F5AA-4A5D-B9E4-D5849568CF0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33" authorId="1" shapeId="0" xr:uid="{CC492F08-5321-45F5-84A0-CEE0C8C7286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34" authorId="1" shapeId="0" xr:uid="{837961BC-3770-4C18-AE73-51DA1873D2E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35" authorId="1" shapeId="0" xr:uid="{381C41D4-0714-4A80-A316-B59578EA686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36" authorId="1" shapeId="0" xr:uid="{BBB9B7D3-789C-4F13-A8E9-221B2A6F292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37" authorId="1" shapeId="0" xr:uid="{961AE37D-6C6B-416C-885B-D7370D531A0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38" authorId="1" shapeId="0" xr:uid="{1F6A0E3E-FB6D-4C4B-8C61-0383B4D75E4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39" authorId="1" shapeId="0" xr:uid="{B7E5B34F-D8CB-48BE-8422-D6D1966431F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40" authorId="1" shapeId="0" xr:uid="{05107546-EB81-4DC0-8385-E1993FAC416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41" authorId="1" shapeId="0" xr:uid="{2BA5EEA4-0DFB-4FA8-9CE8-9E72AE87A83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42" authorId="1" shapeId="0" xr:uid="{D15290E0-3B58-4FAF-A9C1-AFD8ECBF656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43" authorId="1" shapeId="0" xr:uid="{B484CFBB-596F-4D1A-8600-D824E913CEB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44" authorId="1" shapeId="0" xr:uid="{1CD74F4A-0B05-41E2-BFB0-C22AA04034E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45" authorId="1" shapeId="0" xr:uid="{645A1F56-342E-41ED-AA73-15CE0A24F44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46" authorId="1" shapeId="0" xr:uid="{27301822-21C6-45A0-8D5C-CAAF99ED998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47" authorId="1" shapeId="0" xr:uid="{6A80FC59-F86B-47F2-8F1F-66ADB9CDD22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48" authorId="1" shapeId="0" xr:uid="{C1E696A6-045F-4AD6-863A-A9CB3DD22CE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49" authorId="1" shapeId="0" xr:uid="{DD465EA0-8AFA-48C4-82A4-AA8A737F7C0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50" authorId="1" shapeId="0" xr:uid="{7CBF91DD-EBDC-4EFC-810C-22221A27E17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51" authorId="1" shapeId="0" xr:uid="{DD6A8D21-AE78-4486-8ED8-4D38379D0D0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52" authorId="1" shapeId="0" xr:uid="{252B54FF-7E7C-4118-8996-59A55D7847F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64" authorId="1" shapeId="0" xr:uid="{02A72B29-8C04-4B69-A87A-C83838BCED0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65" authorId="1" shapeId="0" xr:uid="{D00F1503-866F-4FF7-B756-54640CD0B4B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66" authorId="1" shapeId="0" xr:uid="{6CFA8C9C-885F-48CB-8141-F0BBD704978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67" authorId="1" shapeId="0" xr:uid="{83B9D3BD-DCE5-455C-8DF4-794CC7A9B8D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68" authorId="1" shapeId="0" xr:uid="{85A92E5F-4855-4160-A5F7-2ADF144B8C2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69" authorId="1" shapeId="0" xr:uid="{5EEBF270-4A1F-402F-8DE3-048763647FE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70" authorId="1" shapeId="0" xr:uid="{48756E89-E2C3-4797-BC12-2532F047252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71" authorId="1" shapeId="0" xr:uid="{6381DC31-1A27-469C-9E2A-967892CD8F4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72" authorId="1" shapeId="0" xr:uid="{16F26568-11D4-4F2E-8F54-0F691021282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73" authorId="1" shapeId="0" xr:uid="{B640BE69-D4F6-4495-AA70-FA5B72C3D4D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74" authorId="1" shapeId="0" xr:uid="{1F2CDF0C-507F-49CB-B262-5902F51DD44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75" authorId="1" shapeId="0" xr:uid="{FD42B7EF-128B-4FF5-9D2D-694B0371056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76" authorId="1" shapeId="0" xr:uid="{F2E16EA8-E8D3-482C-B8FC-7EDD899B371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77" authorId="1" shapeId="0" xr:uid="{4B297EA6-EDB1-4EA8-A3B4-FE82494626F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78" authorId="1" shapeId="0" xr:uid="{6A3F055D-2AB7-4418-9EBB-838D0620310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79" authorId="1" shapeId="0" xr:uid="{1BCF7A3B-55F2-44AD-B051-2744D27D0C3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80" authorId="1" shapeId="0" xr:uid="{A2188764-03D2-4EE6-9229-1EF9776B265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81" authorId="1" shapeId="0" xr:uid="{31A6D038-458E-44B7-92F8-EEB96E6DB7D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82" authorId="1" shapeId="0" xr:uid="{C3B751E6-2F98-42BD-A3D1-8FD9A46D2A9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M183" authorId="1" shapeId="0" xr:uid="{42565D5B-2C23-4CD2-97B7-F6D896346A3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 Lu</author>
  </authors>
  <commentList>
    <comment ref="N10" authorId="0" shapeId="0" xr:uid="{233B1619-9F68-4F9B-8173-F5F326C692C6}">
      <text>
        <r>
          <rPr>
            <sz val="11"/>
            <color rgb="FF000000"/>
            <rFont val="Calibri"/>
            <family val="2"/>
          </rPr>
          <t xml:space="preserve">Alex Lu:
</t>
        </r>
        <r>
          <rPr>
            <sz val="11"/>
            <color rgb="FF000000"/>
            <rFont val="Calibri"/>
            <family val="2"/>
          </rPr>
          <t xml:space="preserve">Need Mortality for Base customer
</t>
        </r>
      </text>
    </comment>
    <comment ref="N11" authorId="0" shapeId="0" xr:uid="{23156CFC-03E5-414F-BFE2-EBCB62FDD32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2" authorId="0" shapeId="0" xr:uid="{B0D99D86-E709-494E-98F0-55585B4123AE}">
      <text>
        <r>
          <rPr>
            <sz val="11"/>
            <color rgb="FF000000"/>
            <rFont val="Calibri"/>
            <family val="2"/>
          </rPr>
          <t xml:space="preserve">Alex Lu:
</t>
        </r>
        <r>
          <rPr>
            <sz val="11"/>
            <color rgb="FF000000"/>
            <rFont val="Calibri"/>
            <family val="2"/>
          </rPr>
          <t xml:space="preserve">Need Mortality for Base customer
</t>
        </r>
      </text>
    </comment>
    <comment ref="N13" authorId="0" shapeId="0" xr:uid="{74E9D9E0-CC74-48CA-94A9-6E4821E7917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4" authorId="0" shapeId="0" xr:uid="{C3B0F7A8-0513-4D0B-8CF6-D8258F66B3BB}">
      <text>
        <r>
          <rPr>
            <sz val="11"/>
            <color rgb="FF000000"/>
            <rFont val="Calibri"/>
            <family val="2"/>
          </rPr>
          <t xml:space="preserve">Alex Lu:
</t>
        </r>
        <r>
          <rPr>
            <sz val="11"/>
            <color rgb="FF000000"/>
            <rFont val="Calibri"/>
            <family val="2"/>
          </rPr>
          <t xml:space="preserve">Need Mortality for Base customer
</t>
        </r>
      </text>
    </comment>
    <comment ref="N15" authorId="0" shapeId="0" xr:uid="{34EB6F35-3CF9-4722-BF5A-E86D1DEAF9B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6" authorId="0" shapeId="0" xr:uid="{4ED3D62A-3EC9-449E-A2D1-40E20BE6C480}">
      <text>
        <r>
          <rPr>
            <sz val="11"/>
            <color rgb="FF000000"/>
            <rFont val="Calibri"/>
            <family val="2"/>
          </rPr>
          <t xml:space="preserve">Alex Lu:
</t>
        </r>
        <r>
          <rPr>
            <sz val="11"/>
            <color rgb="FF000000"/>
            <rFont val="Calibri"/>
            <family val="2"/>
          </rPr>
          <t xml:space="preserve">Need Mortality for Base customer
</t>
        </r>
      </text>
    </comment>
    <comment ref="N17" authorId="0" shapeId="0" xr:uid="{A5035AF8-3353-447C-8F36-1D113152039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8" authorId="0" shapeId="0" xr:uid="{653189A5-7F35-469B-9487-79046C9A89D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9" authorId="0" shapeId="0" xr:uid="{799E7703-6681-4783-9828-ED7436234D1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0" authorId="0" shapeId="0" xr:uid="{765EDDB5-D2A6-4027-8C02-C23A353FCFA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1" authorId="0" shapeId="0" xr:uid="{0AED02AD-F9D7-419B-958F-83783E216B4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2" authorId="0" shapeId="0" xr:uid="{D30C7ED6-F314-4D84-AFD2-4A5EB6F8231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3" authorId="0" shapeId="0" xr:uid="{75A68A4D-350B-471A-A498-F492579D24B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4" authorId="0" shapeId="0" xr:uid="{14B36340-FAD8-459B-AEBD-5D7649DFB3C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5" authorId="0" shapeId="0" xr:uid="{BEB9802B-C029-42B3-843C-7FF6932A686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6" authorId="0" shapeId="0" xr:uid="{8FA12A85-4648-4A88-9CF0-0F16F5664DE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7" authorId="0" shapeId="0" xr:uid="{CB9E983E-6182-4672-A659-592E980A599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8" authorId="0" shapeId="0" xr:uid="{B78ADC35-098A-4A16-86A5-81396A83262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9" authorId="0" shapeId="0" xr:uid="{BE10A34C-E719-439D-AA1C-7868DCBC2DE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0" authorId="0" shapeId="0" xr:uid="{FE740A80-F50A-4FF0-B7DC-83DA3BA4348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1" authorId="0" shapeId="0" xr:uid="{F63B1E7C-C3C4-445E-A4F3-110E29CCC59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2" authorId="0" shapeId="0" xr:uid="{3C95A267-D822-40B3-9316-43E62922182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3" authorId="0" shapeId="0" xr:uid="{4D825257-9FCC-46A7-BADC-F31B672B08C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4" authorId="0" shapeId="0" xr:uid="{A058A4B9-D19C-40FD-972C-38F6E51593C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5" authorId="0" shapeId="0" xr:uid="{93D93B77-DF40-4A4D-A67F-0C959E56CCF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6" authorId="0" shapeId="0" xr:uid="{3282BE21-E591-4A72-8624-A27F0C1DB1C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7" authorId="0" shapeId="0" xr:uid="{C73AAF5E-F7F7-451D-869B-2A6B84EA85E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8" authorId="0" shapeId="0" xr:uid="{10FB75FA-4415-4B52-AD80-5C9AE0BE51D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9" authorId="0" shapeId="0" xr:uid="{50A3E065-B2D6-4167-916C-EE7B2CD168C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0" authorId="0" shapeId="0" xr:uid="{CE63423F-D89C-45EB-8B8A-273A642F942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1" authorId="0" shapeId="0" xr:uid="{399AFB8C-FB96-462B-952A-EA0DA209AC2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2" authorId="0" shapeId="0" xr:uid="{FDC24DB0-EE7C-4AB7-89CD-E225CADF349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3" authorId="0" shapeId="0" xr:uid="{7FB5E887-298C-495F-9693-397E132CDA5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4" authorId="0" shapeId="0" xr:uid="{C454753F-4FFC-429A-ACC4-FA109BDA12C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5" authorId="0" shapeId="0" xr:uid="{9DFE3F27-F335-4F2F-A4CE-69EE95A3940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6" authorId="0" shapeId="0" xr:uid="{837D8B4A-8E35-44AC-911C-F1E161EAA15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7" authorId="0" shapeId="0" xr:uid="{2AA7FC27-3E4B-40E2-AD55-4C5B259F1BD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8" authorId="0" shapeId="0" xr:uid="{29BD124F-4160-4362-A2EC-03EFD351CB8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9" authorId="0" shapeId="0" xr:uid="{9B2495D8-0C8C-4AA8-A09D-F5716CAA815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0" authorId="0" shapeId="0" xr:uid="{66DD88F2-616E-4369-AF97-506C83A00DB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1" authorId="0" shapeId="0" xr:uid="{8BDDEA68-6D3F-482C-B167-E25C4F9D730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2" authorId="0" shapeId="0" xr:uid="{30BEDFAC-8F90-42B0-B969-76074D2309E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3" authorId="0" shapeId="0" xr:uid="{0B30E8EF-2792-4B5B-8376-8D4B14A33F4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4" authorId="0" shapeId="0" xr:uid="{BBA699F4-A487-4DDF-BEFF-94861C21A68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5" authorId="0" shapeId="0" xr:uid="{93A7CF53-0757-4F7B-99A7-686172314FE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6" authorId="0" shapeId="0" xr:uid="{800987E6-C235-4F4B-9087-E949894D9F2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7" authorId="0" shapeId="0" xr:uid="{06F43BAD-98B4-4FB4-B122-55259054707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8" authorId="0" shapeId="0" xr:uid="{46FD00E9-2637-45AB-B3F2-A39FD5044FA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9" authorId="0" shapeId="0" xr:uid="{A7EAC1DC-2042-4783-B33B-DA963AE59B1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60" authorId="0" shapeId="0" xr:uid="{5E758285-0719-49B0-869C-ADACFBA55D4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61" authorId="0" shapeId="0" xr:uid="{B9C0B2AC-2FC9-4D1D-A198-9B78119A0B7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62" authorId="0" shapeId="0" xr:uid="{6F203671-54A5-4CB1-A6E4-AC2B1504B00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63" authorId="0" shapeId="0" xr:uid="{D67A209E-159D-45FD-8E8C-9F19DB27668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64" authorId="0" shapeId="0" xr:uid="{536764B7-FCFA-4D61-9672-740E97527B2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65" authorId="0" shapeId="0" xr:uid="{7B33B66D-8F21-4B19-ABC5-EDFDA746120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66" authorId="0" shapeId="0" xr:uid="{EAD1141B-D788-4D87-A5D6-FCBCE83052E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67" authorId="0" shapeId="0" xr:uid="{CD834F50-25D5-412B-AD04-E2BD45E0BE7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68" authorId="0" shapeId="0" xr:uid="{127BD9E4-004E-4E29-93C9-473CCD17307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69" authorId="0" shapeId="0" xr:uid="{F7A0E201-581B-4C77-ACCB-9402E7D2FBE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70" authorId="0" shapeId="0" xr:uid="{4B1F4A9B-2E7F-48EA-976F-6F8C5CBA10D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71" authorId="0" shapeId="0" xr:uid="{760DFB3E-96F1-4E73-893A-2F6C489BBD8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72" authorId="0" shapeId="0" xr:uid="{93B78669-62DC-4C08-AF3B-E635528C9C4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73" authorId="0" shapeId="0" xr:uid="{FAC5F50A-B618-4B0E-863B-E4751462C24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74" authorId="0" shapeId="0" xr:uid="{7E3A26FF-E60F-461E-ACF7-90BAE7565B8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75" authorId="0" shapeId="0" xr:uid="{51B65F6F-879F-4C5B-8ED8-1F7A16D36B2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76" authorId="0" shapeId="0" xr:uid="{9C45B6D8-ECE3-426A-8F8D-D82CD8697F3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77" authorId="0" shapeId="0" xr:uid="{134101F8-9611-44A9-BC25-FE3B4C3EB06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78" authorId="0" shapeId="0" xr:uid="{AE9ECDC4-B11B-4776-A208-490C2B3ABC2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79" authorId="0" shapeId="0" xr:uid="{B42D4A33-FEF8-4DD8-963D-08F6E98EBD5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80" authorId="0" shapeId="0" xr:uid="{CC3DB327-9AA7-46F8-BE7D-A2237308C25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81" authorId="0" shapeId="0" xr:uid="{4CA52742-CD8D-45A3-B40F-A4F51C7D3D5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82" authorId="0" shapeId="0" xr:uid="{E0CEE4BD-19BB-4DCD-92BB-75EEECE3A47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83" authorId="0" shapeId="0" xr:uid="{4745058C-CF43-4A23-8F38-9FAF9DF6918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84" authorId="0" shapeId="0" xr:uid="{A30E0457-5562-4481-955E-C7FDB717582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97" authorId="0" shapeId="0" xr:uid="{EF871650-5B12-47D3-B44A-B395A1A6BA5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98" authorId="0" shapeId="0" xr:uid="{2C7277EA-B413-4CF8-B61E-6A0D36DF652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99" authorId="0" shapeId="0" xr:uid="{9E5AF439-60F7-4A37-BD7C-316B30616E5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00" authorId="0" shapeId="0" xr:uid="{DD05C292-5895-4A94-804F-0D401987D46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01" authorId="0" shapeId="0" xr:uid="{820353E0-D37D-4CD1-941E-5F92E456152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02" authorId="0" shapeId="0" xr:uid="{0C584DA0-46FC-4129-B411-80DBA876968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03" authorId="0" shapeId="0" xr:uid="{76CC08A8-5FA4-4CFA-A61C-3ABAB4A6E78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04" authorId="0" shapeId="0" xr:uid="{FD9C5D9E-5353-4043-B89F-B45F0C1B4BB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05" authorId="0" shapeId="0" xr:uid="{7718E2DA-DB09-431D-9BCA-7580E22D8FB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06" authorId="0" shapeId="0" xr:uid="{19D89855-CD3F-40C5-8459-5EDA4AA08FB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07" authorId="0" shapeId="0" xr:uid="{DBFD1E03-97AC-48BF-A1C6-914485B8B7E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08" authorId="0" shapeId="0" xr:uid="{BBC02463-D70D-4755-8418-37FE3A7B7B5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09" authorId="0" shapeId="0" xr:uid="{A7912973-E4D3-404B-B58C-78429495B60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10" authorId="0" shapeId="0" xr:uid="{85AF5507-9FA3-4CC5-BB61-1BBA6D16AFB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11" authorId="0" shapeId="0" xr:uid="{6A83CCDA-AC54-448B-AD2C-C7E637AB187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12" authorId="0" shapeId="0" xr:uid="{0A63AF4A-D361-4086-84EE-2A16C389A79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13" authorId="0" shapeId="0" xr:uid="{4875547E-8EA3-415F-BB58-8475895063E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14" authorId="0" shapeId="0" xr:uid="{69E6505D-3B69-4310-88C0-3189C69BA75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15" authorId="0" shapeId="0" xr:uid="{F694595A-FE22-4875-B7A9-8A4AB9FD824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16" authorId="0" shapeId="0" xr:uid="{1A3FDC78-BAC6-46A7-8764-1745B0739A6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17" authorId="0" shapeId="0" xr:uid="{064B5097-AEED-4AA3-BB1B-EE97FA8F42A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18" authorId="0" shapeId="0" xr:uid="{76D48EB9-4616-4261-A797-DC27B909480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19" authorId="0" shapeId="0" xr:uid="{B33CFF9E-FB3D-4D71-BDE1-64EE9F17D43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20" authorId="0" shapeId="0" xr:uid="{7EC482A9-5F36-4EFB-85FC-F754AA396AA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21" authorId="0" shapeId="0" xr:uid="{961307BA-9180-4CDD-BDAF-1C4D339503A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22" authorId="0" shapeId="0" xr:uid="{616CC2F5-5DEB-4512-8066-A42F389D8A8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23" authorId="0" shapeId="0" xr:uid="{3A93B96E-3C66-41A0-8D4D-C762DA753E2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24" authorId="0" shapeId="0" xr:uid="{3FBDA5A9-D421-40FE-9BF8-F89A6549115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25" authorId="0" shapeId="0" xr:uid="{F260E302-44EA-4CEB-BCB0-32E4B06BC26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26" authorId="0" shapeId="0" xr:uid="{C5B02D88-A665-4760-9990-A0567A7E83C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27" authorId="0" shapeId="0" xr:uid="{0864A8B7-5A68-450E-8076-F8B4086CEDD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28" authorId="0" shapeId="0" xr:uid="{73B8A65B-7E81-42F1-8DC0-8EB005FB100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29" authorId="0" shapeId="0" xr:uid="{EF1F14D0-090F-4CD3-BF9B-BF9F16C8EDB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30" authorId="0" shapeId="0" xr:uid="{E6D63506-55A1-48AF-9949-BF6563A85A7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31" authorId="0" shapeId="0" xr:uid="{7EBC840F-C55B-408D-8BEF-41DC9ECBF2E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32" authorId="0" shapeId="0" xr:uid="{DFBE2294-AED5-4C97-8F98-14B61C5EEE4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33" authorId="0" shapeId="0" xr:uid="{D353A60A-2B2D-4AC2-AB1D-AFCE4138EB8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34" authorId="0" shapeId="0" xr:uid="{EE6A7E64-0DC9-495A-893D-BAF3CD87C9A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35" authorId="0" shapeId="0" xr:uid="{AB2CEB2D-2851-469E-8B9C-1C0381E2C83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36" authorId="0" shapeId="0" xr:uid="{41599330-2A9D-40E8-B95B-6DB7347DF79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37" authorId="0" shapeId="0" xr:uid="{EE44F635-6A0C-43B1-ADEF-7FCD9DFDDA3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38" authorId="0" shapeId="0" xr:uid="{35B67EAF-1E8C-4DAF-9E97-17B0ED53D84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39" authorId="0" shapeId="0" xr:uid="{144751E4-738D-4B6F-8C2E-358E46139F7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40" authorId="0" shapeId="0" xr:uid="{2805D6D6-1830-44C2-B615-4A0F7CDE0A4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41" authorId="0" shapeId="0" xr:uid="{8D1A87CF-F68C-4DB7-8075-8448B4D4BD3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42" authorId="0" shapeId="0" xr:uid="{0BBB822A-C177-4474-A199-6940958E7DB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43" authorId="0" shapeId="0" xr:uid="{B9687496-AA9F-4958-8B8D-88D16DAF5D0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44" authorId="0" shapeId="0" xr:uid="{06F08AA3-BFAB-4BA6-8EB2-E20490BD368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45" authorId="0" shapeId="0" xr:uid="{6D3B5383-C26A-437C-8A0C-72FF7804181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46" authorId="0" shapeId="0" xr:uid="{9244B6D7-3CA3-4CE8-8DA2-DD48EB2F895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47" authorId="0" shapeId="0" xr:uid="{60E9D1DF-0577-4AC6-A820-7375532154A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48" authorId="0" shapeId="0" xr:uid="{BF97F318-9408-4A7D-9000-A11E72B1023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49" authorId="0" shapeId="0" xr:uid="{BDA5D056-84C6-4DB3-9307-981BC7C6FB6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50" authorId="0" shapeId="0" xr:uid="{864B2476-E3CF-4A14-B828-862B3398BBF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51" authorId="0" shapeId="0" xr:uid="{AD9F36EE-7927-49C7-ABE2-032CA6D4E52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52" authorId="0" shapeId="0" xr:uid="{79C9CF60-E289-4BE6-A1D1-40F5C54D5E5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53" authorId="0" shapeId="0" xr:uid="{6AA83B42-3C00-43EC-A76E-0BADCE18E11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54" authorId="0" shapeId="0" xr:uid="{39CB8CB9-A766-47C6-A4E3-1DC84CFE6B7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55" authorId="0" shapeId="0" xr:uid="{566EA51D-729F-47CB-BFEC-C6A2E254FC6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56" authorId="0" shapeId="0" xr:uid="{D143738F-59B0-4C27-9A2E-73E98285B47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57" authorId="0" shapeId="0" xr:uid="{540277F3-40C0-4F23-BF59-17B73151C67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58" authorId="0" shapeId="0" xr:uid="{74E75353-81F8-4F51-B3AD-970B80E8270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59" authorId="0" shapeId="0" xr:uid="{29AECCF5-9514-4055-B9AE-F01135FD5A9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60" authorId="0" shapeId="0" xr:uid="{F5462ABE-C2EB-4689-BD32-6A70AA77CDF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61" authorId="0" shapeId="0" xr:uid="{35DE0E36-862C-4588-B7D2-11A0C3FFE04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62" authorId="0" shapeId="0" xr:uid="{D9931B9B-4E41-4474-9B60-A5BDDA758A4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63" authorId="0" shapeId="0" xr:uid="{E4C83215-F57C-4103-8A47-638255C4B3D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64" authorId="0" shapeId="0" xr:uid="{5DD4FF31-5270-49E2-BA39-DD7FA41B93C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65" authorId="0" shapeId="0" xr:uid="{A38ABB63-50B7-4383-B35C-34013006593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66" authorId="0" shapeId="0" xr:uid="{3537EF36-CBFB-49A1-AF8D-05725BB65FF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67" authorId="0" shapeId="0" xr:uid="{6404F0FE-11E6-4CC3-B333-466D3EA0997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68" authorId="0" shapeId="0" xr:uid="{1126CF1F-76B0-457A-959E-CBBC1C57B11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69" authorId="0" shapeId="0" xr:uid="{83B84835-53A3-47C3-A9AB-A1F15B39C0C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70" authorId="0" shapeId="0" xr:uid="{0F1C54E8-E127-449F-886E-CAD25569CF3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71" authorId="0" shapeId="0" xr:uid="{DCE2A2A9-D579-443F-A457-0156ED39DFA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84" authorId="0" shapeId="0" xr:uid="{95DC7D2A-A907-40D7-8C78-0F36C758D6B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85" authorId="0" shapeId="0" xr:uid="{6E18115F-61DF-40C2-AF4F-CDF83C43402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86" authorId="0" shapeId="0" xr:uid="{9E0C8550-31E2-4487-B397-CE2738DC150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87" authorId="0" shapeId="0" xr:uid="{15E4B87D-B278-4BD5-AD88-A10E51655CE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88" authorId="0" shapeId="0" xr:uid="{21118EFD-90CE-499C-B229-1F0837896DC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89" authorId="0" shapeId="0" xr:uid="{462305C0-2AE5-44DB-B78D-A8704FEE7D0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90" authorId="0" shapeId="0" xr:uid="{126F3C34-D9D6-4634-898B-29E0B80DEED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91" authorId="0" shapeId="0" xr:uid="{EB35F575-C763-4DE3-A0AE-24D26EE927B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92" authorId="0" shapeId="0" xr:uid="{504DD35B-762B-44EA-96BA-6A2D28DB672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93" authorId="0" shapeId="0" xr:uid="{2C5F1618-60A9-486F-B1A8-70713B051DB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94" authorId="0" shapeId="0" xr:uid="{73668B75-DAE5-4C88-A220-1340F342459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95" authorId="0" shapeId="0" xr:uid="{D00ED0FC-3A73-4947-8D5F-A7E861B2E69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96" authorId="0" shapeId="0" xr:uid="{3E839260-F08A-41D3-B7CC-541299EADCE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97" authorId="0" shapeId="0" xr:uid="{A10A65A2-EADF-4609-B803-23B884EE75D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98" authorId="0" shapeId="0" xr:uid="{29BC7E98-A5B9-4DFF-9FCE-A6E26DC72AD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199" authorId="0" shapeId="0" xr:uid="{CE6146CC-7A71-4D54-86A8-476757BD5AE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00" authorId="0" shapeId="0" xr:uid="{A5B37EF3-429F-4E96-81C5-0C95BECEF39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01" authorId="0" shapeId="0" xr:uid="{D79C52C1-05BF-443A-9F42-97D6EFF11F4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02" authorId="0" shapeId="0" xr:uid="{3DD2DB4F-A92F-4317-AD91-89ECE2FE195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03" authorId="0" shapeId="0" xr:uid="{26433399-0883-408B-AD10-D1027B05B55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04" authorId="0" shapeId="0" xr:uid="{A986C15D-E2AA-4CB3-B91C-16EDE0E0C84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05" authorId="0" shapeId="0" xr:uid="{EDF15675-6256-4644-916C-4C7B62F77A9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06" authorId="0" shapeId="0" xr:uid="{4734B8C8-4566-4147-A980-81A074C63B2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07" authorId="0" shapeId="0" xr:uid="{20F3A6E9-974D-45AD-9754-B96C46CDBAA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08" authorId="0" shapeId="0" xr:uid="{4CCD94EF-8EAB-42CC-B5CC-EAC11FA2653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09" authorId="0" shapeId="0" xr:uid="{4218D28E-784C-47AD-ACB9-0BE3FB9CD8D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10" authorId="0" shapeId="0" xr:uid="{9DFCE40C-6541-4DC8-87F9-557C6DDA788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11" authorId="0" shapeId="0" xr:uid="{165C101A-31A4-4EC4-AEC7-E4FF897E076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12" authorId="0" shapeId="0" xr:uid="{06EE2F7C-0106-4EAD-8FA4-E6EEDA4E215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13" authorId="0" shapeId="0" xr:uid="{74F2AB89-11B6-4FBE-B97C-B57A84719A5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14" authorId="0" shapeId="0" xr:uid="{F35EEE42-431E-41E4-A2A6-F7D10951AF9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15" authorId="0" shapeId="0" xr:uid="{3C719C18-FEEE-43A2-AD98-6557210E7CE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16" authorId="0" shapeId="0" xr:uid="{C5FFA007-4C25-4B34-85AD-135A73F18CE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17" authorId="0" shapeId="0" xr:uid="{52EA07E4-1F58-4BE5-89BD-4DA7F5AE9FF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18" authorId="0" shapeId="0" xr:uid="{036186CE-48D5-4E69-B7AE-6944B59B237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19" authorId="0" shapeId="0" xr:uid="{EAAB58EE-0F90-40B3-A34C-BA55F297C7F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20" authorId="0" shapeId="0" xr:uid="{9BD731A5-C911-44F7-BF10-159E83543B2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21" authorId="0" shapeId="0" xr:uid="{9E08DCCE-A341-4097-83CC-9E815E78BC3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22" authorId="0" shapeId="0" xr:uid="{3730470C-809D-4E66-B5FF-B5F381F7676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23" authorId="0" shapeId="0" xr:uid="{140004F4-6C54-48EB-953D-A49A76B4114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24" authorId="0" shapeId="0" xr:uid="{9457AEDB-2672-46E5-A87F-62CA97D8598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25" authorId="0" shapeId="0" xr:uid="{56BF2134-0C9D-4C24-9B65-EE78171819C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26" authorId="0" shapeId="0" xr:uid="{31456872-D789-4861-A144-11BB31D6D30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27" authorId="0" shapeId="0" xr:uid="{EB0E56C3-3AC9-4957-B2E0-997EB2D338C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28" authorId="0" shapeId="0" xr:uid="{090CD62C-090C-4910-93FA-30AC0C8BC3E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29" authorId="0" shapeId="0" xr:uid="{4FBC8B18-9DB0-4EB2-B08B-F7B6D755924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30" authorId="0" shapeId="0" xr:uid="{F2802E11-77E2-4058-AEC0-278B7E67C22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31" authorId="0" shapeId="0" xr:uid="{4C0B825D-0ED9-40C1-BCA6-73B483C1652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32" authorId="0" shapeId="0" xr:uid="{730C2D27-6836-48E8-80CD-C541FFEB923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33" authorId="0" shapeId="0" xr:uid="{4F9DBE1E-C3D0-4F01-8211-AA78968A466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34" authorId="0" shapeId="0" xr:uid="{7136AF2C-7ED6-40F7-AB06-6AB49002E6A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35" authorId="0" shapeId="0" xr:uid="{6C8FEA13-D65D-47F5-8783-992E7CF367B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36" authorId="0" shapeId="0" xr:uid="{94980814-2EEB-404F-AC24-6505A2212EB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37" authorId="0" shapeId="0" xr:uid="{CF0A4A45-2A67-49D4-BA7A-01CD7B39C75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38" authorId="0" shapeId="0" xr:uid="{B2A8CFD5-305A-4D7F-A57F-8E7958BA0D9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39" authorId="0" shapeId="0" xr:uid="{D93CC90E-1B78-4FE7-ACA5-B7B2ECE5F9F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40" authorId="0" shapeId="0" xr:uid="{0BF5AB87-FCEC-495D-9354-EA12F4E3A70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41" authorId="0" shapeId="0" xr:uid="{F79DCB6E-7600-4CFB-AE6E-F63F385F46E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42" authorId="0" shapeId="0" xr:uid="{8D3F1887-B85B-451D-AD10-DEE561DECA1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43" authorId="0" shapeId="0" xr:uid="{4841FB76-D613-4300-84DB-5FF1CB1BEBD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44" authorId="0" shapeId="0" xr:uid="{8497FACB-3EC3-4C87-9C2C-0BEC0505CC7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45" authorId="0" shapeId="0" xr:uid="{B742E0E8-643A-40C9-9134-91044A83BEA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46" authorId="0" shapeId="0" xr:uid="{43B7D16F-727D-47B6-B788-55D1EF67F28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47" authorId="0" shapeId="0" xr:uid="{14C5664A-D80D-4239-A2D1-5F5D18234C5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48" authorId="0" shapeId="0" xr:uid="{01ADE135-519F-4CA5-9118-379D97AF8E0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49" authorId="0" shapeId="0" xr:uid="{9F9C9885-20CB-4882-AD52-568FF869930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50" authorId="0" shapeId="0" xr:uid="{BC0D6442-3769-4B75-9461-79D73646FE0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51" authorId="0" shapeId="0" xr:uid="{9C404C5B-DAA0-4408-B3BF-CACB4E89F1A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52" authorId="0" shapeId="0" xr:uid="{3B36ADEA-F2D5-4816-AC58-FC3FDE3470F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53" authorId="0" shapeId="0" xr:uid="{4D65F24C-B48E-4083-B07D-7F5F28706E3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54" authorId="0" shapeId="0" xr:uid="{8136587D-6CFC-4B79-997E-5BBE2D46CF9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55" authorId="0" shapeId="0" xr:uid="{88AEF10F-18A5-408E-B863-DED7888E687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56" authorId="0" shapeId="0" xr:uid="{3A656AD7-8F57-4DBB-8FFA-7588F283E93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57" authorId="0" shapeId="0" xr:uid="{694EB831-1843-4780-B473-D2C7ED9926B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58" authorId="0" shapeId="0" xr:uid="{C73BB73B-FED0-4AB5-81FB-7FC9E805D99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71" authorId="0" shapeId="0" xr:uid="{D3427846-89F0-4BD6-A82C-C9AEA8AB40B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72" authorId="0" shapeId="0" xr:uid="{8EF1E74E-32FB-42F8-BB32-37D4B8FE606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73" authorId="0" shapeId="0" xr:uid="{B43E639D-CC75-4E0A-8719-CAA1B8BC544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74" authorId="0" shapeId="0" xr:uid="{8B26E81E-AD7D-4B3F-8CC1-A1517C2FDB8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75" authorId="0" shapeId="0" xr:uid="{A4492B82-F11D-45C7-9389-2A74490AE0A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76" authorId="0" shapeId="0" xr:uid="{B7873EE0-254C-497C-82DA-43C4B473246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77" authorId="0" shapeId="0" xr:uid="{8A07BCDE-7A40-4411-ABD2-C53D8B54A2E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78" authorId="0" shapeId="0" xr:uid="{31D2FECA-F3BD-4265-AEC3-B65D92E1E1C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79" authorId="0" shapeId="0" xr:uid="{52E4E6B7-A1F7-489D-88D9-5E2B5F9EF76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80" authorId="0" shapeId="0" xr:uid="{6036F452-C2CB-44B3-8121-704FDA05BF8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81" authorId="0" shapeId="0" xr:uid="{C21D73D1-1587-4670-B14E-AAF3C11B4E9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82" authorId="0" shapeId="0" xr:uid="{357A9D71-FF2A-40D3-BFAC-6CDAFF624EA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83" authorId="0" shapeId="0" xr:uid="{2F612CB9-CAE4-4FB0-BD45-A870C9903C0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84" authorId="0" shapeId="0" xr:uid="{BF73071C-084D-483C-8C25-2FE40946232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85" authorId="0" shapeId="0" xr:uid="{1F95683F-F8DA-42AD-A3DB-8C0118BAFC4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86" authorId="0" shapeId="0" xr:uid="{C9554247-2E48-4FA2-B86D-FB97811B924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87" authorId="0" shapeId="0" xr:uid="{E753EB15-3FBD-45C5-8B75-7AB885A5DE9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88" authorId="0" shapeId="0" xr:uid="{6EF2EC22-B093-43CB-8B8F-F34F7BC3E7E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89" authorId="0" shapeId="0" xr:uid="{8C3FDC48-C2E4-4B93-811B-E784C00C7B7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90" authorId="0" shapeId="0" xr:uid="{44B46BE3-CCD5-46AC-8F50-80B414BED65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91" authorId="0" shapeId="0" xr:uid="{2EFBFF5A-2280-4159-89B9-72E7EFD980E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92" authorId="0" shapeId="0" xr:uid="{C698CB8C-A580-4B23-A4DC-F27639D246D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93" authorId="0" shapeId="0" xr:uid="{26EF225C-3E03-41D0-A60F-D612EE53667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94" authorId="0" shapeId="0" xr:uid="{CB460632-57D9-474B-8D97-8931366B829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95" authorId="0" shapeId="0" xr:uid="{C7D48943-AB87-4BD5-8C31-F60E7EC9DE2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96" authorId="0" shapeId="0" xr:uid="{534C6206-06CB-4296-A8F8-DE21C839EAF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97" authorId="0" shapeId="0" xr:uid="{F369DB52-8D10-481C-B25D-EA24C7DAC88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98" authorId="0" shapeId="0" xr:uid="{34FD86B6-64B1-4F6C-88B7-EFD59978CAC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299" authorId="0" shapeId="0" xr:uid="{F0D5003F-1798-4E95-A340-69C1B5568D7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00" authorId="0" shapeId="0" xr:uid="{93B92F53-D41C-4251-BF7D-C6A33398DF2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01" authorId="0" shapeId="0" xr:uid="{0474582B-5401-4263-B9FA-4DE1499F1B5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02" authorId="0" shapeId="0" xr:uid="{1A42B032-645D-418C-8E92-BF64D6A682A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03" authorId="0" shapeId="0" xr:uid="{74DF7F3B-86DD-4766-9A85-6E04FB1982F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04" authorId="0" shapeId="0" xr:uid="{D4571A11-DA60-4FB0-A663-42F79CC9593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05" authorId="0" shapeId="0" xr:uid="{599D4C31-36B8-41AE-9636-CBDAE0FE30E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06" authorId="0" shapeId="0" xr:uid="{6ABA1F0B-DB6B-4448-9969-98673161254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07" authorId="0" shapeId="0" xr:uid="{66B37D2A-E22F-42CE-8DA1-39BD650F81A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08" authorId="0" shapeId="0" xr:uid="{99F34792-A89C-4B96-BCF5-1A51C3630D2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09" authorId="0" shapeId="0" xr:uid="{07BDA659-E614-47FE-9025-010317847FB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10" authorId="0" shapeId="0" xr:uid="{90CD3349-E1C7-485E-9501-40FFE594C8A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11" authorId="0" shapeId="0" xr:uid="{72AA6A80-F44F-425D-8C77-6F983F6E2CA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12" authorId="0" shapeId="0" xr:uid="{64BB5863-38FC-4ACA-86EC-52103658D3E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13" authorId="0" shapeId="0" xr:uid="{3F939CAD-F92A-496C-81D0-49112B7A4AF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14" authorId="0" shapeId="0" xr:uid="{355831B0-2124-42F8-A3D5-DA61D2E756D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15" authorId="0" shapeId="0" xr:uid="{033FC73D-8949-4BE2-8063-421E4180AF2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16" authorId="0" shapeId="0" xr:uid="{5C4DDE10-0AD9-4A19-949D-888ED1714F6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17" authorId="0" shapeId="0" xr:uid="{3FCE4AFA-7364-4E58-B696-E99C0C46200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18" authorId="0" shapeId="0" xr:uid="{ADD0D7E5-2C73-4496-ADD4-75B9212B242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19" authorId="0" shapeId="0" xr:uid="{03B175C7-B5DD-4C3D-B4D1-0BB66CF7826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20" authorId="0" shapeId="0" xr:uid="{A3D4E30A-1C0C-4EA5-940C-F6ECD4D236E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21" authorId="0" shapeId="0" xr:uid="{97576FAC-1239-4C49-AA42-6600EA2AC46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22" authorId="0" shapeId="0" xr:uid="{47595AA6-7A6D-41C0-AFE5-41382E9337D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23" authorId="0" shapeId="0" xr:uid="{7EA8CB0B-D2EB-433F-A77D-6AE0FD003E5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24" authorId="0" shapeId="0" xr:uid="{40795797-40D8-46C8-B6D1-3048CC6F96F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25" authorId="0" shapeId="0" xr:uid="{8B634D7B-5879-4EDE-88A1-87F7412E418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26" authorId="0" shapeId="0" xr:uid="{EEB9E7DB-BCBB-4F5D-9F45-4B167D69213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27" authorId="0" shapeId="0" xr:uid="{6E92657F-6458-4590-9E6A-AEC73140B0F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28" authorId="0" shapeId="0" xr:uid="{774AC861-A328-42AD-A9F5-02B87E543F9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29" authorId="0" shapeId="0" xr:uid="{BAE344D7-2CEA-40E8-BF37-279ED508C03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30" authorId="0" shapeId="0" xr:uid="{EB1BF26F-E092-4F05-A27A-D04884194F3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31" authorId="0" shapeId="0" xr:uid="{44D14C67-CBFF-47F0-BAA5-532E3E8FAB3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32" authorId="0" shapeId="0" xr:uid="{E63210A6-C068-449D-A434-A1676195D45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33" authorId="0" shapeId="0" xr:uid="{B9F6EE67-BCBE-49EE-87DE-D1549919450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34" authorId="0" shapeId="0" xr:uid="{4E5C7993-D489-4203-955D-5DDE1D9FA02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35" authorId="0" shapeId="0" xr:uid="{45A930D2-9C53-442A-9984-2EF7D64E3ED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36" authorId="0" shapeId="0" xr:uid="{3FB4D2AC-9568-4E0D-895D-96AA8C19580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37" authorId="0" shapeId="0" xr:uid="{D68A637F-36A0-4D63-A632-2E9FCD7CDC4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38" authorId="0" shapeId="0" xr:uid="{EFFAF7B2-B39E-4D32-8E07-BD108B5F03A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39" authorId="0" shapeId="0" xr:uid="{DCD707FD-BE26-4C9E-83CE-F38F6D1F236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40" authorId="0" shapeId="0" xr:uid="{7876B1FA-6704-46C7-A411-5C0BECB0710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41" authorId="0" shapeId="0" xr:uid="{3B43B40F-CA39-43DD-99FC-8FAACAB3ED1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42" authorId="0" shapeId="0" xr:uid="{1F1360F3-EDAE-49D1-B9FC-19032A697D1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43" authorId="0" shapeId="0" xr:uid="{AE8B1519-DA1A-449B-9888-943CEC7DDE6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44" authorId="0" shapeId="0" xr:uid="{88BF09B3-D6AF-4480-B4FE-E829478FFDA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45" authorId="0" shapeId="0" xr:uid="{75E82515-29F3-4DA8-A674-040FF26867E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58" authorId="0" shapeId="0" xr:uid="{24114CA1-49FC-4BDE-A50C-5170D9E7CED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59" authorId="0" shapeId="0" xr:uid="{5F4F7946-8793-4EAA-833A-AC5FC90E97A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60" authorId="0" shapeId="0" xr:uid="{88A3728B-FCA5-48DF-B9A6-4EFEA610DA9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61" authorId="0" shapeId="0" xr:uid="{5994FAB0-E488-47FF-9AFF-D2765C7107A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62" authorId="0" shapeId="0" xr:uid="{1D7ADA77-7CE9-46D3-A3DC-0625360B6F3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63" authorId="0" shapeId="0" xr:uid="{EAA045D9-BA77-46DC-900F-D02A4DB3F50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64" authorId="0" shapeId="0" xr:uid="{9575A710-E05C-427D-A522-5995419DD39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65" authorId="0" shapeId="0" xr:uid="{487CAFDE-1EEA-4055-AC4E-AB7A371BD8F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66" authorId="0" shapeId="0" xr:uid="{7DDE4AF2-6301-41EB-8CB5-1FA18336DD3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67" authorId="0" shapeId="0" xr:uid="{C09F051A-1E43-4516-AF81-551A2F77D0C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68" authorId="0" shapeId="0" xr:uid="{36E814BA-D797-4A6A-81E2-14566CA4375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69" authorId="0" shapeId="0" xr:uid="{41C725A5-9886-494B-B204-F795AC2140D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70" authorId="0" shapeId="0" xr:uid="{A32E6806-4CC7-46A8-B52E-C864B1B7A0C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71" authorId="0" shapeId="0" xr:uid="{E19233C5-1468-487D-A790-4374C443687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72" authorId="0" shapeId="0" xr:uid="{CFB65250-5EAD-4CA0-90C3-04C9DF4DC29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73" authorId="0" shapeId="0" xr:uid="{A50A7708-4AD0-4E8C-8274-B6DE873B4D7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74" authorId="0" shapeId="0" xr:uid="{0F0FCFE0-D427-490F-A1B3-810267FD810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75" authorId="0" shapeId="0" xr:uid="{512619C4-8F08-48DC-A109-C24B84ECA7A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76" authorId="0" shapeId="0" xr:uid="{1F3A1B7D-DA88-45F6-A28A-B9FCD65C0B2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77" authorId="0" shapeId="0" xr:uid="{9CDF351D-3FCD-4B39-8D26-3BF0A77CFBC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78" authorId="0" shapeId="0" xr:uid="{6CDC8D67-30CB-489F-BF4E-BB73010E01F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79" authorId="0" shapeId="0" xr:uid="{8F6A8C6D-C946-4807-AABD-1B97BC9F227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80" authorId="0" shapeId="0" xr:uid="{7C50545B-B866-4FD1-A798-42AB3D96847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81" authorId="0" shapeId="0" xr:uid="{7D1FA636-09A3-4BE6-B25C-B2A582792EF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82" authorId="0" shapeId="0" xr:uid="{8C43B94E-3FFE-4053-9259-8B1FB050E46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83" authorId="0" shapeId="0" xr:uid="{2CC834E4-6CFD-4657-BECA-1A8E174259D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84" authorId="0" shapeId="0" xr:uid="{23AD1B19-1574-43B2-8CB9-CBC26EE2223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85" authorId="0" shapeId="0" xr:uid="{34FBFF18-E104-44C5-A268-FF3F91ECE9E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86" authorId="0" shapeId="0" xr:uid="{B56F61E4-C659-491E-B159-38D9CC575C6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87" authorId="0" shapeId="0" xr:uid="{1075E6F0-F9D4-414A-B823-FB3896B6B7A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88" authorId="0" shapeId="0" xr:uid="{AD233EA5-7760-4EF6-9ADE-76FE59D6631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89" authorId="0" shapeId="0" xr:uid="{8B5AE96E-244E-4392-A2DE-0633BAB04E2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90" authorId="0" shapeId="0" xr:uid="{4421995D-B858-4541-8780-455D4F62DA9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91" authorId="0" shapeId="0" xr:uid="{C65B5D4B-4882-4312-AB61-DA7577AD800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92" authorId="0" shapeId="0" xr:uid="{4B5468D9-B190-43EF-B9C3-0275BEB7C7F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93" authorId="0" shapeId="0" xr:uid="{266B6D07-B81A-499E-8774-A0576049DEE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94" authorId="0" shapeId="0" xr:uid="{E6A32B9D-6076-4693-B801-0B9AF26C4EA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95" authorId="0" shapeId="0" xr:uid="{BB1CCABB-0F16-4433-A7D2-93F17B6D579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96" authorId="0" shapeId="0" xr:uid="{25B82BF9-EF24-4A38-97B9-D916B3C9BAE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97" authorId="0" shapeId="0" xr:uid="{49E815D0-D651-407E-89A3-23D5C470C4B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98" authorId="0" shapeId="0" xr:uid="{0665BB3D-1932-457D-B195-59833477E55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399" authorId="0" shapeId="0" xr:uid="{CC7F38E4-FC06-43FD-8360-3993468A5D2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00" authorId="0" shapeId="0" xr:uid="{87A65B05-F2BB-4886-9275-33115D6D6A3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01" authorId="0" shapeId="0" xr:uid="{2EF3EC3E-3FB0-4866-B8B5-DFD2FE20C15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02" authorId="0" shapeId="0" xr:uid="{1C2169E7-BC5D-427E-8C34-D5FE0E479F7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03" authorId="0" shapeId="0" xr:uid="{DB21AC17-BBA8-4E33-A7D4-CFEEEA5B65D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04" authorId="0" shapeId="0" xr:uid="{A606BD70-2204-4E8A-B03C-5449852B51D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05" authorId="0" shapeId="0" xr:uid="{9F5FA577-1A50-4517-B867-81EC845AC10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06" authorId="0" shapeId="0" xr:uid="{5040D4FC-D1E9-4A27-8A3F-06E3FBC749E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07" authorId="0" shapeId="0" xr:uid="{49721C1B-C131-4B3A-AE17-A86E1A61D8F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08" authorId="0" shapeId="0" xr:uid="{ECD8A9B5-B36F-4618-B838-A8F0FD67A45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09" authorId="0" shapeId="0" xr:uid="{6D3FD502-B287-4187-AD33-89C6A0A2282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10" authorId="0" shapeId="0" xr:uid="{C9F36A26-362C-4435-8A4B-40495CD52CD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11" authorId="0" shapeId="0" xr:uid="{B03FE9E0-79C0-4802-B834-516F2900912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12" authorId="0" shapeId="0" xr:uid="{3AFDA132-7C5C-4160-A5BE-97B0EF2998D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13" authorId="0" shapeId="0" xr:uid="{6259D8AB-EDEF-4388-86DD-C2C9FA98F77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14" authorId="0" shapeId="0" xr:uid="{BC5AC0A8-DD30-4756-97C3-A7860F2063D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15" authorId="0" shapeId="0" xr:uid="{18D1A4BC-119B-4B99-8F62-C6506AE9E7D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16" authorId="0" shapeId="0" xr:uid="{6CF75622-03B8-463C-A184-54D5DEE65BD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17" authorId="0" shapeId="0" xr:uid="{BA27289B-466F-4FB8-99FA-C3D12D753DF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18" authorId="0" shapeId="0" xr:uid="{7D8B3386-7585-482A-979B-B97CF11D708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19" authorId="0" shapeId="0" xr:uid="{9BACA93A-B3B5-4C7D-9BB0-D62B447AB45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20" authorId="0" shapeId="0" xr:uid="{F97B45AA-6FE6-4C7D-A2ED-BE29571BC6D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21" authorId="0" shapeId="0" xr:uid="{60AA9CE0-CFDA-4617-A340-1CF39F1517F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22" authorId="0" shapeId="0" xr:uid="{DE7667FF-AB80-4B14-8D97-24289081929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23" authorId="0" shapeId="0" xr:uid="{65C10524-D3B7-4B79-BD38-BFB1DED4269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24" authorId="0" shapeId="0" xr:uid="{958F2C06-8AA7-4934-9155-A4A0EF3F087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25" authorId="0" shapeId="0" xr:uid="{66AA5B40-4869-4DAC-9877-02A21EEE26E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26" authorId="0" shapeId="0" xr:uid="{3AF5A074-0606-468E-B82C-5429B70243B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27" authorId="0" shapeId="0" xr:uid="{584D8408-C80C-4BBC-B8BA-3EBC95468C3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28" authorId="0" shapeId="0" xr:uid="{28F25954-15F9-491A-8A52-BC9A435B8F2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29" authorId="0" shapeId="0" xr:uid="{F17C1C7A-46E5-41C2-BAD1-1C80FF16109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30" authorId="0" shapeId="0" xr:uid="{B6E3D94C-42ED-423D-899A-B3978508161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31" authorId="0" shapeId="0" xr:uid="{A5863B20-2F63-4CD8-89B6-9AD0DD5FEB7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32" authorId="0" shapeId="0" xr:uid="{51F22436-4974-4915-BE32-AA9F9B96820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45" authorId="0" shapeId="0" xr:uid="{80378CD1-94B9-4925-9A33-77E9AE2061B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46" authorId="0" shapeId="0" xr:uid="{C9DBC380-54EA-4208-8F4A-FC6D7AC364C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47" authorId="0" shapeId="0" xr:uid="{9A77C720-AEC4-43F8-BF0F-51ED39807AE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48" authorId="0" shapeId="0" xr:uid="{E81929C3-D439-4666-8B37-2F098BC09FC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49" authorId="0" shapeId="0" xr:uid="{6329790E-F635-4A4D-9218-2EEDAB1DCBA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50" authorId="0" shapeId="0" xr:uid="{EDCECF42-A119-48DE-9BE3-432BEF9722D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51" authorId="0" shapeId="0" xr:uid="{9BA9F5C6-6163-452F-922D-4920BB0A995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52" authorId="0" shapeId="0" xr:uid="{E9795CDB-75F9-455F-A9BA-D89F851D38A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53" authorId="0" shapeId="0" xr:uid="{59E25ABC-C845-4CC1-AE4F-2E85E8D4A1B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54" authorId="0" shapeId="0" xr:uid="{6F9CCBD0-554A-4EE2-BE1F-1C24D5F46DA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55" authorId="0" shapeId="0" xr:uid="{6A9354BA-A127-46AC-B1F6-74578CF8FEB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56" authorId="0" shapeId="0" xr:uid="{613B387B-4C88-40DA-80B4-C403EAFB4DE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57" authorId="0" shapeId="0" xr:uid="{2455D47D-48C6-49F6-9FB0-4A10BD98130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58" authorId="0" shapeId="0" xr:uid="{63F9CF0A-F4F0-4D6A-A1CF-27C16512858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59" authorId="0" shapeId="0" xr:uid="{71A9DEAB-16CC-4660-BB16-D6F90FCFC4E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60" authorId="0" shapeId="0" xr:uid="{E3FB74CB-DB58-4037-88D8-0C98072AD17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61" authorId="0" shapeId="0" xr:uid="{C7508803-87FC-4CD6-8A54-BE80FE927A5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62" authorId="0" shapeId="0" xr:uid="{0D36C325-925E-4AD3-89D7-B93E3CD5CBB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63" authorId="0" shapeId="0" xr:uid="{78945ACA-F6CB-4D2D-9785-9859A314AE3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64" authorId="0" shapeId="0" xr:uid="{42B6F787-E421-49DB-8DE1-C687B18046C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65" authorId="0" shapeId="0" xr:uid="{FBEB4D8D-4DB9-4CF7-B37F-794BB446FCB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66" authorId="0" shapeId="0" xr:uid="{DCA7613D-7F8D-4826-BEA3-4401A02B6CE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67" authorId="0" shapeId="0" xr:uid="{04F1C0AD-A213-4104-81DC-9EAE43BF389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68" authorId="0" shapeId="0" xr:uid="{5DED2931-3BEC-406F-8B73-494458809DE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69" authorId="0" shapeId="0" xr:uid="{5E2C672F-5598-4EB5-AEE2-8DE7EB52757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70" authorId="0" shapeId="0" xr:uid="{F327FEBD-4FF6-449C-9AA4-3356B109896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71" authorId="0" shapeId="0" xr:uid="{9F8F18BE-E530-4761-8CE9-8C4A2966F78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72" authorId="0" shapeId="0" xr:uid="{C227E6CE-834E-4009-B998-D4C3FB93640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73" authorId="0" shapeId="0" xr:uid="{17A78DB4-65DE-4343-96E7-C9E93E29054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74" authorId="0" shapeId="0" xr:uid="{3C48A25E-C215-4B43-942A-ABFB9ABE6BBA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75" authorId="0" shapeId="0" xr:uid="{546C6869-2FF0-44A9-8532-D991258EE62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76" authorId="0" shapeId="0" xr:uid="{FF4FBE30-7BD8-4D7F-8735-E264A235D8A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77" authorId="0" shapeId="0" xr:uid="{373D15F8-70FF-47F7-9982-77A016B1095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78" authorId="0" shapeId="0" xr:uid="{413BFEF8-5E42-4779-992D-B839D3C94E5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79" authorId="0" shapeId="0" xr:uid="{28ED3EBB-EDBA-4F96-A2B5-044E3EC3571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80" authorId="0" shapeId="0" xr:uid="{75E778D7-5366-4D2E-A8B1-9B7329E8062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81" authorId="0" shapeId="0" xr:uid="{7DC357AE-BB9D-42A8-A476-4A5A2D13FE2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82" authorId="0" shapeId="0" xr:uid="{FA8F710C-000C-4BC2-9AD7-841D73F3E1F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83" authorId="0" shapeId="0" xr:uid="{9A056586-7798-4DE2-8A9A-FA9DCEBF3C0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84" authorId="0" shapeId="0" xr:uid="{7F09D7D6-DCF5-4C0B-96BB-4E4A785118E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85" authorId="0" shapeId="0" xr:uid="{162C5E10-A26D-4284-B649-19B7CDAAB5C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86" authorId="0" shapeId="0" xr:uid="{4B62F559-634A-4157-8B08-BC6723B50C3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87" authorId="0" shapeId="0" xr:uid="{93F65176-5096-4DE8-B526-65D095B50E0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88" authorId="0" shapeId="0" xr:uid="{98490F97-6052-450D-B75C-33EFC02E14D8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89" authorId="0" shapeId="0" xr:uid="{66272CD4-8780-4CFB-A01A-AEC2AE24240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90" authorId="0" shapeId="0" xr:uid="{CD2610EE-B590-41EA-A953-BDD38729DD1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91" authorId="0" shapeId="0" xr:uid="{01A1760B-680B-45C9-94E7-EF4D4A5CBF5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92" authorId="0" shapeId="0" xr:uid="{3C4D2BB5-4F79-4F47-A3C3-4D5E4C37F7D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93" authorId="0" shapeId="0" xr:uid="{6FC0184C-578D-4F52-988B-9310F5021DF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94" authorId="0" shapeId="0" xr:uid="{F0F76B72-83F4-4D94-8D76-E8B51B8889C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95" authorId="0" shapeId="0" xr:uid="{9AA8F188-2794-4352-A502-846E34047D6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96" authorId="0" shapeId="0" xr:uid="{4697A225-45D3-4FF7-B891-E0D2919A91DD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97" authorId="0" shapeId="0" xr:uid="{EFDA78F7-B9A0-4C5C-9C2D-68C26FB3A49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98" authorId="0" shapeId="0" xr:uid="{84C84CE2-C6FC-4B2F-BC84-ED0E8790FFD1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499" authorId="0" shapeId="0" xr:uid="{B1A6A142-6C1E-4600-9CB1-F72D002BE45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00" authorId="0" shapeId="0" xr:uid="{2EC316D3-15E5-405B-B663-B16769209D5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01" authorId="0" shapeId="0" xr:uid="{F5932429-94B8-421E-B5D8-5386A05E0C84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02" authorId="0" shapeId="0" xr:uid="{04C90214-5E46-4148-AB88-AF036561C94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03" authorId="0" shapeId="0" xr:uid="{CE5E9CC1-AEC6-42E4-A7D0-18957B514AFB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04" authorId="0" shapeId="0" xr:uid="{8EF25D67-86A9-41D2-AAC6-21B0199959F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05" authorId="0" shapeId="0" xr:uid="{856E8B88-3648-4CB2-B3CE-48078EF3BD8C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06" authorId="0" shapeId="0" xr:uid="{7342F7B6-2E20-433B-B5BE-6450B7304A7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07" authorId="0" shapeId="0" xr:uid="{76CB765A-0F8A-44B1-B152-8FA1DA1EB15F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08" authorId="0" shapeId="0" xr:uid="{A729B453-DB7A-407F-8D4B-021283BF2AC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09" authorId="0" shapeId="0" xr:uid="{C1C285BC-79CD-4841-B637-674BF3CD870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10" authorId="0" shapeId="0" xr:uid="{4304BA62-E345-4828-998E-93194CA5C6E0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11" authorId="0" shapeId="0" xr:uid="{DD584703-B92A-4F1A-9C86-23C797224D93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12" authorId="0" shapeId="0" xr:uid="{33D4981D-07CD-4177-902D-A96B87EC6E52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13" authorId="0" shapeId="0" xr:uid="{03D5DF12-5189-43A0-8598-FD46AE4FD207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14" authorId="0" shapeId="0" xr:uid="{48ACAA94-E806-464A-ACEE-DA7730DF754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15" authorId="0" shapeId="0" xr:uid="{A3E800E9-E1E6-48DD-8F84-952C7C4E9CFE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16" authorId="0" shapeId="0" xr:uid="{71CAA315-489D-48E3-B477-A3A2BD6F8FD5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17" authorId="0" shapeId="0" xr:uid="{A3FE4DC7-C692-4914-AF34-50A3BDDDE526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18" authorId="0" shapeId="0" xr:uid="{B53D2B5F-2B79-4250-AA42-BFA31133DC1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  <comment ref="N519" authorId="0" shapeId="0" xr:uid="{9BD4DC73-65C8-4009-8BF5-C9409530E2C9}">
      <text>
        <r>
          <rPr>
            <sz val="11"/>
            <color theme="1"/>
            <rFont val="Calibri"/>
            <family val="2"/>
            <scheme val="minor"/>
          </rPr>
          <t xml:space="preserve">Alex Lu:
Need Mortality for Base customer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<sst xmlns="http://schemas.openxmlformats.org/spreadsheetml/2006/main" count="739" uniqueCount="130">
  <si>
    <t>Incentive Reduction Factor</t>
  </si>
  <si>
    <t>Reduction factor</t>
  </si>
  <si>
    <t>Participation rate</t>
  </si>
  <si>
    <t>Age</t>
  </si>
  <si>
    <t>Mortality Rate</t>
  </si>
  <si>
    <t>Lower Bound</t>
  </si>
  <si>
    <t>Upper Bound</t>
  </si>
  <si>
    <t>Base Case After Incentive</t>
  </si>
  <si>
    <t>Lower Bound Mortality After Incentive</t>
  </si>
  <si>
    <t>Upper Bound Mortality After Incentive</t>
  </si>
  <si>
    <t>Fitness tracker</t>
  </si>
  <si>
    <t>Heart health</t>
  </si>
  <si>
    <t xml:space="preserve">
Sex</t>
  </si>
  <si>
    <t>Death Freq</t>
  </si>
  <si>
    <t>percentage</t>
  </si>
  <si>
    <t>Total pop freq</t>
  </si>
  <si>
    <t>Death Rate</t>
  </si>
  <si>
    <t>Ratio to Base</t>
  </si>
  <si>
    <t>tanh Model</t>
  </si>
  <si>
    <t>Classification</t>
  </si>
  <si>
    <t>Selection</t>
  </si>
  <si>
    <t>Loading Factor</t>
  </si>
  <si>
    <t>F</t>
  </si>
  <si>
    <t>Sex</t>
  </si>
  <si>
    <t>M</t>
  </si>
  <si>
    <t>Smoker Status</t>
  </si>
  <si>
    <t>NS</t>
  </si>
  <si>
    <t>U Class</t>
  </si>
  <si>
    <t>very low risk</t>
  </si>
  <si>
    <t>Smoker.Status</t>
  </si>
  <si>
    <t>Combination Loading Factors</t>
  </si>
  <si>
    <t>S1</t>
  </si>
  <si>
    <t>S2</t>
  </si>
  <si>
    <t>S3</t>
  </si>
  <si>
    <t>S</t>
  </si>
  <si>
    <t>high risk</t>
  </si>
  <si>
    <t>low risk</t>
  </si>
  <si>
    <t>Underwriting.Class</t>
  </si>
  <si>
    <t>moderate risk</t>
  </si>
  <si>
    <t>Scale Factor</t>
  </si>
  <si>
    <t>Term</t>
  </si>
  <si>
    <t>Whole Life</t>
  </si>
  <si>
    <t>Death benefit</t>
  </si>
  <si>
    <t>Discount rate</t>
  </si>
  <si>
    <t>Profit</t>
  </si>
  <si>
    <t>Participation rate tracker</t>
  </si>
  <si>
    <t>Expenses</t>
  </si>
  <si>
    <t>Lower (35, 90)</t>
  </si>
  <si>
    <t>Current (105, 218)</t>
  </si>
  <si>
    <t>Upper (175, 345)</t>
  </si>
  <si>
    <t>Participation rate screening</t>
  </si>
  <si>
    <t>Cause of death</t>
  </si>
  <si>
    <t>Percentage</t>
  </si>
  <si>
    <t>Neoplasms</t>
  </si>
  <si>
    <t>Circulatory system diseases</t>
  </si>
  <si>
    <t>Morbidity and mortality diseases</t>
  </si>
  <si>
    <t>Respiratory system diseases</t>
  </si>
  <si>
    <t>Digestive system diseases</t>
  </si>
  <si>
    <t>T20 Summary</t>
  </si>
  <si>
    <t>Mortality Selector</t>
  </si>
  <si>
    <t>Premium</t>
  </si>
  <si>
    <t>Amounts with Decrements</t>
  </si>
  <si>
    <t>Decrement Information</t>
  </si>
  <si>
    <t>Reserves &amp; Capital (Decremented)</t>
  </si>
  <si>
    <r>
      <t>P</t>
    </r>
    <r>
      <rPr>
        <vertAlign val="subscript"/>
        <sz val="10"/>
        <rFont val="Arial"/>
        <family val="2"/>
      </rPr>
      <t>t</t>
    </r>
  </si>
  <si>
    <r>
      <t>C</t>
    </r>
    <r>
      <rPr>
        <vertAlign val="subscript"/>
        <sz val="10"/>
        <rFont val="Arial"/>
        <family val="2"/>
      </rPr>
      <t>t</t>
    </r>
  </si>
  <si>
    <r>
      <t>E</t>
    </r>
    <r>
      <rPr>
        <vertAlign val="subscript"/>
        <sz val="10"/>
        <rFont val="Arial"/>
        <family val="2"/>
      </rPr>
      <t>t</t>
    </r>
  </si>
  <si>
    <r>
      <t>CL</t>
    </r>
    <r>
      <rPr>
        <vertAlign val="subscript"/>
        <sz val="10"/>
        <rFont val="Arial"/>
        <family val="2"/>
      </rPr>
      <t>t</t>
    </r>
  </si>
  <si>
    <r>
      <t>CR</t>
    </r>
    <r>
      <rPr>
        <vertAlign val="subscript"/>
        <sz val="10"/>
        <rFont val="Arial"/>
        <family val="2"/>
      </rPr>
      <t>t</t>
    </r>
  </si>
  <si>
    <r>
      <t>I</t>
    </r>
    <r>
      <rPr>
        <vertAlign val="subscript"/>
        <sz val="10"/>
        <rFont val="Arial"/>
        <family val="2"/>
      </rPr>
      <t>t</t>
    </r>
  </si>
  <si>
    <r>
      <t>PR</t>
    </r>
    <r>
      <rPr>
        <vertAlign val="subscript"/>
        <sz val="10"/>
        <rFont val="Arial"/>
        <family val="2"/>
      </rPr>
      <t>t</t>
    </r>
  </si>
  <si>
    <r>
      <t>CS</t>
    </r>
    <r>
      <rPr>
        <vertAlign val="subscript"/>
        <sz val="10"/>
        <rFont val="Arial"/>
        <family val="2"/>
      </rPr>
      <t>t</t>
    </r>
  </si>
  <si>
    <r>
      <t>DE</t>
    </r>
    <r>
      <rPr>
        <vertAlign val="subscript"/>
        <sz val="10"/>
        <rFont val="Arial"/>
        <family val="2"/>
      </rPr>
      <t>t</t>
    </r>
  </si>
  <si>
    <t>Year</t>
  </si>
  <si>
    <t>Commission</t>
  </si>
  <si>
    <t>Death Benefit</t>
  </si>
  <si>
    <t>Reserves per 1000</t>
  </si>
  <si>
    <t>Reserve</t>
  </si>
  <si>
    <t>Capital</t>
  </si>
  <si>
    <t>Mortality Rate per 1000</t>
  </si>
  <si>
    <t>Lapse Rate</t>
  </si>
  <si>
    <t>In Force
(sop)</t>
  </si>
  <si>
    <t>Deaths</t>
  </si>
  <si>
    <t>Lapses</t>
  </si>
  <si>
    <t>In Force
(eop)</t>
  </si>
  <si>
    <t>Reserve
(sop)</t>
  </si>
  <si>
    <t>Capital
(sop)</t>
  </si>
  <si>
    <t>Reserve
(eop)</t>
  </si>
  <si>
    <t>Capital
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</si>
  <si>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</si>
  <si>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</si>
  <si>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</si>
  <si>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</si>
  <si>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</si>
  <si>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</si>
  <si>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</si>
  <si>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Surplus increase</t>
  </si>
  <si>
    <t>Dist Earnings</t>
  </si>
  <si>
    <t>Death Benefit Amount</t>
  </si>
  <si>
    <t>Required Capital (per 1000 DB)</t>
  </si>
  <si>
    <t>Investment Earnings Rate</t>
  </si>
  <si>
    <t>Discount Rate</t>
  </si>
  <si>
    <t>Lapse Rate 1</t>
  </si>
  <si>
    <t>Lapse Rate 2-5</t>
  </si>
  <si>
    <t>Lapse Rate 6-10</t>
  </si>
  <si>
    <t>Lapse Rate 11-15</t>
  </si>
  <si>
    <t>Lapse Rate 16+</t>
  </si>
  <si>
    <t>Commissions (as % of Prem) 1</t>
  </si>
  <si>
    <t>Commissions (as % of Prem) 2+</t>
  </si>
  <si>
    <t>Expenses 1</t>
  </si>
  <si>
    <t>Expenses 2+</t>
  </si>
  <si>
    <t>Premium discount rates 1-2 years</t>
  </si>
  <si>
    <t>Premium discount rates 3-5 years</t>
  </si>
  <si>
    <t>Premium discount rates 6-10 years</t>
  </si>
  <si>
    <t>Premium discount rates 11-20 years</t>
  </si>
  <si>
    <t>expenses</t>
  </si>
  <si>
    <t>Total</t>
  </si>
  <si>
    <t>PV of Profit</t>
  </si>
  <si>
    <t>PV of DE</t>
  </si>
  <si>
    <t>WL Summary</t>
  </si>
  <si>
    <t>Profit loading</t>
  </si>
  <si>
    <r>
      <t>DB</t>
    </r>
    <r>
      <rPr>
        <vertAlign val="subscript"/>
        <sz val="10"/>
        <rFont val="Arial"/>
        <family val="2"/>
      </rPr>
      <t>t</t>
    </r>
  </si>
  <si>
    <t>SV per 1000</t>
  </si>
  <si>
    <t>Withdrawal Benefit</t>
  </si>
  <si>
    <t>Death Benefits
(eop)</t>
  </si>
  <si>
    <t>Lives</t>
  </si>
  <si>
    <t>SV</t>
  </si>
  <si>
    <t xml:space="preserve">               -  </t>
  </si>
  <si>
    <t>Reserve Interest Rate</t>
  </si>
  <si>
    <t>SV Interest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</si>
</sst>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[$$-C09]* #,##0_-;\-[$$-C09]* #,##0_-;_-[$$-C09]* &quot;-&quot;_-;_-@_-"/>
    <numFmt numFmtId="165" formatCode="_-[$$-C09]* #,##0.00_-;\-[$$-C09]* #,##0.00_-;_-[$$-C09]* &quot;-&quot;_-;_-@_-"/>
  </numFmts>
  <fonts count="18"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vertAlign val="subscript"/>
      <sz val="10"/>
      <name val="Arial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sz val="10"/>
      <color rgb="FF0070C0"/>
      <name val="Arial"/>
      <family val="2"/>
    </font>
    <font>
      <sz val="11"/>
      <color rgb="FF000000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onsolas"/>
      <family val="2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trike/>
      <sz val="11"/>
      <color theme="1"/>
      <name val="Calibri"/>
      <family val="2"/>
      <scheme val="minor"/>
    </font>
    <font>
      <b/>
      <strike/>
      <sz val="11"/>
      <color theme="1"/>
      <name val="Calibri"/>
      <family val="2"/>
      <scheme val="minor"/>
    </font>
    <font>
      <sz val="11"/>
      <color theme="1"/>
      <name val="Lucida Grande"/>
      <family val="2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rgb="FFF5C63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0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63">
    <xf numFmtId="0" fontId="0" fillId="0" borderId="0" xfId="0"/>
    <xf numFmtId="0" fontId="2" fillId="0" borderId="0" xfId="0" applyFont="1" applyAlignment="1">
      <alignment wrapText="1"/>
    </xf>
    <xf numFmtId="9" fontId="0" fillId="0" borderId="0" xfId="0" applyNumberFormat="1"/>
    <xf numFmtId="0" fontId="1" fillId="0" borderId="0" xfId="0" applyFont="1"/>
    <xf numFmtId="0" fontId="3" fillId="0" borderId="0" xfId="0" applyFont="1"/>
    <xf numFmtId="0" fontId="1" fillId="2" borderId="0" xfId="0" applyFont="1" applyFill="1"/>
    <xf numFmtId="10" fontId="1" fillId="2" borderId="0" xfId="0" applyNumberFormat="1" applyFont="1" applyFill="1"/>
    <xf numFmtId="9" fontId="1" fillId="2" borderId="0" xfId="0" applyNumberFormat="1" applyFont="1" applyFill="1"/>
    <xf numFmtId="0" fontId="0" fillId="3" borderId="0" xfId="0" applyFill="1"/>
    <xf numFmtId="0" fontId="0" fillId="2" borderId="0" xfId="0" applyFill="1"/>
    <xf numFmtId="0" fontId="0" fillId="4" borderId="0" xfId="0" applyFill="1"/>
    <xf numFmtId="0" fontId="2" fillId="4" borderId="0" xfId="0" applyFont="1" applyFill="1" applyAlignment="1">
      <alignment wrapText="1"/>
    </xf>
    <xf numFmtId="164" fontId="1" fillId="2" borderId="0" xfId="0" applyNumberFormat="1" applyFont="1" applyFill="1"/>
    <xf numFmtId="164" fontId="0" fillId="0" borderId="0" xfId="0" applyNumberFormat="1"/>
    <xf numFmtId="0" fontId="8" fillId="7" borderId="1" xfId="0" applyFont="1" applyFill="1" applyBorder="1"/>
    <xf numFmtId="0" fontId="8" fillId="7" borderId="2" xfId="0" applyFont="1" applyFill="1" applyBorder="1"/>
    <xf numFmtId="0" fontId="8" fillId="7" borderId="3" xfId="0" applyFont="1" applyFill="1" applyBorder="1"/>
    <xf numFmtId="164" fontId="0" fillId="2" borderId="0" xfId="0" applyNumberFormat="1" applyFill="1"/>
    <xf numFmtId="165" fontId="0" fillId="2" borderId="0" xfId="0" applyNumberFormat="1" applyFill="1"/>
    <xf numFmtId="0" fontId="2" fillId="0" borderId="0" xfId="0" applyFont="1"/>
    <xf numFmtId="10" fontId="9" fillId="2" borderId="0" xfId="0" applyNumberFormat="1" applyFont="1" applyFill="1"/>
    <xf numFmtId="0" fontId="10" fillId="0" borderId="0" xfId="0" applyFont="1"/>
    <xf numFmtId="164" fontId="2" fillId="0" borderId="0" xfId="0" applyNumberFormat="1" applyFont="1" applyAlignment="1">
      <alignment wrapText="1"/>
    </xf>
    <xf numFmtId="10" fontId="0" fillId="0" borderId="0" xfId="0" applyNumberFormat="1"/>
    <xf numFmtId="2" fontId="0" fillId="0" borderId="0" xfId="0" applyNumberFormat="1"/>
    <xf numFmtId="0" fontId="8" fillId="8" borderId="4" xfId="0" applyFont="1" applyFill="1" applyBorder="1"/>
    <xf numFmtId="2" fontId="0" fillId="2" borderId="0" xfId="0" applyNumberFormat="1" applyFill="1"/>
    <xf numFmtId="2" fontId="0" fillId="4" borderId="0" xfId="0" applyNumberFormat="1" applyFill="1"/>
    <xf numFmtId="0" fontId="8" fillId="9" borderId="4" xfId="0" applyFont="1" applyFill="1" applyBorder="1"/>
    <xf numFmtId="0" fontId="11" fillId="2" borderId="0" xfId="0" applyFont="1" applyFill="1"/>
    <xf numFmtId="0" fontId="12" fillId="0" borderId="0" xfId="0" applyFont="1"/>
    <xf numFmtId="0" fontId="5" fillId="6" borderId="5" xfId="0" applyFont="1" applyFill="1" applyBorder="1" applyAlignment="1">
      <alignment readingOrder="1"/>
    </xf>
    <xf numFmtId="0" fontId="5" fillId="9" borderId="5" xfId="0" applyFont="1" applyFill="1" applyBorder="1" applyAlignment="1">
      <alignment readingOrder="1"/>
    </xf>
    <xf numFmtId="0" fontId="6" fillId="3" borderId="0" xfId="0" applyFont="1" applyFill="1" applyAlignment="1">
      <alignment readingOrder="1"/>
    </xf>
    <xf numFmtId="0" fontId="7" fillId="3" borderId="0" xfId="0" applyFont="1" applyFill="1" applyAlignment="1">
      <alignment readingOrder="1"/>
    </xf>
    <xf numFmtId="0" fontId="0" fillId="10" borderId="0" xfId="0" applyFill="1"/>
    <xf numFmtId="9" fontId="0" fillId="0" borderId="0" xfId="1" applyFont="1"/>
    <xf numFmtId="10" fontId="0" fillId="0" borderId="0" xfId="1" applyNumberFormat="1" applyFont="1"/>
    <xf numFmtId="0" fontId="0" fillId="11" borderId="0" xfId="0" applyFill="1"/>
    <xf numFmtId="10" fontId="3" fillId="0" borderId="0" xfId="0" applyNumberFormat="1" applyFont="1"/>
    <xf numFmtId="10" fontId="0" fillId="10" borderId="0" xfId="0" applyNumberFormat="1" applyFill="1"/>
    <xf numFmtId="165" fontId="0" fillId="0" borderId="0" xfId="0" applyNumberFormat="1"/>
    <xf numFmtId="0" fontId="0" fillId="0" borderId="0" xfId="1" applyNumberFormat="1" applyFont="1" applyAlignment="1"/>
    <xf numFmtId="0" fontId="15" fillId="0" borderId="0" xfId="0" applyFont="1"/>
    <xf numFmtId="0" fontId="15" fillId="11" borderId="0" xfId="0" applyFont="1" applyFill="1"/>
    <xf numFmtId="10" fontId="16" fillId="0" borderId="0" xfId="0" applyNumberFormat="1" applyFont="1"/>
    <xf numFmtId="2" fontId="15" fillId="0" borderId="0" xfId="0" applyNumberFormat="1" applyFont="1"/>
    <xf numFmtId="10" fontId="15" fillId="10" borderId="0" xfId="0" applyNumberFormat="1" applyFont="1" applyFill="1"/>
    <xf numFmtId="0" fontId="2" fillId="5" borderId="0" xfId="0" applyFont="1" applyFill="1"/>
    <xf numFmtId="0" fontId="17" fillId="0" borderId="0" xfId="0" applyFont="1"/>
    <xf numFmtId="9" fontId="17" fillId="0" borderId="0" xfId="1" applyFont="1"/>
    <xf numFmtId="0" fontId="8" fillId="7" borderId="5" xfId="0" applyFont="1" applyFill="1" applyBorder="1"/>
    <xf numFmtId="0" fontId="0" fillId="13" borderId="0" xfId="0" applyFill="1"/>
    <xf numFmtId="10" fontId="0" fillId="13" borderId="0" xfId="0" applyNumberFormat="1" applyFill="1"/>
    <xf numFmtId="2" fontId="0" fillId="13" borderId="0" xfId="0" applyNumberFormat="1" applyFill="1"/>
    <xf numFmtId="0" fontId="8" fillId="12" borderId="5" xfId="0" applyFont="1" applyFill="1" applyBorder="1" applyAlignment="1">
      <alignment wrapText="1"/>
    </xf>
    <xf numFmtId="0" fontId="8" fillId="12" borderId="5" xfId="0" applyFont="1" applyFill="1" applyBorder="1"/>
    <xf numFmtId="0" fontId="0" fillId="14" borderId="0" xfId="0" applyFill="1"/>
    <xf numFmtId="0" fontId="15" fillId="0" borderId="0" xfId="0" applyFont="1" applyAlignment="1">
      <alignment horizontal="center"/>
    </xf>
    <xf numFmtId="0" fontId="15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7" borderId="0" xfId="0" applyFont="1" applyFill="1"/>
  </cellXfs>
  <cellStyles count="2">
    <cellStyle name="Normal" xfId="0" builtinId="0"/>
    <cellStyle name="Per cent" xfId="1" builtinId="5"/>
  </cellStyles>
  <dxfs count="0"/>
  <tableStyles count="0" defaultTableStyle="TableStyleMedium2" defaultPivotStyle="PivotStyleMedium9"/>
  <colors>
    <mruColors>
      <color rgb="FFF5C6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Sensitivity of profit against</a:t>
            </a:r>
            <a:r>
              <a:rPr lang="en-GB" baseline="0"/>
              <a:t> discount rate 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'P&amp;L_Analysis'!$A$4:$A$6</c:f>
              <c:numCache>
                <c:formatCode>0.00%</c:formatCode>
                <c:ptCount val="3"/>
                <c:pt idx="0">
                  <c:v>6.2730000000000008E-2</c:v>
                </c:pt>
                <c:pt idx="1">
                  <c:v>7.3800000000000004E-2</c:v>
                </c:pt>
                <c:pt idx="2">
                  <c:v>8.4870000000000001E-2</c:v>
                </c:pt>
              </c:numCache>
            </c:numRef>
          </c:xVal>
          <c:yVal>
            <c:numRef>
              <c:f>'P&amp;L_Analysis'!$D$4:$D$6</c:f>
              <c:numCache>
                <c:formatCode>0.00</c:formatCode>
                <c:ptCount val="3"/>
                <c:pt idx="0">
                  <c:v>3.9327557913996998</c:v>
                </c:pt>
                <c:pt idx="1">
                  <c:v>3.2258239960321475</c:v>
                </c:pt>
                <c:pt idx="2">
                  <c:v>2.841974609946476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E9-D747-924D-FEEF80927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328144"/>
        <c:axId val="1193450720"/>
      </c:scatterChart>
      <c:valAx>
        <c:axId val="1193328144"/>
        <c:scaling>
          <c:orientation val="minMax"/>
          <c:min val="6.000000000000001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Discount</a:t>
                </a:r>
                <a:r>
                  <a:rPr lang="en-GB" baseline="0"/>
                  <a:t> Rate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450720"/>
        <c:crosses val="autoZero"/>
        <c:crossBetween val="midCat"/>
      </c:valAx>
      <c:valAx>
        <c:axId val="119345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328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the top 5 causes of death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Cause_of_Death_R!$C$1</c:f>
              <c:strCache>
                <c:ptCount val="1"/>
                <c:pt idx="0">
                  <c:v>Percentage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Cause_of_Death_R!$B$2:$B$6</c:f>
              <c:strCache>
                <c:ptCount val="5"/>
                <c:pt idx="0">
                  <c:v>Neoplasms</c:v>
                </c:pt>
                <c:pt idx="1">
                  <c:v>Circulatory system diseases</c:v>
                </c:pt>
                <c:pt idx="2">
                  <c:v>Morbidity and mortality diseases</c:v>
                </c:pt>
                <c:pt idx="3">
                  <c:v>Respiratory system diseases</c:v>
                </c:pt>
                <c:pt idx="4">
                  <c:v>Digestive system diseases</c:v>
                </c:pt>
              </c:strCache>
            </c:strRef>
          </c:cat>
          <c:val>
            <c:numRef>
              <c:f>Cause_of_Death_R!$C$2:$C$6</c:f>
              <c:numCache>
                <c:formatCode>0%</c:formatCode>
                <c:ptCount val="5"/>
                <c:pt idx="0">
                  <c:v>0.32780000000000004</c:v>
                </c:pt>
                <c:pt idx="1">
                  <c:v>0.29399999999999998</c:v>
                </c:pt>
                <c:pt idx="2">
                  <c:v>8.6099999999999996E-2</c:v>
                </c:pt>
                <c:pt idx="3">
                  <c:v>6.5700000000000008E-2</c:v>
                </c:pt>
                <c:pt idx="4">
                  <c:v>4.4600000000000001E-2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D6-4EE2-9D9B-100A46F36E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4745248"/>
        <c:axId val="1986741456"/>
      </c:barChart>
      <c:catAx>
        <c:axId val="2034745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/>
                  <a:t>Cause</a:t>
                </a:r>
                <a:r>
                  <a:rPr lang="en-GB" sz="1400" b="1" baseline="0"/>
                  <a:t> of death</a:t>
                </a:r>
                <a:endParaRPr lang="en-GB" sz="1400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6741456"/>
        <c:crosses val="autoZero"/>
        <c:auto val="1"/>
        <c:lblAlgn val="ctr"/>
        <c:lblOffset val="100"/>
        <c:noMultiLvlLbl val="0"/>
      </c:catAx>
      <c:valAx>
        <c:axId val="1986741456"/>
        <c:scaling>
          <c:orientation val="minMax"/>
          <c:max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400" b="1"/>
                  <a:t>Percentage of deaths</a:t>
                </a:r>
              </a:p>
            </c:rich>
          </c:tx>
          <c:layout>
            <c:manualLayout>
              <c:xMode val="edge"/>
              <c:yMode val="edge"/>
              <c:x val="1.5252621544327931E-2"/>
              <c:y val="0.3025535517737701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4745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387786</xdr:colOff>
      <xdr:row>25</xdr:row>
      <xdr:rowOff>87514</xdr:rowOff>
    </xdr:from>
    <xdr:to>
      <xdr:col>11</xdr:col>
      <xdr:colOff>582705</xdr:colOff>
      <xdr:row>30</xdr:row>
      <xdr:rowOff>60233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9C6C22-5DBD-7AC8-1C12-BA5F6A8FEF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57150</xdr:rowOff>
    </xdr:from>
    <xdr:to>
      <xdr:col>11</xdr:col>
      <xdr:colOff>38100</xdr:colOff>
      <xdr:row>19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399995-51AE-46BC-81D7-974A4F83A3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Alex Lu" id="{FC0BB749-6DF3-4A88-B733-28B97290B4A4}" userId="S::z5361997@ad.unsw.edu.au::eee2b852-5af3-4bff-a0a2-1c6992cca892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7" dT="2024-03-20T11:42:31.04" personId="{FC0BB749-6DF3-4A88-B733-28B97290B4A4}" id="{9D4C6241-DD85-48E7-ADB0-17BDEF63C741}">
    <text>Compare the cost reduction after the model, and see what is the lowest premium we can offer without suffering a loss</text>
  </threadedComment>
  <threadedComment ref="B7" dT="2024-03-20T12:58:05.84" personId="{FC0BB749-6DF3-4A88-B733-28B97290B4A4}" id="{6BB8AFEB-E9E8-4B61-9386-D7C01ADE928D}" parentId="{9D4C6241-DD85-48E7-ADB0-17BDEF63C741}">
    <text>Use solver to see what the unprofitable premium is</text>
  </threadedComment>
</ThreadedComment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6C19-58C6-4BD3-A940-2E3C4B2A0829}">
  <sheetPr>
    <tabColor theme="1" tint="0.249977111117893"/>
  </sheetPr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4BE88F-8FD3-4C81-8E0D-EFC9FFEF5AC1}">
  <sheetPr codeName="Sheet1"/>
  <dimension ref="A1:N183"/>
  <sheetViews>
    <sheetView zoomScale="125" workbookViewId="0"/>
  </sheetViews>
  <sheetFormatPr defaultColWidth="8.85546875" defaultRowHeight="15"/>
  <cols>
    <col min="1" max="1" width="24.85546875" bestFit="1" customWidth="1"/>
    <col min="2" max="2" width="14.28515625" bestFit="1" customWidth="1"/>
    <col min="3" max="4" width="14.28515625" customWidth="1"/>
    <col min="5" max="5" width="28.28515625" bestFit="1" customWidth="1"/>
    <col min="6" max="6" width="35.42578125" bestFit="1" customWidth="1"/>
    <col min="7" max="7" width="34" customWidth="1"/>
  </cols>
  <sheetData>
    <row r="1" spans="1:14" ht="18.75" customHeight="1">
      <c r="A1" t="s">
        <v>0</v>
      </c>
      <c r="B1" s="30">
        <f>(M2*N2)+(M3*N3)-(M2*N2*M3*N3)</f>
        <v>0.12822</v>
      </c>
      <c r="C1" s="30"/>
      <c r="L1" s="30"/>
      <c r="M1" t="s">
        <v>1</v>
      </c>
      <c r="N1" t="s">
        <v>2</v>
      </c>
    </row>
    <row r="2" spans="1:14">
      <c r="A2" s="31" t="s">
        <v>3</v>
      </c>
      <c r="B2" s="31" t="s">
        <v>4</v>
      </c>
      <c r="C2" s="31" t="s">
        <v>5</v>
      </c>
      <c r="D2" s="31" t="s">
        <v>6</v>
      </c>
      <c r="E2" s="32" t="s">
        <v>7</v>
      </c>
      <c r="F2" s="32" t="s">
        <v>8</v>
      </c>
      <c r="G2" s="32" t="s">
        <v>9</v>
      </c>
      <c r="L2" t="s">
        <v>10</v>
      </c>
      <c r="M2" s="2">
        <v>0.06</v>
      </c>
      <c r="N2">
        <v>0.7</v>
      </c>
    </row>
    <row r="3" spans="1:14">
      <c r="A3" s="33">
        <v>1</v>
      </c>
      <c r="B3" s="34">
        <v>3.5469999999999998E-3</v>
      </c>
      <c r="C3" s="34"/>
      <c r="D3" s="34"/>
      <c r="E3" s="10">
        <f t="shared" ref="E3:E27" si="0">B3*(1-$B$1)</f>
        <v>3.0922036599999999E-3</v>
      </c>
      <c r="F3" s="10">
        <f t="shared" ref="F3:F27" si="1">C3*(1-$B$1)</f>
        <v>0</v>
      </c>
      <c r="G3" s="10">
        <f t="shared" ref="G3:G27" si="2">D3*(1-$B$1)</f>
        <v>0</v>
      </c>
      <c r="L3" t="s">
        <v>11</v>
      </c>
      <c r="M3" s="2">
        <v>0.1</v>
      </c>
      <c r="N3">
        <v>0.9</v>
      </c>
    </row>
    <row r="4" spans="1:14">
      <c r="A4" s="33">
        <v>2</v>
      </c>
      <c r="B4" s="34">
        <v>3.3700000000000001E-4</v>
      </c>
      <c r="C4" s="34"/>
      <c r="D4" s="34"/>
      <c r="E4" s="10">
        <f t="shared" si="0"/>
        <v>2.9378986000000001E-4</v>
      </c>
      <c r="F4" s="10">
        <f t="shared" si="1"/>
        <v>0</v>
      </c>
      <c r="G4" s="10">
        <f t="shared" si="2"/>
        <v>0</v>
      </c>
    </row>
    <row r="5" spans="1:14">
      <c r="A5" s="33">
        <v>3</v>
      </c>
      <c r="B5" s="34">
        <v>2.4000000000000001E-4</v>
      </c>
      <c r="C5" s="34"/>
      <c r="D5" s="34"/>
      <c r="E5" s="10">
        <f t="shared" si="0"/>
        <v>2.0922719999999999E-4</v>
      </c>
      <c r="F5" s="10">
        <f t="shared" si="1"/>
        <v>0</v>
      </c>
      <c r="G5" s="10">
        <f t="shared" si="2"/>
        <v>0</v>
      </c>
    </row>
    <row r="6" spans="1:14">
      <c r="A6" s="33">
        <v>4</v>
      </c>
      <c r="B6" s="34">
        <v>1.8000000000000001E-4</v>
      </c>
      <c r="C6" s="34"/>
      <c r="D6" s="34"/>
      <c r="E6" s="10">
        <f t="shared" si="0"/>
        <v>1.5692040000000001E-4</v>
      </c>
      <c r="F6" s="10">
        <f t="shared" si="1"/>
        <v>0</v>
      </c>
      <c r="G6" s="10">
        <f t="shared" si="2"/>
        <v>0</v>
      </c>
    </row>
    <row r="7" spans="1:14">
      <c r="A7" s="33">
        <v>5</v>
      </c>
      <c r="B7" s="34">
        <v>1.5799999999999999E-4</v>
      </c>
      <c r="C7" s="34"/>
      <c r="D7" s="34"/>
      <c r="E7" s="10">
        <f t="shared" si="0"/>
        <v>1.3774124E-4</v>
      </c>
      <c r="F7" s="10">
        <f t="shared" si="1"/>
        <v>0</v>
      </c>
      <c r="G7" s="10">
        <f t="shared" si="2"/>
        <v>0</v>
      </c>
    </row>
    <row r="8" spans="1:14">
      <c r="A8" s="33">
        <v>6</v>
      </c>
      <c r="B8" s="34">
        <v>1.47E-4</v>
      </c>
      <c r="C8" s="34"/>
      <c r="D8" s="34"/>
      <c r="E8" s="10">
        <f t="shared" si="0"/>
        <v>1.2815166000000001E-4</v>
      </c>
      <c r="F8" s="10">
        <f t="shared" si="1"/>
        <v>0</v>
      </c>
      <c r="G8" s="10">
        <f t="shared" si="2"/>
        <v>0</v>
      </c>
    </row>
    <row r="9" spans="1:14">
      <c r="A9" s="33">
        <v>7</v>
      </c>
      <c r="B9" s="34">
        <v>1.3799999999999999E-4</v>
      </c>
      <c r="C9" s="34"/>
      <c r="D9" s="34"/>
      <c r="E9" s="10">
        <f t="shared" si="0"/>
        <v>1.2030564E-4</v>
      </c>
      <c r="F9" s="10">
        <f t="shared" si="1"/>
        <v>0</v>
      </c>
      <c r="G9" s="10">
        <f t="shared" si="2"/>
        <v>0</v>
      </c>
    </row>
    <row r="10" spans="1:14">
      <c r="A10" s="33">
        <v>8</v>
      </c>
      <c r="B10" s="34">
        <v>1.2899999999999999E-4</v>
      </c>
      <c r="C10" s="34"/>
      <c r="D10" s="34"/>
      <c r="E10" s="10">
        <f t="shared" si="0"/>
        <v>1.1245961999999999E-4</v>
      </c>
      <c r="F10" s="10">
        <f t="shared" si="1"/>
        <v>0</v>
      </c>
      <c r="G10" s="10">
        <f t="shared" si="2"/>
        <v>0</v>
      </c>
    </row>
    <row r="11" spans="1:14">
      <c r="A11" s="33">
        <v>9</v>
      </c>
      <c r="B11" s="34">
        <v>1.26E-4</v>
      </c>
      <c r="C11" s="34"/>
      <c r="D11" s="34"/>
      <c r="E11" s="10">
        <f t="shared" si="0"/>
        <v>1.0984427999999999E-4</v>
      </c>
      <c r="F11" s="10">
        <f t="shared" si="1"/>
        <v>0</v>
      </c>
      <c r="G11" s="10">
        <f t="shared" si="2"/>
        <v>0</v>
      </c>
    </row>
    <row r="12" spans="1:14">
      <c r="A12" s="33">
        <v>10</v>
      </c>
      <c r="B12" s="34">
        <v>1.25E-4</v>
      </c>
      <c r="C12" s="34"/>
      <c r="D12" s="34"/>
      <c r="E12" s="10">
        <f t="shared" si="0"/>
        <v>1.0897250000000001E-4</v>
      </c>
      <c r="F12" s="10">
        <f t="shared" si="1"/>
        <v>0</v>
      </c>
      <c r="G12" s="10">
        <f t="shared" si="2"/>
        <v>0</v>
      </c>
    </row>
    <row r="13" spans="1:14">
      <c r="A13" s="33">
        <v>11</v>
      </c>
      <c r="B13" s="34">
        <v>1.37E-4</v>
      </c>
      <c r="C13" s="34"/>
      <c r="D13" s="34"/>
      <c r="E13" s="10">
        <f t="shared" si="0"/>
        <v>1.1943386E-4</v>
      </c>
      <c r="F13" s="10">
        <f t="shared" si="1"/>
        <v>0</v>
      </c>
      <c r="G13" s="10">
        <f t="shared" si="2"/>
        <v>0</v>
      </c>
    </row>
    <row r="14" spans="1:14">
      <c r="A14" s="33">
        <v>12</v>
      </c>
      <c r="B14" s="34">
        <v>1.45E-4</v>
      </c>
      <c r="C14" s="34"/>
      <c r="D14" s="34"/>
      <c r="E14" s="10">
        <f t="shared" si="0"/>
        <v>1.2640810000000001E-4</v>
      </c>
      <c r="F14" s="10">
        <f t="shared" si="1"/>
        <v>0</v>
      </c>
      <c r="G14" s="10">
        <f t="shared" si="2"/>
        <v>0</v>
      </c>
    </row>
    <row r="15" spans="1:14">
      <c r="A15" s="33">
        <v>13</v>
      </c>
      <c r="B15" s="34">
        <v>1.6100000000000001E-4</v>
      </c>
      <c r="C15" s="34"/>
      <c r="D15" s="34"/>
      <c r="E15" s="10">
        <f t="shared" si="0"/>
        <v>1.4035658E-4</v>
      </c>
      <c r="F15" s="10">
        <f t="shared" si="1"/>
        <v>0</v>
      </c>
      <c r="G15" s="10">
        <f t="shared" si="2"/>
        <v>0</v>
      </c>
    </row>
    <row r="16" spans="1:14">
      <c r="A16" s="33">
        <v>14</v>
      </c>
      <c r="B16" s="34">
        <v>1.8100000000000001E-4</v>
      </c>
      <c r="C16" s="34"/>
      <c r="D16" s="34"/>
      <c r="E16" s="10">
        <f t="shared" si="0"/>
        <v>1.5779218000000001E-4</v>
      </c>
      <c r="F16" s="10">
        <f t="shared" si="1"/>
        <v>0</v>
      </c>
      <c r="G16" s="10">
        <f t="shared" si="2"/>
        <v>0</v>
      </c>
    </row>
    <row r="17" spans="1:9">
      <c r="A17" s="33">
        <v>15</v>
      </c>
      <c r="B17" s="34">
        <v>2.1699999999999999E-4</v>
      </c>
      <c r="C17" s="34"/>
      <c r="D17" s="34"/>
      <c r="E17" s="10">
        <f t="shared" si="0"/>
        <v>1.8917625999999998E-4</v>
      </c>
      <c r="F17" s="10">
        <f t="shared" si="1"/>
        <v>0</v>
      </c>
      <c r="G17" s="10">
        <f t="shared" si="2"/>
        <v>0</v>
      </c>
    </row>
    <row r="18" spans="1:9">
      <c r="A18" s="33">
        <v>16</v>
      </c>
      <c r="B18" s="34">
        <v>2.63E-4</v>
      </c>
      <c r="C18" s="34"/>
      <c r="D18" s="34"/>
      <c r="E18" s="10">
        <f t="shared" si="0"/>
        <v>2.2927814000000001E-4</v>
      </c>
      <c r="F18" s="10">
        <f t="shared" si="1"/>
        <v>0</v>
      </c>
      <c r="G18" s="10">
        <f t="shared" si="2"/>
        <v>0</v>
      </c>
    </row>
    <row r="19" spans="1:9">
      <c r="A19" s="33">
        <v>17</v>
      </c>
      <c r="B19" s="34">
        <v>3.1500000000000001E-4</v>
      </c>
      <c r="C19" s="34"/>
      <c r="D19" s="34"/>
      <c r="E19" s="10">
        <f t="shared" si="0"/>
        <v>2.7461070000000002E-4</v>
      </c>
      <c r="F19" s="10">
        <f t="shared" si="1"/>
        <v>0</v>
      </c>
      <c r="G19" s="10">
        <f t="shared" si="2"/>
        <v>0</v>
      </c>
    </row>
    <row r="20" spans="1:9">
      <c r="A20" s="33">
        <v>18</v>
      </c>
      <c r="B20" s="34">
        <v>3.7599999999999998E-4</v>
      </c>
      <c r="C20" s="34"/>
      <c r="D20" s="34"/>
      <c r="E20" s="10">
        <f t="shared" si="0"/>
        <v>3.2778927999999995E-4</v>
      </c>
      <c r="F20" s="10">
        <f t="shared" si="1"/>
        <v>0</v>
      </c>
      <c r="G20" s="10">
        <f t="shared" si="2"/>
        <v>0</v>
      </c>
    </row>
    <row r="21" spans="1:9">
      <c r="A21" s="33">
        <v>19</v>
      </c>
      <c r="B21" s="34">
        <v>4.2400000000000001E-4</v>
      </c>
      <c r="C21" s="34"/>
      <c r="D21" s="34"/>
      <c r="E21" s="10">
        <f t="shared" si="0"/>
        <v>3.6963472000000003E-4</v>
      </c>
      <c r="F21" s="10">
        <f t="shared" si="1"/>
        <v>0</v>
      </c>
      <c r="G21" s="10">
        <f t="shared" si="2"/>
        <v>0</v>
      </c>
    </row>
    <row r="22" spans="1:9">
      <c r="A22" s="33">
        <v>20</v>
      </c>
      <c r="B22" s="34">
        <v>4.5899999999999999E-4</v>
      </c>
      <c r="C22" s="34"/>
      <c r="D22" s="34"/>
      <c r="E22" s="10">
        <f t="shared" si="0"/>
        <v>4.0014701999999998E-4</v>
      </c>
      <c r="F22" s="10">
        <f t="shared" si="1"/>
        <v>0</v>
      </c>
      <c r="G22" s="10">
        <f t="shared" si="2"/>
        <v>0</v>
      </c>
    </row>
    <row r="23" spans="1:9">
      <c r="A23" s="33">
        <v>21</v>
      </c>
      <c r="B23" s="34">
        <v>4.9600000000000002E-4</v>
      </c>
      <c r="C23" s="34"/>
      <c r="D23" s="34"/>
      <c r="E23" s="10">
        <f t="shared" si="0"/>
        <v>4.3240288000000003E-4</v>
      </c>
      <c r="F23" s="10">
        <f t="shared" si="1"/>
        <v>0</v>
      </c>
      <c r="G23" s="10">
        <f t="shared" si="2"/>
        <v>0</v>
      </c>
    </row>
    <row r="24" spans="1:9">
      <c r="A24" s="33">
        <v>22</v>
      </c>
      <c r="B24" s="34">
        <v>5.2099999999999998E-4</v>
      </c>
      <c r="C24" s="34"/>
      <c r="D24" s="34"/>
      <c r="E24" s="10">
        <f t="shared" si="0"/>
        <v>4.5419737999999999E-4</v>
      </c>
      <c r="F24" s="10">
        <f t="shared" si="1"/>
        <v>0</v>
      </c>
      <c r="G24" s="10">
        <f t="shared" si="2"/>
        <v>0</v>
      </c>
    </row>
    <row r="25" spans="1:9">
      <c r="A25" s="33">
        <v>23</v>
      </c>
      <c r="B25" s="34">
        <v>5.4000000000000001E-4</v>
      </c>
      <c r="C25" s="34"/>
      <c r="D25" s="34"/>
      <c r="E25" s="10">
        <f t="shared" si="0"/>
        <v>4.707612E-4</v>
      </c>
      <c r="F25" s="10">
        <f t="shared" si="1"/>
        <v>0</v>
      </c>
      <c r="G25" s="10">
        <f t="shared" si="2"/>
        <v>0</v>
      </c>
    </row>
    <row r="26" spans="1:9">
      <c r="A26" s="33">
        <v>24</v>
      </c>
      <c r="B26" s="34">
        <v>5.4299999999999997E-4</v>
      </c>
      <c r="C26" s="34"/>
      <c r="D26" s="34"/>
      <c r="E26" s="10">
        <f t="shared" si="0"/>
        <v>4.7337653999999997E-4</v>
      </c>
      <c r="F26" s="10">
        <f t="shared" si="1"/>
        <v>0</v>
      </c>
      <c r="G26" s="10">
        <f t="shared" si="2"/>
        <v>0</v>
      </c>
    </row>
    <row r="27" spans="1:9">
      <c r="A27" s="33">
        <v>25</v>
      </c>
      <c r="B27" s="34">
        <v>5.4500000000000002E-4</v>
      </c>
      <c r="C27" s="34"/>
      <c r="D27" s="34"/>
      <c r="E27" s="10">
        <f t="shared" si="0"/>
        <v>4.7512010000000003E-4</v>
      </c>
      <c r="F27" s="10">
        <f t="shared" si="1"/>
        <v>0</v>
      </c>
      <c r="G27" s="10">
        <f t="shared" si="2"/>
        <v>0</v>
      </c>
    </row>
    <row r="28" spans="1:9">
      <c r="A28" s="33">
        <v>26</v>
      </c>
      <c r="B28" s="34">
        <v>5.5599999999999996E-4</v>
      </c>
      <c r="C28" s="34">
        <v>1.9599999999999999E-3</v>
      </c>
      <c r="D28" s="34">
        <v>9.7847360000000009E-4</v>
      </c>
      <c r="E28" s="10">
        <f t="shared" ref="E28:E59" si="3">B28*(1-$B$1)</f>
        <v>4.8470967999999999E-4</v>
      </c>
      <c r="F28" s="10">
        <f t="shared" ref="F28:F71" si="4">C28*(1-$B$1)</f>
        <v>1.7086887999999999E-3</v>
      </c>
      <c r="G28" s="10">
        <f t="shared" ref="G28:G71" si="5">D28*(1-$B$1)</f>
        <v>8.5301371500800009E-4</v>
      </c>
      <c r="H28">
        <f>B28-C28</f>
        <v>-1.4039999999999999E-3</v>
      </c>
      <c r="I28">
        <f>C28-D28</f>
        <v>9.8152639999999985E-4</v>
      </c>
    </row>
    <row r="29" spans="1:9">
      <c r="A29" s="33">
        <v>27</v>
      </c>
      <c r="B29" s="34">
        <v>5.6800000000000004E-4</v>
      </c>
      <c r="C29" s="34">
        <v>2.8699999999999997E-3</v>
      </c>
      <c r="D29" s="34">
        <v>9.5510980000000005E-4</v>
      </c>
      <c r="E29" s="10">
        <f t="shared" si="3"/>
        <v>4.9517104000000004E-4</v>
      </c>
      <c r="F29" s="10">
        <f t="shared" si="4"/>
        <v>2.5020085999999998E-3</v>
      </c>
      <c r="G29" s="10">
        <f t="shared" si="5"/>
        <v>8.3264562144400001E-4</v>
      </c>
      <c r="H29">
        <f t="shared" ref="H29:I89" si="6">B29-C29</f>
        <v>-2.3019999999999998E-3</v>
      </c>
      <c r="I29">
        <f t="shared" si="6"/>
        <v>1.9148901999999997E-3</v>
      </c>
    </row>
    <row r="30" spans="1:9">
      <c r="A30" s="33">
        <v>28</v>
      </c>
      <c r="B30" s="34">
        <v>5.8299999999999997E-4</v>
      </c>
      <c r="C30" s="34">
        <v>1.24E-3</v>
      </c>
      <c r="D30" s="34">
        <v>1.2437811E-3</v>
      </c>
      <c r="E30" s="10">
        <f t="shared" si="3"/>
        <v>5.0824773999999994E-4</v>
      </c>
      <c r="F30" s="10">
        <f t="shared" si="4"/>
        <v>1.0810072E-3</v>
      </c>
      <c r="G30" s="10">
        <f t="shared" si="5"/>
        <v>1.0843034873580001E-3</v>
      </c>
      <c r="H30">
        <f t="shared" si="6"/>
        <v>-6.5700000000000003E-4</v>
      </c>
      <c r="I30">
        <f t="shared" si="6"/>
        <v>-3.7811000000000441E-6</v>
      </c>
    </row>
    <row r="31" spans="1:9">
      <c r="A31" s="33">
        <v>29</v>
      </c>
      <c r="B31" s="34">
        <v>5.9900000000000003E-4</v>
      </c>
      <c r="C31" s="34">
        <v>2.96E-3</v>
      </c>
      <c r="D31" s="34">
        <v>6.8306010000000002E-4</v>
      </c>
      <c r="E31" s="10">
        <f t="shared" si="3"/>
        <v>5.2219622000000004E-4</v>
      </c>
      <c r="F31" s="10">
        <f t="shared" si="4"/>
        <v>2.5804688000000001E-3</v>
      </c>
      <c r="G31" s="10">
        <f t="shared" si="5"/>
        <v>5.9547813397800001E-4</v>
      </c>
      <c r="H31">
        <f t="shared" si="6"/>
        <v>-2.3609999999999998E-3</v>
      </c>
      <c r="I31">
        <f t="shared" si="6"/>
        <v>2.2769398999999998E-3</v>
      </c>
    </row>
    <row r="32" spans="1:9">
      <c r="A32" s="33">
        <v>30</v>
      </c>
      <c r="B32" s="34">
        <v>6.1899999999999998E-4</v>
      </c>
      <c r="C32" s="34">
        <v>2.9099999999999998E-3</v>
      </c>
      <c r="D32" s="34">
        <v>1.0913059E-3</v>
      </c>
      <c r="E32" s="10">
        <f t="shared" si="3"/>
        <v>5.3963182000000003E-4</v>
      </c>
      <c r="F32" s="10">
        <f t="shared" si="4"/>
        <v>2.5368798E-3</v>
      </c>
      <c r="G32" s="10">
        <f t="shared" si="5"/>
        <v>9.5137865750200001E-4</v>
      </c>
      <c r="H32">
        <f t="shared" si="6"/>
        <v>-2.2909999999999996E-3</v>
      </c>
      <c r="I32">
        <f t="shared" si="6"/>
        <v>1.8186940999999999E-3</v>
      </c>
    </row>
    <row r="33" spans="1:9">
      <c r="A33" s="33">
        <v>31</v>
      </c>
      <c r="B33" s="34">
        <v>6.4999999999999997E-4</v>
      </c>
      <c r="C33" s="34">
        <v>1.5399999999999999E-3</v>
      </c>
      <c r="D33" s="34">
        <v>2.0027730999999998E-3</v>
      </c>
      <c r="E33" s="10">
        <f t="shared" si="3"/>
        <v>5.6665699999999992E-4</v>
      </c>
      <c r="F33" s="10">
        <f t="shared" si="4"/>
        <v>1.3425411999999999E-3</v>
      </c>
      <c r="G33" s="10">
        <f t="shared" si="5"/>
        <v>1.745977533118E-3</v>
      </c>
      <c r="H33">
        <f t="shared" si="6"/>
        <v>-8.8999999999999995E-4</v>
      </c>
      <c r="I33">
        <f t="shared" si="6"/>
        <v>-4.6277309999999991E-4</v>
      </c>
    </row>
    <row r="34" spans="1:9">
      <c r="A34" s="33">
        <v>32</v>
      </c>
      <c r="B34" s="34">
        <v>6.87E-4</v>
      </c>
      <c r="C34" s="34">
        <v>1.47E-3</v>
      </c>
      <c r="D34" s="34">
        <v>1.0669512000000001E-3</v>
      </c>
      <c r="E34" s="10">
        <f t="shared" si="3"/>
        <v>5.9891285999999998E-4</v>
      </c>
      <c r="F34" s="10">
        <f t="shared" si="4"/>
        <v>1.2815165999999999E-3</v>
      </c>
      <c r="G34" s="10">
        <f t="shared" si="5"/>
        <v>9.3014671713600007E-4</v>
      </c>
      <c r="H34">
        <f t="shared" si="6"/>
        <v>-7.8299999999999995E-4</v>
      </c>
      <c r="I34">
        <f t="shared" si="6"/>
        <v>4.0304879999999987E-4</v>
      </c>
    </row>
    <row r="35" spans="1:9">
      <c r="A35" s="33">
        <v>33</v>
      </c>
      <c r="B35" s="34">
        <v>7.2300000000000001E-4</v>
      </c>
      <c r="C35" s="34">
        <v>2E-3</v>
      </c>
      <c r="D35" s="34">
        <v>1.1775789E-3</v>
      </c>
      <c r="E35" s="10">
        <f t="shared" si="3"/>
        <v>6.3029693999999995E-4</v>
      </c>
      <c r="F35" s="10">
        <f t="shared" si="4"/>
        <v>1.7435600000000001E-3</v>
      </c>
      <c r="G35" s="10">
        <f t="shared" si="5"/>
        <v>1.0265897334419999E-3</v>
      </c>
      <c r="H35">
        <f t="shared" si="6"/>
        <v>-1.2769999999999999E-3</v>
      </c>
      <c r="I35">
        <f t="shared" si="6"/>
        <v>8.2242110000000008E-4</v>
      </c>
    </row>
    <row r="36" spans="1:9">
      <c r="A36" s="33">
        <v>34</v>
      </c>
      <c r="B36" s="34">
        <v>7.6900000000000004E-4</v>
      </c>
      <c r="C36" s="34">
        <v>1.7100000000000001E-3</v>
      </c>
      <c r="D36" s="34">
        <v>1.0690614E-3</v>
      </c>
      <c r="E36" s="10">
        <f t="shared" si="3"/>
        <v>6.7039882000000009E-4</v>
      </c>
      <c r="F36" s="10">
        <f t="shared" si="4"/>
        <v>1.4907438000000002E-3</v>
      </c>
      <c r="G36" s="10">
        <f t="shared" si="5"/>
        <v>9.3198634729199994E-4</v>
      </c>
      <c r="H36">
        <f t="shared" si="6"/>
        <v>-9.410000000000001E-4</v>
      </c>
      <c r="I36">
        <f t="shared" si="6"/>
        <v>6.4093860000000017E-4</v>
      </c>
    </row>
    <row r="37" spans="1:9">
      <c r="A37" s="33">
        <v>35</v>
      </c>
      <c r="B37" s="34">
        <v>8.1700000000000002E-4</v>
      </c>
      <c r="C37" s="34">
        <v>1.7699999999999999E-3</v>
      </c>
      <c r="D37" s="34">
        <v>1.3286094E-3</v>
      </c>
      <c r="E37" s="10">
        <f t="shared" si="3"/>
        <v>7.1224426000000005E-4</v>
      </c>
      <c r="F37" s="10">
        <f t="shared" si="4"/>
        <v>1.5430505999999998E-3</v>
      </c>
      <c r="G37" s="10">
        <f t="shared" si="5"/>
        <v>1.158255102732E-3</v>
      </c>
      <c r="H37">
        <f t="shared" si="6"/>
        <v>-9.5299999999999985E-4</v>
      </c>
      <c r="I37">
        <f t="shared" si="6"/>
        <v>4.4139059999999983E-4</v>
      </c>
    </row>
    <row r="38" spans="1:9">
      <c r="A38" s="33">
        <v>36</v>
      </c>
      <c r="B38" s="34">
        <v>8.7299999999999997E-4</v>
      </c>
      <c r="C38" s="34">
        <v>1.5199999999999999E-3</v>
      </c>
      <c r="D38" s="34">
        <v>1.7474547999999999E-3</v>
      </c>
      <c r="E38" s="10">
        <f t="shared" si="3"/>
        <v>7.6106394000000001E-4</v>
      </c>
      <c r="F38" s="10">
        <f t="shared" si="4"/>
        <v>1.3251055999999998E-3</v>
      </c>
      <c r="G38" s="10">
        <f t="shared" si="5"/>
        <v>1.5233961455439998E-3</v>
      </c>
      <c r="H38">
        <f t="shared" si="6"/>
        <v>-6.469999999999999E-4</v>
      </c>
      <c r="I38">
        <f t="shared" si="6"/>
        <v>-2.2745480000000004E-4</v>
      </c>
    </row>
    <row r="39" spans="1:9">
      <c r="A39" s="33">
        <v>37</v>
      </c>
      <c r="B39" s="34">
        <v>9.5E-4</v>
      </c>
      <c r="C39" s="34">
        <v>1.3900000000000002E-3</v>
      </c>
      <c r="D39" s="34">
        <v>1.0559662E-3</v>
      </c>
      <c r="E39" s="10">
        <f t="shared" si="3"/>
        <v>8.2819100000000004E-4</v>
      </c>
      <c r="F39" s="10">
        <f t="shared" si="4"/>
        <v>1.2117742000000002E-3</v>
      </c>
      <c r="G39" s="10">
        <f t="shared" si="5"/>
        <v>9.2057021383600002E-4</v>
      </c>
      <c r="H39">
        <f t="shared" si="6"/>
        <v>-4.4000000000000018E-4</v>
      </c>
      <c r="I39">
        <f t="shared" si="6"/>
        <v>3.3403380000000013E-4</v>
      </c>
    </row>
    <row r="40" spans="1:9">
      <c r="A40" s="33">
        <v>38</v>
      </c>
      <c r="B40" s="34">
        <v>1.039E-3</v>
      </c>
      <c r="C40" s="34">
        <v>1.3500000000000001E-3</v>
      </c>
      <c r="D40" s="34">
        <v>1.7037777000000001E-3</v>
      </c>
      <c r="E40" s="10">
        <f t="shared" si="3"/>
        <v>9.0577941999999995E-4</v>
      </c>
      <c r="F40" s="10">
        <f t="shared" si="4"/>
        <v>1.176903E-3</v>
      </c>
      <c r="G40" s="10">
        <f t="shared" si="5"/>
        <v>1.4853193233060002E-3</v>
      </c>
      <c r="H40">
        <f t="shared" si="6"/>
        <v>-3.1100000000000008E-4</v>
      </c>
      <c r="I40">
        <f t="shared" si="6"/>
        <v>-3.5377770000000002E-4</v>
      </c>
    </row>
    <row r="41" spans="1:9">
      <c r="A41" s="33">
        <v>39</v>
      </c>
      <c r="B41" s="34">
        <v>1.1299999999999999E-3</v>
      </c>
      <c r="C41" s="34">
        <v>1.31E-3</v>
      </c>
      <c r="D41" s="34">
        <v>1.3668383999999999E-3</v>
      </c>
      <c r="E41" s="10">
        <f t="shared" si="3"/>
        <v>9.8511140000000002E-4</v>
      </c>
      <c r="F41" s="10">
        <f t="shared" si="4"/>
        <v>1.1420318E-3</v>
      </c>
      <c r="G41" s="10">
        <f t="shared" si="5"/>
        <v>1.191582380352E-3</v>
      </c>
      <c r="H41">
        <f t="shared" si="6"/>
        <v>-1.8000000000000004E-4</v>
      </c>
      <c r="I41">
        <f t="shared" si="6"/>
        <v>-5.6838399999999947E-5</v>
      </c>
    </row>
    <row r="42" spans="1:9">
      <c r="A42" s="33">
        <v>40</v>
      </c>
      <c r="B42" s="34">
        <v>1.2260000000000001E-3</v>
      </c>
      <c r="C42" s="34">
        <v>1.3700000000000001E-3</v>
      </c>
      <c r="D42" s="34">
        <v>1.8045259000000001E-3</v>
      </c>
      <c r="E42" s="10">
        <f t="shared" si="3"/>
        <v>1.0688022800000002E-3</v>
      </c>
      <c r="F42" s="10">
        <f t="shared" si="4"/>
        <v>1.1943386000000001E-3</v>
      </c>
      <c r="G42" s="10">
        <f t="shared" si="5"/>
        <v>1.5731495891020001E-3</v>
      </c>
      <c r="H42">
        <f t="shared" si="6"/>
        <v>-1.4400000000000003E-4</v>
      </c>
      <c r="I42">
        <f t="shared" si="6"/>
        <v>-4.3452589999999993E-4</v>
      </c>
    </row>
    <row r="43" spans="1:9">
      <c r="A43" s="33">
        <v>41</v>
      </c>
      <c r="B43" s="34">
        <v>1.3370000000000001E-3</v>
      </c>
      <c r="C43" s="34">
        <v>1.7799999999999999E-3</v>
      </c>
      <c r="D43" s="34">
        <v>1.5045135E-3</v>
      </c>
      <c r="E43" s="10">
        <f t="shared" si="3"/>
        <v>1.16556986E-3</v>
      </c>
      <c r="F43" s="10">
        <f t="shared" si="4"/>
        <v>1.5517683999999999E-3</v>
      </c>
      <c r="G43" s="10">
        <f t="shared" si="5"/>
        <v>1.3116047790300001E-3</v>
      </c>
      <c r="H43">
        <f t="shared" si="6"/>
        <v>-4.4299999999999982E-4</v>
      </c>
      <c r="I43">
        <f t="shared" si="6"/>
        <v>2.7548649999999987E-4</v>
      </c>
    </row>
    <row r="44" spans="1:9">
      <c r="A44" s="33">
        <v>42</v>
      </c>
      <c r="B44" s="34">
        <v>1.4469999999999999E-3</v>
      </c>
      <c r="C44" s="34">
        <v>1.8500000000000001E-3</v>
      </c>
      <c r="D44" s="34">
        <v>1.6811069E-3</v>
      </c>
      <c r="E44" s="10">
        <f t="shared" si="3"/>
        <v>1.26146566E-3</v>
      </c>
      <c r="F44" s="10">
        <f t="shared" si="4"/>
        <v>1.6127930000000002E-3</v>
      </c>
      <c r="G44" s="10">
        <f t="shared" si="5"/>
        <v>1.465555373282E-3</v>
      </c>
      <c r="H44">
        <f t="shared" si="6"/>
        <v>-4.0300000000000015E-4</v>
      </c>
      <c r="I44">
        <f t="shared" si="6"/>
        <v>1.6889310000000007E-4</v>
      </c>
    </row>
    <row r="45" spans="1:9">
      <c r="A45" s="33">
        <v>43</v>
      </c>
      <c r="B45" s="34">
        <v>1.573E-3</v>
      </c>
      <c r="C45" s="34">
        <v>1.7000000000000001E-3</v>
      </c>
      <c r="D45" s="34">
        <v>1.6225205999999999E-3</v>
      </c>
      <c r="E45" s="10">
        <f t="shared" si="3"/>
        <v>1.37130994E-3</v>
      </c>
      <c r="F45" s="10">
        <f t="shared" si="4"/>
        <v>1.482026E-3</v>
      </c>
      <c r="G45" s="10">
        <f t="shared" si="5"/>
        <v>1.4144810086679999E-3</v>
      </c>
      <c r="H45">
        <f t="shared" si="6"/>
        <v>-1.2700000000000016E-4</v>
      </c>
      <c r="I45">
        <f t="shared" si="6"/>
        <v>7.7479400000000226E-5</v>
      </c>
    </row>
    <row r="46" spans="1:9">
      <c r="A46" s="33">
        <v>44</v>
      </c>
      <c r="B46" s="34">
        <v>1.709E-3</v>
      </c>
      <c r="C46" s="34">
        <v>2.66E-3</v>
      </c>
      <c r="D46" s="34">
        <v>2.3130300999999998E-3</v>
      </c>
      <c r="E46" s="10">
        <f t="shared" si="3"/>
        <v>1.4898720200000001E-3</v>
      </c>
      <c r="F46" s="10">
        <f t="shared" si="4"/>
        <v>2.3189348000000002E-3</v>
      </c>
      <c r="G46" s="10">
        <f t="shared" si="5"/>
        <v>2.0164533805779998E-3</v>
      </c>
      <c r="H46">
        <f t="shared" si="6"/>
        <v>-9.5100000000000002E-4</v>
      </c>
      <c r="I46">
        <f t="shared" si="6"/>
        <v>3.4696990000000023E-4</v>
      </c>
    </row>
    <row r="47" spans="1:9">
      <c r="A47" s="33">
        <v>45</v>
      </c>
      <c r="B47" s="34">
        <v>1.8569999999999999E-3</v>
      </c>
      <c r="C47" s="34">
        <v>2.48E-3</v>
      </c>
      <c r="D47" s="34">
        <v>2.2186888000000002E-3</v>
      </c>
      <c r="E47" s="10">
        <f t="shared" si="3"/>
        <v>1.6188954599999999E-3</v>
      </c>
      <c r="F47" s="10">
        <f t="shared" si="4"/>
        <v>2.1620144E-3</v>
      </c>
      <c r="G47" s="10">
        <f t="shared" si="5"/>
        <v>1.9342085220640001E-3</v>
      </c>
      <c r="H47">
        <f t="shared" si="6"/>
        <v>-6.2300000000000007E-4</v>
      </c>
      <c r="I47">
        <f t="shared" si="6"/>
        <v>2.6131119999999982E-4</v>
      </c>
    </row>
    <row r="48" spans="1:9">
      <c r="A48" s="33">
        <v>46</v>
      </c>
      <c r="B48" s="34">
        <v>2.0140000000000002E-3</v>
      </c>
      <c r="C48" s="34">
        <v>3.0599999999999998E-3</v>
      </c>
      <c r="D48" s="34">
        <v>2.0640569000000002E-3</v>
      </c>
      <c r="E48" s="10">
        <f t="shared" si="3"/>
        <v>1.7557649200000002E-3</v>
      </c>
      <c r="F48" s="10">
        <f t="shared" si="4"/>
        <v>2.6676467999999999E-3</v>
      </c>
      <c r="G48" s="10">
        <f t="shared" si="5"/>
        <v>1.7994035242820002E-3</v>
      </c>
      <c r="H48">
        <f t="shared" si="6"/>
        <v>-1.0459999999999996E-3</v>
      </c>
      <c r="I48">
        <f t="shared" si="6"/>
        <v>9.959430999999996E-4</v>
      </c>
    </row>
    <row r="49" spans="1:9">
      <c r="A49" s="33">
        <v>47</v>
      </c>
      <c r="B49" s="34">
        <v>2.199E-3</v>
      </c>
      <c r="C49" s="34">
        <v>2.8299999999999996E-3</v>
      </c>
      <c r="D49" s="34">
        <v>2.2492587999999999E-3</v>
      </c>
      <c r="E49" s="10">
        <f t="shared" si="3"/>
        <v>1.9170442199999999E-3</v>
      </c>
      <c r="F49" s="10">
        <f t="shared" si="4"/>
        <v>2.4671373999999996E-3</v>
      </c>
      <c r="G49" s="10">
        <f t="shared" si="5"/>
        <v>1.960858836664E-3</v>
      </c>
      <c r="H49">
        <f t="shared" si="6"/>
        <v>-6.3099999999999962E-4</v>
      </c>
      <c r="I49">
        <f t="shared" si="6"/>
        <v>5.807411999999997E-4</v>
      </c>
    </row>
    <row r="50" spans="1:9">
      <c r="A50" s="33">
        <v>48</v>
      </c>
      <c r="B50" s="34">
        <v>2.4109999999999999E-3</v>
      </c>
      <c r="C50" s="34">
        <v>3.7299999999999998E-3</v>
      </c>
      <c r="D50" s="34">
        <v>2.3096974E-3</v>
      </c>
      <c r="E50" s="10">
        <f t="shared" si="3"/>
        <v>2.1018615799999999E-3</v>
      </c>
      <c r="F50" s="10">
        <f t="shared" si="4"/>
        <v>3.2517393999999997E-3</v>
      </c>
      <c r="G50" s="10">
        <f t="shared" si="5"/>
        <v>2.0135479993720002E-3</v>
      </c>
      <c r="H50">
        <f t="shared" si="6"/>
        <v>-1.3189999999999999E-3</v>
      </c>
      <c r="I50">
        <f t="shared" si="6"/>
        <v>1.4203025999999998E-3</v>
      </c>
    </row>
    <row r="51" spans="1:9">
      <c r="A51" s="33">
        <v>49</v>
      </c>
      <c r="B51" s="34">
        <v>2.6350000000000002E-3</v>
      </c>
      <c r="C51" s="34">
        <v>4.5700000000000003E-3</v>
      </c>
      <c r="D51" s="34">
        <v>2.6178009999999999E-3</v>
      </c>
      <c r="E51" s="10">
        <f t="shared" si="3"/>
        <v>2.2971403000000001E-3</v>
      </c>
      <c r="F51" s="10">
        <f t="shared" si="4"/>
        <v>3.9840346000000002E-3</v>
      </c>
      <c r="G51" s="10">
        <f t="shared" si="5"/>
        <v>2.2821465557799998E-3</v>
      </c>
      <c r="H51">
        <f t="shared" si="6"/>
        <v>-1.9350000000000001E-3</v>
      </c>
      <c r="I51">
        <f t="shared" si="6"/>
        <v>1.9521990000000004E-3</v>
      </c>
    </row>
    <row r="52" spans="1:9">
      <c r="A52" s="33">
        <v>50</v>
      </c>
      <c r="B52" s="34">
        <v>2.8809999999999999E-3</v>
      </c>
      <c r="C52" s="34">
        <v>5.11E-3</v>
      </c>
      <c r="D52" s="34">
        <v>2.7166882000000002E-3</v>
      </c>
      <c r="E52" s="10">
        <f t="shared" si="3"/>
        <v>2.51159818E-3</v>
      </c>
      <c r="F52" s="10">
        <f t="shared" si="4"/>
        <v>4.4547958000000004E-3</v>
      </c>
      <c r="G52" s="10">
        <f t="shared" si="5"/>
        <v>2.3683544389960002E-3</v>
      </c>
      <c r="H52">
        <f t="shared" si="6"/>
        <v>-2.2290000000000001E-3</v>
      </c>
      <c r="I52">
        <f t="shared" si="6"/>
        <v>2.3933117999999998E-3</v>
      </c>
    </row>
    <row r="53" spans="1:9">
      <c r="A53" s="33">
        <v>51</v>
      </c>
      <c r="B53" s="34">
        <v>3.1449999999999998E-3</v>
      </c>
      <c r="C53" s="34">
        <v>5.6699999999999997E-3</v>
      </c>
      <c r="D53" s="34">
        <v>2.8993910999999999E-3</v>
      </c>
      <c r="E53" s="10">
        <f t="shared" si="3"/>
        <v>2.7417480999999996E-3</v>
      </c>
      <c r="F53" s="10">
        <f t="shared" si="4"/>
        <v>4.9429925999999996E-3</v>
      </c>
      <c r="G53" s="10">
        <f t="shared" si="5"/>
        <v>2.5276311731579999E-3</v>
      </c>
      <c r="H53">
        <f t="shared" si="6"/>
        <v>-2.5249999999999999E-3</v>
      </c>
      <c r="I53">
        <f t="shared" si="6"/>
        <v>2.7706088999999998E-3</v>
      </c>
    </row>
    <row r="54" spans="1:9">
      <c r="A54" s="33">
        <v>52</v>
      </c>
      <c r="B54" s="34">
        <v>3.4489999999999998E-3</v>
      </c>
      <c r="C54" s="34">
        <v>6.3499999999999997E-3</v>
      </c>
      <c r="D54" s="34">
        <v>3.1135821999999998E-3</v>
      </c>
      <c r="E54" s="10">
        <f t="shared" si="3"/>
        <v>3.0067692199999998E-3</v>
      </c>
      <c r="F54" s="10">
        <f t="shared" si="4"/>
        <v>5.5358029999999997E-3</v>
      </c>
      <c r="G54" s="10">
        <f t="shared" si="5"/>
        <v>2.7143586903159997E-3</v>
      </c>
      <c r="H54">
        <f t="shared" si="6"/>
        <v>-2.9009999999999999E-3</v>
      </c>
      <c r="I54">
        <f t="shared" si="6"/>
        <v>3.2364178E-3</v>
      </c>
    </row>
    <row r="55" spans="1:9">
      <c r="A55" s="33">
        <v>53</v>
      </c>
      <c r="B55" s="34">
        <v>3.7950000000000002E-3</v>
      </c>
      <c r="C55" s="34">
        <v>6.7200000000000003E-3</v>
      </c>
      <c r="D55" s="34">
        <v>3.3757962E-3</v>
      </c>
      <c r="E55" s="10">
        <f t="shared" si="3"/>
        <v>3.3084051E-3</v>
      </c>
      <c r="F55" s="10">
        <f t="shared" si="4"/>
        <v>5.8583616000000005E-3</v>
      </c>
      <c r="G55" s="10">
        <f t="shared" si="5"/>
        <v>2.9429516112359998E-3</v>
      </c>
      <c r="H55">
        <f t="shared" si="6"/>
        <v>-2.9250000000000001E-3</v>
      </c>
      <c r="I55">
        <f t="shared" si="6"/>
        <v>3.3442038000000003E-3</v>
      </c>
    </row>
    <row r="56" spans="1:9">
      <c r="A56" s="33">
        <v>54</v>
      </c>
      <c r="B56" s="34">
        <v>4.1780000000000003E-3</v>
      </c>
      <c r="C56" s="34">
        <v>8.0600000000000012E-3</v>
      </c>
      <c r="D56" s="34">
        <v>4.0309980999999996E-3</v>
      </c>
      <c r="E56" s="10">
        <f t="shared" si="3"/>
        <v>3.6422968400000003E-3</v>
      </c>
      <c r="F56" s="10">
        <f t="shared" si="4"/>
        <v>7.026546800000001E-3</v>
      </c>
      <c r="G56" s="10">
        <f t="shared" si="5"/>
        <v>3.5141435236179996E-3</v>
      </c>
      <c r="H56">
        <f t="shared" si="6"/>
        <v>-3.8820000000000009E-3</v>
      </c>
      <c r="I56">
        <f t="shared" si="6"/>
        <v>4.0290019000000015E-3</v>
      </c>
    </row>
    <row r="57" spans="1:9">
      <c r="A57" s="33">
        <v>55</v>
      </c>
      <c r="B57" s="34">
        <v>4.6129999999999999E-3</v>
      </c>
      <c r="C57" s="34">
        <v>8.5599999999999999E-3</v>
      </c>
      <c r="D57" s="34">
        <v>4.0433800999999997E-3</v>
      </c>
      <c r="E57" s="10">
        <f t="shared" si="3"/>
        <v>4.0215211399999996E-3</v>
      </c>
      <c r="F57" s="10">
        <f t="shared" si="4"/>
        <v>7.4624367999999996E-3</v>
      </c>
      <c r="G57" s="10">
        <f t="shared" si="5"/>
        <v>3.5249379035779999E-3</v>
      </c>
      <c r="H57">
        <f t="shared" si="6"/>
        <v>-3.947E-3</v>
      </c>
      <c r="I57">
        <f t="shared" si="6"/>
        <v>4.5166199000000002E-3</v>
      </c>
    </row>
    <row r="58" spans="1:9">
      <c r="A58" s="33">
        <v>56</v>
      </c>
      <c r="B58" s="34">
        <v>5.1060000000000003E-3</v>
      </c>
      <c r="C58" s="34">
        <v>9.1500000000000001E-3</v>
      </c>
      <c r="D58" s="34">
        <v>3.9123125E-3</v>
      </c>
      <c r="E58" s="10">
        <f t="shared" si="3"/>
        <v>4.4513086800000001E-3</v>
      </c>
      <c r="F58" s="10">
        <f t="shared" si="4"/>
        <v>7.9767870000000008E-3</v>
      </c>
      <c r="G58" s="10">
        <f t="shared" si="5"/>
        <v>3.4106757912500001E-3</v>
      </c>
      <c r="H58">
        <f t="shared" si="6"/>
        <v>-4.0439999999999999E-3</v>
      </c>
      <c r="I58">
        <f t="shared" si="6"/>
        <v>5.2376875000000002E-3</v>
      </c>
    </row>
    <row r="59" spans="1:9">
      <c r="A59" s="33">
        <v>57</v>
      </c>
      <c r="B59" s="34">
        <v>5.62E-3</v>
      </c>
      <c r="C59" s="34">
        <v>9.1700000000000011E-3</v>
      </c>
      <c r="D59" s="34">
        <v>3.0221514E-3</v>
      </c>
      <c r="E59" s="10">
        <f t="shared" si="3"/>
        <v>4.8994036000000003E-3</v>
      </c>
      <c r="F59" s="10">
        <f t="shared" si="4"/>
        <v>7.9942226000000016E-3</v>
      </c>
      <c r="G59" s="10">
        <f t="shared" si="5"/>
        <v>2.634651147492E-3</v>
      </c>
      <c r="H59">
        <f t="shared" si="6"/>
        <v>-3.5500000000000011E-3</v>
      </c>
      <c r="I59">
        <f t="shared" si="6"/>
        <v>6.1478486000000011E-3</v>
      </c>
    </row>
    <row r="60" spans="1:9">
      <c r="A60" s="33">
        <v>58</v>
      </c>
      <c r="B60" s="34">
        <v>6.1700000000000001E-3</v>
      </c>
      <c r="C60" s="34">
        <v>8.8500000000000002E-3</v>
      </c>
      <c r="D60" s="34">
        <v>3.8625876E-3</v>
      </c>
      <c r="E60" s="10">
        <f t="shared" ref="E60:E91" si="7">B60*(1-$B$1)</f>
        <v>5.3788826E-3</v>
      </c>
      <c r="F60" s="10">
        <f t="shared" si="4"/>
        <v>7.715253E-3</v>
      </c>
      <c r="G60" s="10">
        <f t="shared" si="5"/>
        <v>3.3673266179279999E-3</v>
      </c>
      <c r="H60">
        <f t="shared" si="6"/>
        <v>-2.6800000000000001E-3</v>
      </c>
      <c r="I60">
        <f t="shared" si="6"/>
        <v>4.9874124000000002E-3</v>
      </c>
    </row>
    <row r="61" spans="1:9">
      <c r="A61" s="33">
        <v>59</v>
      </c>
      <c r="B61" s="34">
        <v>6.7759999999999999E-3</v>
      </c>
      <c r="C61" s="34">
        <v>1.142E-2</v>
      </c>
      <c r="D61" s="34">
        <v>3.6389583E-3</v>
      </c>
      <c r="E61" s="10">
        <f t="shared" si="7"/>
        <v>5.9071812799999998E-3</v>
      </c>
      <c r="F61" s="10">
        <f t="shared" si="4"/>
        <v>9.9557276000000004E-3</v>
      </c>
      <c r="G61" s="10">
        <f t="shared" si="5"/>
        <v>3.1723710667740002E-3</v>
      </c>
      <c r="H61">
        <f t="shared" si="6"/>
        <v>-4.6439999999999997E-3</v>
      </c>
      <c r="I61">
        <f t="shared" si="6"/>
        <v>7.7810416999999996E-3</v>
      </c>
    </row>
    <row r="62" spans="1:9">
      <c r="A62" s="33">
        <v>60</v>
      </c>
      <c r="B62" s="34">
        <v>7.5009999999999999E-3</v>
      </c>
      <c r="C62" s="34">
        <v>1.1699999999999999E-2</v>
      </c>
      <c r="D62" s="34">
        <v>3.7737272999999998E-3</v>
      </c>
      <c r="E62" s="10">
        <f t="shared" si="7"/>
        <v>6.5392217799999999E-3</v>
      </c>
      <c r="F62" s="10">
        <f t="shared" si="4"/>
        <v>1.0199825999999999E-2</v>
      </c>
      <c r="G62" s="10">
        <f t="shared" si="5"/>
        <v>3.2898599855939997E-3</v>
      </c>
      <c r="H62">
        <f t="shared" si="6"/>
        <v>-4.1989999999999987E-3</v>
      </c>
      <c r="I62">
        <f t="shared" si="6"/>
        <v>7.9262726999999988E-3</v>
      </c>
    </row>
    <row r="63" spans="1:9">
      <c r="A63" s="33">
        <v>61</v>
      </c>
      <c r="B63" s="34">
        <v>8.2740000000000001E-3</v>
      </c>
      <c r="C63" s="34">
        <v>1.303E-2</v>
      </c>
      <c r="D63" s="34">
        <v>4.1367467999999996E-3</v>
      </c>
      <c r="E63" s="10">
        <f t="shared" si="7"/>
        <v>7.2131077200000004E-3</v>
      </c>
      <c r="F63" s="10">
        <f t="shared" si="4"/>
        <v>1.13592934E-2</v>
      </c>
      <c r="G63" s="10">
        <f t="shared" si="5"/>
        <v>3.6063331253039996E-3</v>
      </c>
      <c r="H63">
        <f t="shared" si="6"/>
        <v>-4.7559999999999998E-3</v>
      </c>
      <c r="I63">
        <f t="shared" si="6"/>
        <v>8.8932531999999995E-3</v>
      </c>
    </row>
    <row r="64" spans="1:9">
      <c r="A64" s="33">
        <v>62</v>
      </c>
      <c r="B64" s="34">
        <v>9.044E-3</v>
      </c>
      <c r="C64" s="34">
        <v>1.179E-2</v>
      </c>
      <c r="D64" s="34">
        <v>4.4826750999999998E-3</v>
      </c>
      <c r="E64" s="10">
        <f t="shared" si="7"/>
        <v>7.8843783199999996E-3</v>
      </c>
      <c r="F64" s="10">
        <f t="shared" si="4"/>
        <v>1.02782862E-2</v>
      </c>
      <c r="G64" s="10">
        <f t="shared" si="5"/>
        <v>3.907906498678E-3</v>
      </c>
      <c r="H64">
        <f t="shared" si="6"/>
        <v>-2.7460000000000002E-3</v>
      </c>
      <c r="I64">
        <f t="shared" si="6"/>
        <v>7.3073249000000003E-3</v>
      </c>
    </row>
    <row r="65" spans="1:9">
      <c r="A65" s="33">
        <v>63</v>
      </c>
      <c r="B65" s="34">
        <v>9.8910000000000005E-3</v>
      </c>
      <c r="C65" s="34">
        <v>1.3680000000000001E-2</v>
      </c>
      <c r="D65" s="34">
        <v>4.040404E-3</v>
      </c>
      <c r="E65" s="10">
        <f t="shared" si="7"/>
        <v>8.6227759800000005E-3</v>
      </c>
      <c r="F65" s="10">
        <f t="shared" si="4"/>
        <v>1.1925950400000001E-2</v>
      </c>
      <c r="G65" s="10">
        <f t="shared" si="5"/>
        <v>3.5223433991199999E-3</v>
      </c>
      <c r="H65">
        <f t="shared" si="6"/>
        <v>-3.7890000000000007E-3</v>
      </c>
      <c r="I65">
        <f t="shared" si="6"/>
        <v>9.6395960000000003E-3</v>
      </c>
    </row>
    <row r="66" spans="1:9">
      <c r="A66" s="33">
        <v>64</v>
      </c>
      <c r="B66" s="34">
        <v>1.0792E-2</v>
      </c>
      <c r="C66" s="34">
        <v>1.5800000000000002E-2</v>
      </c>
      <c r="D66" s="34">
        <v>4.8433545999999996E-3</v>
      </c>
      <c r="E66" s="10">
        <f t="shared" si="7"/>
        <v>9.4082497599999992E-3</v>
      </c>
      <c r="F66" s="10">
        <f t="shared" si="4"/>
        <v>1.3774124000000002E-2</v>
      </c>
      <c r="G66" s="10">
        <f t="shared" si="5"/>
        <v>4.2223396731879996E-3</v>
      </c>
      <c r="H66">
        <f t="shared" si="6"/>
        <v>-5.008000000000002E-3</v>
      </c>
      <c r="I66">
        <f t="shared" si="6"/>
        <v>1.0956645400000003E-2</v>
      </c>
    </row>
    <row r="67" spans="1:9">
      <c r="A67" s="33">
        <v>65</v>
      </c>
      <c r="B67" s="34">
        <v>1.1795E-2</v>
      </c>
      <c r="C67" s="34">
        <v>1.703E-2</v>
      </c>
      <c r="D67" s="34">
        <v>4.6959163999999998E-3</v>
      </c>
      <c r="E67" s="10">
        <f t="shared" si="7"/>
        <v>1.02826451E-2</v>
      </c>
      <c r="F67" s="10">
        <f t="shared" si="4"/>
        <v>1.4846413399999999E-2</v>
      </c>
      <c r="G67" s="10">
        <f t="shared" si="5"/>
        <v>4.0938059991919998E-3</v>
      </c>
      <c r="H67">
        <f t="shared" si="6"/>
        <v>-5.2350000000000001E-3</v>
      </c>
      <c r="I67">
        <f t="shared" si="6"/>
        <v>1.23340836E-2</v>
      </c>
    </row>
    <row r="68" spans="1:9">
      <c r="A68" s="33">
        <v>66</v>
      </c>
      <c r="B68" s="34">
        <v>1.2952E-2</v>
      </c>
      <c r="C68" s="34">
        <v>1.619E-2</v>
      </c>
      <c r="D68" s="34">
        <v>4.3337484000000003E-3</v>
      </c>
      <c r="E68" s="10">
        <f t="shared" si="7"/>
        <v>1.129129456E-2</v>
      </c>
      <c r="F68" s="10">
        <f t="shared" si="4"/>
        <v>1.4114118199999999E-2</v>
      </c>
      <c r="G68" s="10">
        <f t="shared" si="5"/>
        <v>3.7780751801520002E-3</v>
      </c>
      <c r="H68">
        <f t="shared" si="6"/>
        <v>-3.2379999999999996E-3</v>
      </c>
      <c r="I68">
        <f t="shared" si="6"/>
        <v>1.1856251599999999E-2</v>
      </c>
    </row>
    <row r="69" spans="1:9">
      <c r="A69" s="33">
        <v>67</v>
      </c>
      <c r="B69" s="34">
        <v>1.4189E-2</v>
      </c>
      <c r="C69" s="34">
        <v>1.6279999999999999E-2</v>
      </c>
      <c r="D69" s="34">
        <v>4.6921816000000003E-3</v>
      </c>
      <c r="E69" s="10">
        <f t="shared" si="7"/>
        <v>1.236968642E-2</v>
      </c>
      <c r="F69" s="10">
        <f t="shared" si="4"/>
        <v>1.4192578399999999E-2</v>
      </c>
      <c r="G69" s="10">
        <f t="shared" si="5"/>
        <v>4.0905500752480006E-3</v>
      </c>
      <c r="H69">
        <f t="shared" si="6"/>
        <v>-2.0909999999999991E-3</v>
      </c>
      <c r="I69">
        <f t="shared" si="6"/>
        <v>1.1587818399999998E-2</v>
      </c>
    </row>
    <row r="70" spans="1:9">
      <c r="A70" s="33">
        <v>68</v>
      </c>
      <c r="B70" s="34">
        <v>1.5502999999999999E-2</v>
      </c>
      <c r="C70" s="34">
        <v>1.6730000000000002E-2</v>
      </c>
      <c r="D70" s="34">
        <v>4.0427913999999997E-3</v>
      </c>
      <c r="E70" s="10">
        <f t="shared" si="7"/>
        <v>1.3515205339999999E-2</v>
      </c>
      <c r="F70" s="10">
        <f t="shared" si="4"/>
        <v>1.4584879400000002E-2</v>
      </c>
      <c r="G70" s="10">
        <f t="shared" si="5"/>
        <v>3.5244246866919997E-3</v>
      </c>
      <c r="H70">
        <f t="shared" si="6"/>
        <v>-1.2270000000000024E-3</v>
      </c>
      <c r="I70">
        <f t="shared" si="6"/>
        <v>1.2687208600000003E-2</v>
      </c>
    </row>
    <row r="71" spans="1:9">
      <c r="A71" s="33">
        <v>69</v>
      </c>
      <c r="B71" s="34">
        <v>1.6983000000000002E-2</v>
      </c>
      <c r="C71" s="34">
        <v>1.651E-2</v>
      </c>
      <c r="D71" s="34">
        <v>4.2663309999999999E-3</v>
      </c>
      <c r="E71" s="10">
        <f t="shared" si="7"/>
        <v>1.4805439740000001E-2</v>
      </c>
      <c r="F71" s="10">
        <f t="shared" si="4"/>
        <v>1.4393087800000001E-2</v>
      </c>
      <c r="G71" s="10">
        <f t="shared" si="5"/>
        <v>3.7193020391799998E-3</v>
      </c>
      <c r="H71">
        <f t="shared" si="6"/>
        <v>4.730000000000012E-4</v>
      </c>
      <c r="I71">
        <f t="shared" si="6"/>
        <v>1.2243669E-2</v>
      </c>
    </row>
    <row r="72" spans="1:9">
      <c r="A72" s="33">
        <v>70</v>
      </c>
      <c r="B72" s="34">
        <v>1.8651999999999998E-2</v>
      </c>
      <c r="C72" s="34">
        <v>1.8100000000000002E-2</v>
      </c>
      <c r="D72" s="34">
        <v>5.2401747E-3</v>
      </c>
      <c r="E72" s="10">
        <f t="shared" si="7"/>
        <v>1.6260440559999999E-2</v>
      </c>
      <c r="F72" s="10">
        <f t="shared" ref="F72:F98" si="8">E72</f>
        <v>1.6260440559999999E-2</v>
      </c>
      <c r="G72" s="10">
        <f>B72</f>
        <v>1.8651999999999998E-2</v>
      </c>
      <c r="H72">
        <f t="shared" si="6"/>
        <v>5.5199999999999694E-4</v>
      </c>
      <c r="I72">
        <f t="shared" si="6"/>
        <v>1.2859825300000002E-2</v>
      </c>
    </row>
    <row r="73" spans="1:9">
      <c r="A73" s="33">
        <v>71</v>
      </c>
      <c r="B73" s="34">
        <v>2.0562E-2</v>
      </c>
      <c r="C73" s="34">
        <v>1.7000000000000001E-2</v>
      </c>
      <c r="D73" s="34">
        <v>5.0922978999999998E-3</v>
      </c>
      <c r="E73" s="10">
        <f t="shared" si="7"/>
        <v>1.7925540359999999E-2</v>
      </c>
      <c r="F73" s="10">
        <f t="shared" si="8"/>
        <v>1.7925540359999999E-2</v>
      </c>
      <c r="G73" s="10">
        <f t="shared" ref="G73:G122" si="9">B73</f>
        <v>2.0562E-2</v>
      </c>
      <c r="H73">
        <f t="shared" si="6"/>
        <v>3.5619999999999992E-3</v>
      </c>
      <c r="I73">
        <f t="shared" si="6"/>
        <v>1.1907702100000001E-2</v>
      </c>
    </row>
    <row r="74" spans="1:9">
      <c r="A74" s="33">
        <v>72</v>
      </c>
      <c r="B74" s="34">
        <v>2.2766000000000002E-2</v>
      </c>
      <c r="C74" s="34">
        <v>1.839E-2</v>
      </c>
      <c r="D74" s="34">
        <v>4.7792208000000001E-3</v>
      </c>
      <c r="E74" s="10">
        <f t="shared" si="7"/>
        <v>1.984694348E-2</v>
      </c>
      <c r="F74" s="10">
        <f t="shared" si="8"/>
        <v>1.984694348E-2</v>
      </c>
      <c r="G74" s="10">
        <f t="shared" si="9"/>
        <v>2.2766000000000002E-2</v>
      </c>
      <c r="H74">
        <f t="shared" si="6"/>
        <v>4.3760000000000014E-3</v>
      </c>
      <c r="I74">
        <f t="shared" si="6"/>
        <v>1.3610779199999999E-2</v>
      </c>
    </row>
    <row r="75" spans="1:9">
      <c r="A75" s="33">
        <v>73</v>
      </c>
      <c r="B75" s="34">
        <v>2.5307E-2</v>
      </c>
      <c r="C75" s="34">
        <v>2.1190000000000001E-2</v>
      </c>
      <c r="D75" s="34">
        <v>4.6545811000000001E-3</v>
      </c>
      <c r="E75" s="10">
        <f t="shared" si="7"/>
        <v>2.2062136459999999E-2</v>
      </c>
      <c r="F75" s="10">
        <f t="shared" si="8"/>
        <v>2.2062136459999999E-2</v>
      </c>
      <c r="G75" s="10">
        <f t="shared" si="9"/>
        <v>2.5307E-2</v>
      </c>
      <c r="H75">
        <f t="shared" si="6"/>
        <v>4.1169999999999991E-3</v>
      </c>
      <c r="I75">
        <f t="shared" si="6"/>
        <v>1.6535418900000001E-2</v>
      </c>
    </row>
    <row r="76" spans="1:9">
      <c r="A76" s="33">
        <v>74</v>
      </c>
      <c r="B76" s="34">
        <v>2.8334000000000002E-2</v>
      </c>
      <c r="C76" s="34">
        <v>2.1299999999999999E-2</v>
      </c>
      <c r="D76" s="34">
        <v>5.6513548999999998E-3</v>
      </c>
      <c r="E76" s="10">
        <f t="shared" si="7"/>
        <v>2.4701014520000002E-2</v>
      </c>
      <c r="F76" s="10">
        <f t="shared" si="8"/>
        <v>2.4701014520000002E-2</v>
      </c>
      <c r="G76" s="10">
        <f t="shared" si="9"/>
        <v>2.8334000000000002E-2</v>
      </c>
      <c r="H76">
        <f t="shared" si="6"/>
        <v>7.0340000000000021E-3</v>
      </c>
      <c r="I76">
        <f t="shared" si="6"/>
        <v>1.5648645100000001E-2</v>
      </c>
    </row>
    <row r="77" spans="1:9">
      <c r="A77" s="33">
        <v>75</v>
      </c>
      <c r="B77" s="34">
        <v>3.1824999999999999E-2</v>
      </c>
      <c r="C77" s="34">
        <v>2.1909999999999999E-2</v>
      </c>
      <c r="D77" s="34">
        <v>4.4539462000000004E-3</v>
      </c>
      <c r="E77" s="10">
        <f t="shared" si="7"/>
        <v>2.77443985E-2</v>
      </c>
      <c r="F77" s="10">
        <f t="shared" si="8"/>
        <v>2.77443985E-2</v>
      </c>
      <c r="G77" s="10">
        <f t="shared" si="9"/>
        <v>3.1824999999999999E-2</v>
      </c>
      <c r="H77">
        <f t="shared" si="6"/>
        <v>9.9150000000000002E-3</v>
      </c>
      <c r="I77">
        <f t="shared" si="6"/>
        <v>1.7456053799999999E-2</v>
      </c>
    </row>
    <row r="78" spans="1:9">
      <c r="A78" s="33">
        <v>76</v>
      </c>
      <c r="B78" s="34">
        <v>3.5833999999999998E-2</v>
      </c>
      <c r="C78" s="34">
        <v>2.257E-2</v>
      </c>
      <c r="D78" s="34">
        <v>4.6022353999999998E-3</v>
      </c>
      <c r="E78" s="10">
        <f t="shared" si="7"/>
        <v>3.1239364519999997E-2</v>
      </c>
      <c r="F78" s="10">
        <f t="shared" si="8"/>
        <v>3.1239364519999997E-2</v>
      </c>
      <c r="G78" s="10">
        <f t="shared" si="9"/>
        <v>3.5833999999999998E-2</v>
      </c>
      <c r="H78">
        <f t="shared" si="6"/>
        <v>1.3263999999999998E-2</v>
      </c>
      <c r="I78">
        <f t="shared" si="6"/>
        <v>1.7967764599999998E-2</v>
      </c>
    </row>
    <row r="79" spans="1:9">
      <c r="A79" s="33">
        <v>77</v>
      </c>
      <c r="B79" s="34">
        <v>4.0465000000000001E-2</v>
      </c>
      <c r="C79" s="34">
        <v>2.7999999999999997E-2</v>
      </c>
      <c r="D79" s="34">
        <v>4.6674446E-3</v>
      </c>
      <c r="E79" s="10">
        <f t="shared" si="7"/>
        <v>3.5276577699999999E-2</v>
      </c>
      <c r="F79" s="10">
        <f t="shared" si="8"/>
        <v>3.5276577699999999E-2</v>
      </c>
      <c r="G79" s="10">
        <f t="shared" si="9"/>
        <v>4.0465000000000001E-2</v>
      </c>
      <c r="H79">
        <f t="shared" si="6"/>
        <v>1.2465000000000004E-2</v>
      </c>
      <c r="I79">
        <f t="shared" si="6"/>
        <v>2.3332555399999996E-2</v>
      </c>
    </row>
    <row r="80" spans="1:9">
      <c r="A80" s="33">
        <v>78</v>
      </c>
      <c r="B80" s="34">
        <v>4.5643000000000003E-2</v>
      </c>
      <c r="C80" s="34">
        <v>3.4140000000000004E-2</v>
      </c>
      <c r="D80" s="34">
        <v>7.8492935999999996E-3</v>
      </c>
      <c r="E80" s="10">
        <f t="shared" si="7"/>
        <v>3.9790654540000005E-2</v>
      </c>
      <c r="F80" s="10">
        <f t="shared" si="8"/>
        <v>3.9790654540000005E-2</v>
      </c>
      <c r="G80" s="10">
        <f t="shared" si="9"/>
        <v>4.5643000000000003E-2</v>
      </c>
      <c r="H80">
        <f t="shared" si="6"/>
        <v>1.1502999999999999E-2</v>
      </c>
      <c r="I80">
        <f t="shared" si="6"/>
        <v>2.6290706400000002E-2</v>
      </c>
    </row>
    <row r="81" spans="1:9">
      <c r="A81" s="33">
        <v>79</v>
      </c>
      <c r="B81" s="34">
        <v>5.1406E-2</v>
      </c>
      <c r="C81" s="34">
        <v>3.1969999999999998E-2</v>
      </c>
      <c r="D81" s="34">
        <v>6.1118947000000003E-3</v>
      </c>
      <c r="E81" s="10">
        <f t="shared" si="7"/>
        <v>4.4814722680000002E-2</v>
      </c>
      <c r="F81" s="10">
        <f t="shared" si="8"/>
        <v>4.4814722680000002E-2</v>
      </c>
      <c r="G81" s="10">
        <f t="shared" si="9"/>
        <v>5.1406E-2</v>
      </c>
      <c r="H81">
        <f t="shared" si="6"/>
        <v>1.9436000000000002E-2</v>
      </c>
      <c r="I81">
        <f t="shared" si="6"/>
        <v>2.5858105299999996E-2</v>
      </c>
    </row>
    <row r="82" spans="1:9">
      <c r="A82" s="33">
        <v>80</v>
      </c>
      <c r="B82" s="34">
        <v>5.7695999999999997E-2</v>
      </c>
      <c r="C82" s="34">
        <v>3.6920000000000001E-2</v>
      </c>
      <c r="D82" s="34">
        <v>5.9717698000000003E-3</v>
      </c>
      <c r="E82" s="10">
        <f t="shared" si="7"/>
        <v>5.0298218879999995E-2</v>
      </c>
      <c r="F82" s="10">
        <f t="shared" si="8"/>
        <v>5.0298218879999995E-2</v>
      </c>
      <c r="G82" s="10">
        <f t="shared" si="9"/>
        <v>5.7695999999999997E-2</v>
      </c>
      <c r="H82">
        <f t="shared" si="6"/>
        <v>2.0775999999999996E-2</v>
      </c>
      <c r="I82">
        <f t="shared" si="6"/>
        <v>3.0948230200000003E-2</v>
      </c>
    </row>
    <row r="83" spans="1:9">
      <c r="A83" s="33">
        <v>81</v>
      </c>
      <c r="B83" s="34">
        <v>6.4610000000000001E-2</v>
      </c>
      <c r="C83" s="34">
        <v>2.596E-2</v>
      </c>
      <c r="D83" s="34">
        <v>7.7192982000000004E-3</v>
      </c>
      <c r="E83" s="10">
        <f t="shared" si="7"/>
        <v>5.63257058E-2</v>
      </c>
      <c r="F83" s="10">
        <f t="shared" si="8"/>
        <v>5.63257058E-2</v>
      </c>
      <c r="G83" s="10">
        <f t="shared" si="9"/>
        <v>6.4610000000000001E-2</v>
      </c>
      <c r="H83">
        <f t="shared" si="6"/>
        <v>3.8650000000000004E-2</v>
      </c>
      <c r="I83">
        <f t="shared" si="6"/>
        <v>1.8240701800000002E-2</v>
      </c>
    </row>
    <row r="84" spans="1:9">
      <c r="A84" s="33">
        <v>82</v>
      </c>
      <c r="B84" s="34">
        <v>7.2387999999999994E-2</v>
      </c>
      <c r="C84" s="34">
        <v>3.3360000000000001E-2</v>
      </c>
      <c r="D84" s="34">
        <v>8.1154192999999993E-3</v>
      </c>
      <c r="E84" s="10">
        <f t="shared" si="7"/>
        <v>6.3106410639999999E-2</v>
      </c>
      <c r="F84" s="10">
        <f t="shared" si="8"/>
        <v>6.3106410639999999E-2</v>
      </c>
      <c r="G84" s="10">
        <f t="shared" si="9"/>
        <v>7.2387999999999994E-2</v>
      </c>
      <c r="H84">
        <f t="shared" si="6"/>
        <v>3.9027999999999993E-2</v>
      </c>
      <c r="I84">
        <f t="shared" si="6"/>
        <v>2.5244580700000002E-2</v>
      </c>
    </row>
    <row r="85" spans="1:9">
      <c r="A85" s="33">
        <v>83</v>
      </c>
      <c r="B85" s="34">
        <v>8.1129000000000007E-2</v>
      </c>
      <c r="C85" s="34">
        <v>2.1920000000000002E-2</v>
      </c>
      <c r="D85" s="34">
        <v>1.2180267999999999E-3</v>
      </c>
      <c r="E85" s="10">
        <f t="shared" si="7"/>
        <v>7.0726639620000004E-2</v>
      </c>
      <c r="F85" s="10">
        <f t="shared" si="8"/>
        <v>7.0726639620000004E-2</v>
      </c>
      <c r="G85" s="10">
        <f t="shared" si="9"/>
        <v>8.1129000000000007E-2</v>
      </c>
      <c r="H85">
        <f t="shared" si="6"/>
        <v>5.9209000000000005E-2</v>
      </c>
      <c r="I85">
        <f t="shared" si="6"/>
        <v>2.0701973200000001E-2</v>
      </c>
    </row>
    <row r="86" spans="1:9">
      <c r="A86" s="33">
        <v>84</v>
      </c>
      <c r="B86" s="34">
        <v>9.0986999999999998E-2</v>
      </c>
      <c r="C86" s="34">
        <v>2.2620000000000001E-2</v>
      </c>
      <c r="D86" s="34">
        <v>6.0331825000000004E-3</v>
      </c>
      <c r="E86" s="10">
        <f t="shared" si="7"/>
        <v>7.9320646859999996E-2</v>
      </c>
      <c r="F86" s="10">
        <f t="shared" si="8"/>
        <v>7.9320646859999996E-2</v>
      </c>
      <c r="G86" s="10">
        <f t="shared" si="9"/>
        <v>9.0986999999999998E-2</v>
      </c>
      <c r="H86">
        <f t="shared" si="6"/>
        <v>6.8366999999999997E-2</v>
      </c>
      <c r="I86">
        <f t="shared" si="6"/>
        <v>1.65868175E-2</v>
      </c>
    </row>
    <row r="87" spans="1:9">
      <c r="A87" s="33">
        <v>85</v>
      </c>
      <c r="B87" s="34">
        <v>0.101636</v>
      </c>
      <c r="C87" s="34">
        <v>2.5760000000000002E-2</v>
      </c>
      <c r="D87" s="34">
        <v>4.6838406999999997E-3</v>
      </c>
      <c r="E87" s="10">
        <f t="shared" si="7"/>
        <v>8.8604232079999998E-2</v>
      </c>
      <c r="F87" s="10">
        <f t="shared" si="8"/>
        <v>8.8604232079999998E-2</v>
      </c>
      <c r="G87" s="10">
        <f t="shared" si="9"/>
        <v>0.101636</v>
      </c>
      <c r="H87">
        <f t="shared" si="6"/>
        <v>7.5875999999999999E-2</v>
      </c>
      <c r="I87">
        <f t="shared" si="6"/>
        <v>2.1076159300000001E-2</v>
      </c>
    </row>
    <row r="88" spans="1:9">
      <c r="A88" s="33">
        <v>86</v>
      </c>
      <c r="B88" s="34">
        <v>0.112763</v>
      </c>
      <c r="C88" s="34">
        <v>1.6670000000000001E-2</v>
      </c>
      <c r="D88" s="34">
        <v>1.2500000000000001E-2</v>
      </c>
      <c r="E88" s="10">
        <f t="shared" si="7"/>
        <v>9.830452814E-2</v>
      </c>
      <c r="F88" s="10">
        <f t="shared" si="8"/>
        <v>9.830452814E-2</v>
      </c>
      <c r="G88" s="10">
        <f t="shared" si="9"/>
        <v>0.112763</v>
      </c>
      <c r="H88">
        <f t="shared" si="6"/>
        <v>9.6092999999999998E-2</v>
      </c>
      <c r="I88">
        <f t="shared" si="6"/>
        <v>4.1700000000000001E-3</v>
      </c>
    </row>
    <row r="89" spans="1:9">
      <c r="A89" s="33">
        <v>87</v>
      </c>
      <c r="B89" s="34">
        <v>0.12490999999999999</v>
      </c>
      <c r="C89" s="34">
        <v>1.01E-2</v>
      </c>
      <c r="D89" s="34"/>
      <c r="E89" s="10">
        <f t="shared" si="7"/>
        <v>0.10889403979999999</v>
      </c>
      <c r="F89" s="10">
        <f t="shared" si="8"/>
        <v>0.10889403979999999</v>
      </c>
      <c r="G89" s="10">
        <f t="shared" si="9"/>
        <v>0.12490999999999999</v>
      </c>
      <c r="H89">
        <f t="shared" si="6"/>
        <v>0.11481</v>
      </c>
      <c r="I89">
        <f t="shared" si="6"/>
        <v>1.01E-2</v>
      </c>
    </row>
    <row r="90" spans="1:9">
      <c r="A90" s="33">
        <v>88</v>
      </c>
      <c r="B90" s="34">
        <v>0.13803099999999999</v>
      </c>
      <c r="C90" s="34"/>
      <c r="D90" s="34"/>
      <c r="E90" s="10">
        <f t="shared" si="7"/>
        <v>0.12033266517999999</v>
      </c>
      <c r="F90" s="10">
        <f t="shared" si="8"/>
        <v>0.12033266517999999</v>
      </c>
      <c r="G90" s="10">
        <f t="shared" si="9"/>
        <v>0.13803099999999999</v>
      </c>
      <c r="H90" s="35">
        <f>AVERAGE(H28:H89)</f>
        <v>8.2392096774193541E-3</v>
      </c>
      <c r="I90" s="35">
        <f>AVERAGE(I28:I89)</f>
        <v>7.9449412096774183E-3</v>
      </c>
    </row>
    <row r="91" spans="1:9">
      <c r="A91" s="33">
        <v>89</v>
      </c>
      <c r="B91" s="34">
        <v>0.15248900000000001</v>
      </c>
      <c r="C91" s="34"/>
      <c r="D91" s="34"/>
      <c r="E91" s="10">
        <f t="shared" si="7"/>
        <v>0.13293686042000002</v>
      </c>
      <c r="F91" s="10">
        <f t="shared" si="8"/>
        <v>0.13293686042000002</v>
      </c>
      <c r="G91" s="10">
        <f t="shared" si="9"/>
        <v>0.15248900000000001</v>
      </c>
    </row>
    <row r="92" spans="1:9">
      <c r="A92" s="33">
        <v>90</v>
      </c>
      <c r="B92" s="34">
        <v>0.16847799999999999</v>
      </c>
      <c r="C92" s="34"/>
      <c r="D92" s="34"/>
      <c r="E92" s="10">
        <f t="shared" ref="E92:E122" si="10">B92*(1-$B$1)</f>
        <v>0.14687575083999999</v>
      </c>
      <c r="F92" s="10">
        <f t="shared" si="8"/>
        <v>0.14687575083999999</v>
      </c>
      <c r="G92" s="10">
        <f t="shared" si="9"/>
        <v>0.16847799999999999</v>
      </c>
    </row>
    <row r="93" spans="1:9">
      <c r="A93" s="33">
        <v>91</v>
      </c>
      <c r="B93" s="34">
        <v>0.18435799999999999</v>
      </c>
      <c r="C93" s="34"/>
      <c r="D93" s="34"/>
      <c r="E93" s="10">
        <f t="shared" si="10"/>
        <v>0.16071961724</v>
      </c>
      <c r="F93" s="10">
        <f t="shared" si="8"/>
        <v>0.16071961724</v>
      </c>
      <c r="G93" s="10">
        <f t="shared" si="9"/>
        <v>0.18435799999999999</v>
      </c>
    </row>
    <row r="94" spans="1:9">
      <c r="A94" s="33">
        <v>92</v>
      </c>
      <c r="B94" s="34">
        <v>0.20150799999999999</v>
      </c>
      <c r="C94" s="34"/>
      <c r="D94" s="34"/>
      <c r="E94" s="10">
        <f t="shared" si="10"/>
        <v>0.17567064424000001</v>
      </c>
      <c r="F94" s="10">
        <f t="shared" si="8"/>
        <v>0.17567064424000001</v>
      </c>
      <c r="G94" s="10">
        <f t="shared" si="9"/>
        <v>0.20150799999999999</v>
      </c>
    </row>
    <row r="95" spans="1:9">
      <c r="A95" s="33">
        <v>93</v>
      </c>
      <c r="B95" s="34">
        <v>0.21947800000000001</v>
      </c>
      <c r="C95" s="34"/>
      <c r="D95" s="34"/>
      <c r="E95" s="10">
        <f t="shared" si="10"/>
        <v>0.19133653084000002</v>
      </c>
      <c r="F95" s="10">
        <f t="shared" si="8"/>
        <v>0.19133653084000002</v>
      </c>
      <c r="G95" s="10">
        <f t="shared" si="9"/>
        <v>0.21947800000000001</v>
      </c>
    </row>
    <row r="96" spans="1:9">
      <c r="A96" s="33">
        <v>94</v>
      </c>
      <c r="B96" s="34">
        <v>0.23804500000000001</v>
      </c>
      <c r="C96" s="34"/>
      <c r="D96" s="34"/>
      <c r="E96" s="10">
        <f t="shared" si="10"/>
        <v>0.20752287010000001</v>
      </c>
      <c r="F96" s="10">
        <f t="shared" si="8"/>
        <v>0.20752287010000001</v>
      </c>
      <c r="G96" s="10">
        <f t="shared" si="9"/>
        <v>0.23804500000000001</v>
      </c>
    </row>
    <row r="97" spans="1:7">
      <c r="A97" s="33">
        <v>95</v>
      </c>
      <c r="B97" s="34">
        <v>0.257967</v>
      </c>
      <c r="C97" s="34"/>
      <c r="D97" s="34"/>
      <c r="E97" s="10">
        <f t="shared" si="10"/>
        <v>0.22489047126</v>
      </c>
      <c r="F97" s="10">
        <f t="shared" si="8"/>
        <v>0.22489047126</v>
      </c>
      <c r="G97" s="10">
        <f t="shared" si="9"/>
        <v>0.257967</v>
      </c>
    </row>
    <row r="98" spans="1:7">
      <c r="A98" s="33">
        <v>96</v>
      </c>
      <c r="B98" s="34">
        <v>0.27845500000000001</v>
      </c>
      <c r="C98" s="34"/>
      <c r="D98" s="34"/>
      <c r="E98" s="10">
        <f t="shared" si="10"/>
        <v>0.2427514999</v>
      </c>
      <c r="F98" s="10">
        <f t="shared" si="8"/>
        <v>0.2427514999</v>
      </c>
      <c r="G98" s="10">
        <f t="shared" si="9"/>
        <v>0.27845500000000001</v>
      </c>
    </row>
    <row r="99" spans="1:7">
      <c r="A99" s="33">
        <v>97</v>
      </c>
      <c r="B99" s="34">
        <v>0.30015500000000001</v>
      </c>
      <c r="C99" s="34"/>
      <c r="D99" s="34"/>
      <c r="E99" s="10">
        <f t="shared" si="10"/>
        <v>0.26166912590000002</v>
      </c>
      <c r="F99" s="10">
        <f t="shared" ref="F99:F122" si="11">E99</f>
        <v>0.26166912590000002</v>
      </c>
      <c r="G99" s="10">
        <f t="shared" si="9"/>
        <v>0.30015500000000001</v>
      </c>
    </row>
    <row r="100" spans="1:7">
      <c r="A100" s="33">
        <v>98</v>
      </c>
      <c r="B100" s="34">
        <v>0.323127</v>
      </c>
      <c r="C100" s="34"/>
      <c r="D100" s="34"/>
      <c r="E100" s="10">
        <f t="shared" si="10"/>
        <v>0.28169565606000002</v>
      </c>
      <c r="F100" s="10">
        <f t="shared" si="11"/>
        <v>0.28169565606000002</v>
      </c>
      <c r="G100" s="10">
        <f t="shared" si="9"/>
        <v>0.323127</v>
      </c>
    </row>
    <row r="101" spans="1:7">
      <c r="A101" s="33">
        <v>99</v>
      </c>
      <c r="B101" s="34">
        <v>0.34652300000000003</v>
      </c>
      <c r="C101" s="34"/>
      <c r="D101" s="34"/>
      <c r="E101" s="10">
        <f t="shared" si="10"/>
        <v>0.30209182094000003</v>
      </c>
      <c r="F101" s="10">
        <f t="shared" si="11"/>
        <v>0.30209182094000003</v>
      </c>
      <c r="G101" s="10">
        <f t="shared" si="9"/>
        <v>0.34652300000000003</v>
      </c>
    </row>
    <row r="102" spans="1:7">
      <c r="A102" s="33">
        <v>100</v>
      </c>
      <c r="B102" s="34">
        <v>0.370973</v>
      </c>
      <c r="C102" s="34"/>
      <c r="D102" s="34"/>
      <c r="E102" s="10">
        <f t="shared" si="10"/>
        <v>0.32340684194000002</v>
      </c>
      <c r="F102" s="10">
        <f t="shared" si="11"/>
        <v>0.32340684194000002</v>
      </c>
      <c r="G102" s="10">
        <f t="shared" si="9"/>
        <v>0.370973</v>
      </c>
    </row>
    <row r="103" spans="1:7">
      <c r="A103" s="33">
        <v>101</v>
      </c>
      <c r="B103" s="34">
        <v>0.395588</v>
      </c>
      <c r="C103" s="34"/>
      <c r="D103" s="34"/>
      <c r="E103" s="10">
        <f t="shared" si="10"/>
        <v>0.34486570663999999</v>
      </c>
      <c r="F103" s="10">
        <f t="shared" si="11"/>
        <v>0.34486570663999999</v>
      </c>
      <c r="G103" s="10">
        <f t="shared" si="9"/>
        <v>0.395588</v>
      </c>
    </row>
    <row r="104" spans="1:7">
      <c r="A104" s="33">
        <v>102</v>
      </c>
      <c r="B104" s="34">
        <v>0.41980000000000001</v>
      </c>
      <c r="C104" s="34"/>
      <c r="D104" s="34"/>
      <c r="E104" s="10">
        <f t="shared" si="10"/>
        <v>0.36597324400000003</v>
      </c>
      <c r="F104" s="10">
        <f t="shared" si="11"/>
        <v>0.36597324400000003</v>
      </c>
      <c r="G104" s="10">
        <f t="shared" si="9"/>
        <v>0.41980000000000001</v>
      </c>
    </row>
    <row r="105" spans="1:7">
      <c r="A105" s="33">
        <v>103</v>
      </c>
      <c r="B105" s="34">
        <v>0.44459100000000001</v>
      </c>
      <c r="C105" s="34"/>
      <c r="D105" s="34"/>
      <c r="E105" s="10">
        <f t="shared" si="10"/>
        <v>0.38758554198</v>
      </c>
      <c r="F105" s="10">
        <f t="shared" si="11"/>
        <v>0.38758554198</v>
      </c>
      <c r="G105" s="10">
        <f t="shared" si="9"/>
        <v>0.44459100000000001</v>
      </c>
    </row>
    <row r="106" spans="1:7">
      <c r="A106" s="33">
        <v>104</v>
      </c>
      <c r="B106" s="34">
        <v>0.46981600000000001</v>
      </c>
      <c r="C106" s="34"/>
      <c r="D106" s="34"/>
      <c r="E106" s="10">
        <f t="shared" si="10"/>
        <v>0.40957619247999999</v>
      </c>
      <c r="F106" s="10">
        <f t="shared" si="11"/>
        <v>0.40957619247999999</v>
      </c>
      <c r="G106" s="10">
        <f t="shared" si="9"/>
        <v>0.46981600000000001</v>
      </c>
    </row>
    <row r="107" spans="1:7">
      <c r="A107" s="33">
        <v>105</v>
      </c>
      <c r="B107" s="34">
        <v>0.49531199999999997</v>
      </c>
      <c r="C107" s="34"/>
      <c r="D107" s="34"/>
      <c r="E107" s="10">
        <f t="shared" si="10"/>
        <v>0.43180309536</v>
      </c>
      <c r="F107" s="10">
        <f t="shared" si="11"/>
        <v>0.43180309536</v>
      </c>
      <c r="G107" s="10">
        <f t="shared" si="9"/>
        <v>0.49531199999999997</v>
      </c>
    </row>
    <row r="108" spans="1:7">
      <c r="A108" s="33">
        <v>106</v>
      </c>
      <c r="B108" s="34">
        <v>0.52091799999999999</v>
      </c>
      <c r="C108" s="34"/>
      <c r="D108" s="34"/>
      <c r="E108" s="10">
        <f t="shared" si="10"/>
        <v>0.45412589403999998</v>
      </c>
      <c r="F108" s="10">
        <f t="shared" si="11"/>
        <v>0.45412589403999998</v>
      </c>
      <c r="G108" s="10">
        <f t="shared" si="9"/>
        <v>0.52091799999999999</v>
      </c>
    </row>
    <row r="109" spans="1:7">
      <c r="A109" s="33">
        <v>107</v>
      </c>
      <c r="B109" s="34">
        <v>0.54666000000000003</v>
      </c>
      <c r="C109" s="34"/>
      <c r="D109" s="34"/>
      <c r="E109" s="10">
        <f t="shared" si="10"/>
        <v>0.47656725480000001</v>
      </c>
      <c r="F109" s="10">
        <f t="shared" si="11"/>
        <v>0.47656725480000001</v>
      </c>
      <c r="G109" s="10">
        <f t="shared" si="9"/>
        <v>0.54666000000000003</v>
      </c>
    </row>
    <row r="110" spans="1:7">
      <c r="A110" s="33">
        <v>108</v>
      </c>
      <c r="B110" s="34">
        <v>0.57258500000000001</v>
      </c>
      <c r="C110" s="34"/>
      <c r="D110" s="34"/>
      <c r="E110" s="10">
        <f t="shared" si="10"/>
        <v>0.49916815130000003</v>
      </c>
      <c r="F110" s="10">
        <f t="shared" si="11"/>
        <v>0.49916815130000003</v>
      </c>
      <c r="G110" s="10">
        <f t="shared" si="9"/>
        <v>0.57258500000000001</v>
      </c>
    </row>
    <row r="111" spans="1:7">
      <c r="A111" s="33">
        <v>109</v>
      </c>
      <c r="B111" s="34">
        <v>0.59854600000000002</v>
      </c>
      <c r="C111" s="34"/>
      <c r="D111" s="34"/>
      <c r="E111" s="10">
        <f t="shared" si="10"/>
        <v>0.52180043188000003</v>
      </c>
      <c r="F111" s="10">
        <f t="shared" si="11"/>
        <v>0.52180043188000003</v>
      </c>
      <c r="G111" s="10">
        <f t="shared" si="9"/>
        <v>0.59854600000000002</v>
      </c>
    </row>
    <row r="112" spans="1:7">
      <c r="A112" s="33">
        <v>110</v>
      </c>
      <c r="B112" s="34">
        <v>0.62439199999999995</v>
      </c>
      <c r="C112" s="34"/>
      <c r="D112" s="34"/>
      <c r="E112" s="10">
        <f t="shared" si="10"/>
        <v>0.54433245775999994</v>
      </c>
      <c r="F112" s="10">
        <f t="shared" si="11"/>
        <v>0.54433245775999994</v>
      </c>
      <c r="G112" s="10">
        <f t="shared" si="9"/>
        <v>0.62439199999999995</v>
      </c>
    </row>
    <row r="113" spans="1:7">
      <c r="A113" s="33">
        <v>111</v>
      </c>
      <c r="B113" s="34">
        <v>0.65439899999999995</v>
      </c>
      <c r="C113" s="34"/>
      <c r="D113" s="34"/>
      <c r="E113" s="10">
        <f t="shared" si="10"/>
        <v>0.57049196021999993</v>
      </c>
      <c r="F113" s="10">
        <f t="shared" si="11"/>
        <v>0.57049196021999993</v>
      </c>
      <c r="G113" s="10">
        <f t="shared" si="9"/>
        <v>0.65439899999999995</v>
      </c>
    </row>
    <row r="114" spans="1:7">
      <c r="A114" s="33">
        <v>112</v>
      </c>
      <c r="B114" s="34">
        <v>0.68424300000000005</v>
      </c>
      <c r="C114" s="34"/>
      <c r="D114" s="34"/>
      <c r="E114" s="10">
        <f t="shared" si="10"/>
        <v>0.59650936254000009</v>
      </c>
      <c r="F114" s="10">
        <f t="shared" si="11"/>
        <v>0.59650936254000009</v>
      </c>
      <c r="G114" s="10">
        <f t="shared" si="9"/>
        <v>0.68424300000000005</v>
      </c>
    </row>
    <row r="115" spans="1:7">
      <c r="A115" s="33">
        <v>113</v>
      </c>
      <c r="B115" s="34">
        <v>0.71388700000000005</v>
      </c>
      <c r="C115" s="34"/>
      <c r="D115" s="34"/>
      <c r="E115" s="10">
        <f t="shared" si="10"/>
        <v>0.62235240886000009</v>
      </c>
      <c r="F115" s="10">
        <f t="shared" si="11"/>
        <v>0.62235240886000009</v>
      </c>
      <c r="G115" s="10">
        <f t="shared" si="9"/>
        <v>0.71388700000000005</v>
      </c>
    </row>
    <row r="116" spans="1:7">
      <c r="A116" s="33">
        <v>114</v>
      </c>
      <c r="B116" s="34">
        <v>0.74329400000000001</v>
      </c>
      <c r="C116" s="34"/>
      <c r="D116" s="34"/>
      <c r="E116" s="10">
        <f t="shared" si="10"/>
        <v>0.64798884332000006</v>
      </c>
      <c r="F116" s="10">
        <f t="shared" si="11"/>
        <v>0.64798884332000006</v>
      </c>
      <c r="G116" s="10">
        <f t="shared" si="9"/>
        <v>0.74329400000000001</v>
      </c>
    </row>
    <row r="117" spans="1:7">
      <c r="A117" s="33">
        <v>115</v>
      </c>
      <c r="B117" s="34">
        <v>0.772428</v>
      </c>
      <c r="C117" s="34"/>
      <c r="D117" s="34"/>
      <c r="E117" s="10">
        <f t="shared" si="10"/>
        <v>0.67338728183999996</v>
      </c>
      <c r="F117" s="10">
        <f t="shared" si="11"/>
        <v>0.67338728183999996</v>
      </c>
      <c r="G117" s="10">
        <f t="shared" si="9"/>
        <v>0.772428</v>
      </c>
    </row>
    <row r="118" spans="1:7">
      <c r="A118" s="33">
        <v>116</v>
      </c>
      <c r="B118" s="34">
        <v>0.80141399999999996</v>
      </c>
      <c r="C118" s="34"/>
      <c r="D118" s="34"/>
      <c r="E118" s="10">
        <f t="shared" si="10"/>
        <v>0.69865669691999999</v>
      </c>
      <c r="F118" s="10">
        <f t="shared" si="11"/>
        <v>0.69865669691999999</v>
      </c>
      <c r="G118" s="10">
        <f t="shared" si="9"/>
        <v>0.80141399999999996</v>
      </c>
    </row>
    <row r="119" spans="1:7">
      <c r="A119" s="33">
        <v>117</v>
      </c>
      <c r="B119" s="34">
        <v>0.830399</v>
      </c>
      <c r="C119" s="34"/>
      <c r="D119" s="34"/>
      <c r="E119" s="10">
        <f t="shared" si="10"/>
        <v>0.72392524022000004</v>
      </c>
      <c r="F119" s="10">
        <f t="shared" si="11"/>
        <v>0.72392524022000004</v>
      </c>
      <c r="G119" s="10">
        <f t="shared" si="9"/>
        <v>0.830399</v>
      </c>
    </row>
    <row r="120" spans="1:7">
      <c r="A120" s="33">
        <v>118</v>
      </c>
      <c r="B120" s="34">
        <v>0.85938499999999995</v>
      </c>
      <c r="C120" s="34"/>
      <c r="D120" s="34"/>
      <c r="E120" s="10">
        <f t="shared" si="10"/>
        <v>0.74919465529999996</v>
      </c>
      <c r="F120" s="10">
        <f t="shared" si="11"/>
        <v>0.74919465529999996</v>
      </c>
      <c r="G120" s="10">
        <f t="shared" si="9"/>
        <v>0.85938499999999995</v>
      </c>
    </row>
    <row r="121" spans="1:7">
      <c r="A121" s="33">
        <v>119</v>
      </c>
      <c r="B121" s="34">
        <v>0.88837100000000002</v>
      </c>
      <c r="C121" s="34"/>
      <c r="D121" s="34"/>
      <c r="E121" s="10">
        <f t="shared" si="10"/>
        <v>0.77446407037999998</v>
      </c>
      <c r="F121" s="10">
        <f t="shared" si="11"/>
        <v>0.77446407037999998</v>
      </c>
      <c r="G121" s="10">
        <f t="shared" si="9"/>
        <v>0.88837100000000002</v>
      </c>
    </row>
    <row r="122" spans="1:7">
      <c r="A122" s="33">
        <v>120</v>
      </c>
      <c r="B122" s="34">
        <v>1</v>
      </c>
      <c r="C122" s="34"/>
      <c r="D122" s="34"/>
      <c r="E122" s="10">
        <f t="shared" si="10"/>
        <v>0.87178</v>
      </c>
      <c r="F122" s="10">
        <f t="shared" si="11"/>
        <v>0.87178</v>
      </c>
      <c r="G122" s="10">
        <f t="shared" si="9"/>
        <v>1</v>
      </c>
    </row>
    <row r="183" spans="2:2">
      <c r="B183">
        <v>1.8651999999999998E-2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74E4D4-E41F-420D-8C0E-6F5CCD931D7F}">
  <sheetPr codeName="Sheet4"/>
  <dimension ref="A1:O22"/>
  <sheetViews>
    <sheetView topLeftCell="A9" workbookViewId="0">
      <selection activeCell="A9" sqref="A9:G9"/>
    </sheetView>
  </sheetViews>
  <sheetFormatPr defaultColWidth="8.85546875" defaultRowHeight="15"/>
  <cols>
    <col min="1" max="1" width="17.42578125" customWidth="1"/>
    <col min="2" max="2" width="11" bestFit="1" customWidth="1"/>
    <col min="3" max="3" width="11.140625" bestFit="1" customWidth="1"/>
    <col min="4" max="4" width="13.85546875" customWidth="1"/>
    <col min="5" max="5" width="14.140625" bestFit="1" customWidth="1"/>
    <col min="6" max="6" width="17.42578125" bestFit="1" customWidth="1"/>
    <col min="7" max="7" width="17.42578125" customWidth="1"/>
    <col min="8" max="8" width="17.42578125" bestFit="1" customWidth="1"/>
    <col min="9" max="9" width="13.85546875" bestFit="1" customWidth="1"/>
    <col min="10" max="10" width="12.42578125" bestFit="1" customWidth="1"/>
    <col min="11" max="12" width="14.140625" bestFit="1" customWidth="1"/>
    <col min="15" max="15" width="14.140625" bestFit="1" customWidth="1"/>
  </cols>
  <sheetData>
    <row r="1" spans="1:15" ht="15.75" customHeight="1">
      <c r="A1" s="55" t="s">
        <v>12</v>
      </c>
      <c r="B1" s="56" t="s">
        <v>13</v>
      </c>
      <c r="C1" s="56" t="s">
        <v>14</v>
      </c>
      <c r="D1" s="56" t="s">
        <v>15</v>
      </c>
      <c r="E1" s="56" t="s">
        <v>16</v>
      </c>
      <c r="F1" s="56" t="s">
        <v>17</v>
      </c>
      <c r="G1" s="56" t="s">
        <v>18</v>
      </c>
      <c r="I1" s="25"/>
      <c r="J1" s="25" t="s">
        <v>19</v>
      </c>
      <c r="K1" s="25" t="s">
        <v>20</v>
      </c>
      <c r="L1" s="28" t="s">
        <v>21</v>
      </c>
    </row>
    <row r="2" spans="1:15">
      <c r="A2" s="52" t="s">
        <v>22</v>
      </c>
      <c r="B2" s="52">
        <v>12175</v>
      </c>
      <c r="C2" s="53">
        <v>0.30149999999999999</v>
      </c>
      <c r="D2" s="52">
        <v>431436</v>
      </c>
      <c r="E2" s="53">
        <f>B2/D2</f>
        <v>2.8219712773157549E-2</v>
      </c>
      <c r="F2" s="54">
        <f>E2/E3</f>
        <v>0.54750905872068578</v>
      </c>
      <c r="G2" s="53">
        <f>$F$15*TANH(F2-1)</f>
        <v>-1.2718332247409741E-2</v>
      </c>
      <c r="I2" s="9" t="s">
        <v>23</v>
      </c>
      <c r="J2" s="9" t="s">
        <v>22</v>
      </c>
      <c r="K2" s="26">
        <f>INDEX($G:$G,MATCH(J2,$A:$A,0))</f>
        <v>-1.2718332247409741E-2</v>
      </c>
      <c r="L2" s="27">
        <f>(1+K2)*(1+K3)*(1+K4)</f>
        <v>0.97037749846470089</v>
      </c>
    </row>
    <row r="3" spans="1:15">
      <c r="A3" s="52" t="s">
        <v>24</v>
      </c>
      <c r="B3" s="52">
        <v>28201</v>
      </c>
      <c r="C3" s="53">
        <v>0.6984999999999999</v>
      </c>
      <c r="D3" s="52">
        <v>547146</v>
      </c>
      <c r="E3" s="53">
        <f>B3/D3</f>
        <v>5.1542001586413866E-2</v>
      </c>
      <c r="F3" s="54">
        <f>E3/E3</f>
        <v>1</v>
      </c>
      <c r="G3" s="53">
        <f>$F$15*TANH(F3-1)</f>
        <v>0</v>
      </c>
      <c r="I3" s="9" t="s">
        <v>25</v>
      </c>
      <c r="J3" s="9" t="s">
        <v>26</v>
      </c>
      <c r="K3" s="26">
        <f>INDEX($G:$G,MATCH(J3,$A:$A,0))</f>
        <v>0</v>
      </c>
    </row>
    <row r="4" spans="1:15">
      <c r="E4" s="23"/>
      <c r="F4" s="24"/>
      <c r="G4" s="23"/>
      <c r="I4" s="9" t="s">
        <v>27</v>
      </c>
      <c r="J4" s="9" t="s">
        <v>28</v>
      </c>
      <c r="K4" s="26">
        <f>INDEX($G:$G,MATCH(J4,$A:$A,0))</f>
        <v>-1.7121931704018586E-2</v>
      </c>
    </row>
    <row r="5" spans="1:15" ht="16.5" customHeight="1">
      <c r="A5" s="55" t="s">
        <v>29</v>
      </c>
      <c r="B5" s="56" t="s">
        <v>13</v>
      </c>
      <c r="C5" s="56" t="s">
        <v>14</v>
      </c>
      <c r="D5" s="56" t="s">
        <v>15</v>
      </c>
      <c r="E5" s="56" t="s">
        <v>16</v>
      </c>
      <c r="F5" s="56" t="s">
        <v>17</v>
      </c>
      <c r="G5" s="56" t="s">
        <v>18</v>
      </c>
    </row>
    <row r="6" spans="1:15">
      <c r="A6" s="52" t="s">
        <v>26</v>
      </c>
      <c r="B6" s="52">
        <v>26070</v>
      </c>
      <c r="C6" s="53">
        <v>0.64569999999999994</v>
      </c>
      <c r="D6" s="52">
        <v>916842</v>
      </c>
      <c r="E6" s="53">
        <f>B6/D6</f>
        <v>2.8434561243922071E-2</v>
      </c>
      <c r="F6" s="54">
        <f>E6/E6</f>
        <v>1</v>
      </c>
      <c r="G6" s="53">
        <f>$F$15*TANH(F6-1)</f>
        <v>0</v>
      </c>
      <c r="I6" s="51" t="s">
        <v>30</v>
      </c>
      <c r="J6" s="51"/>
      <c r="K6" s="51"/>
      <c r="L6" s="51" t="s">
        <v>31</v>
      </c>
      <c r="M6" s="51" t="s">
        <v>32</v>
      </c>
      <c r="N6" s="51" t="s">
        <v>33</v>
      </c>
      <c r="O6" s="51" t="s">
        <v>21</v>
      </c>
    </row>
    <row r="7" spans="1:15">
      <c r="A7" s="52" t="s">
        <v>34</v>
      </c>
      <c r="B7" s="52">
        <f>56.6686417435109*'Loading_Factor _Selection'!L2</f>
        <v>54.989974816460439</v>
      </c>
      <c r="C7" s="53">
        <v>0.3543</v>
      </c>
      <c r="D7" s="52">
        <v>61740</v>
      </c>
      <c r="E7" s="53">
        <f>B7/D7</f>
        <v>8.9067014603920372E-4</v>
      </c>
      <c r="F7" s="54">
        <f>E7/E6</f>
        <v>3.13235058701525E-2</v>
      </c>
      <c r="G7" s="53">
        <f>$F$15*TANH(F7-1)</f>
        <v>-2.2443663194887695E-2</v>
      </c>
      <c r="I7" s="9" t="s">
        <v>24</v>
      </c>
      <c r="J7" s="9" t="s">
        <v>26</v>
      </c>
      <c r="K7" s="9" t="s">
        <v>35</v>
      </c>
      <c r="L7" s="9">
        <f>INDEX($G:$G,MATCH(I7,$A:$A,0))</f>
        <v>0</v>
      </c>
      <c r="M7" s="9">
        <f>INDEX($G:$G,MATCH(J7,$A:$A,0))</f>
        <v>0</v>
      </c>
      <c r="N7" s="9">
        <f>INDEX($G:$G,MATCH(K7,$A:$A,0))</f>
        <v>-3.6051360218497964E-3</v>
      </c>
      <c r="O7" s="9">
        <f>(1+L7)*(1+M7)*(1+N7)</f>
        <v>0.99639486397815025</v>
      </c>
    </row>
    <row r="8" spans="1:15">
      <c r="E8" s="23"/>
      <c r="F8" s="24"/>
      <c r="G8" s="23"/>
      <c r="I8" s="9" t="s">
        <v>24</v>
      </c>
      <c r="J8" s="9" t="s">
        <v>26</v>
      </c>
      <c r="K8" s="9" t="s">
        <v>36</v>
      </c>
      <c r="L8" s="9">
        <f t="shared" ref="L8:L22" si="0">INDEX($G:$G,MATCH(I8,$A:$A,0))</f>
        <v>0</v>
      </c>
      <c r="M8" s="9">
        <f t="shared" ref="M8:M22" si="1">INDEX($G:$G,MATCH(J8,$A:$A,0))</f>
        <v>0</v>
      </c>
      <c r="N8" s="9">
        <f t="shared" ref="N8:N22" si="2">INDEX($G:$G,MATCH(K8,$A:$A,0))</f>
        <v>-1.5990471488245606E-2</v>
      </c>
      <c r="O8" s="9">
        <f t="shared" ref="O8:O22" si="3">(1+L8)*(1+M8)*(1+N8)</f>
        <v>0.98400952851175438</v>
      </c>
    </row>
    <row r="9" spans="1:15" ht="17.25" customHeight="1">
      <c r="A9" s="55" t="s">
        <v>37</v>
      </c>
      <c r="B9" s="56" t="s">
        <v>13</v>
      </c>
      <c r="C9" s="56" t="s">
        <v>14</v>
      </c>
      <c r="D9" s="56" t="s">
        <v>15</v>
      </c>
      <c r="E9" s="56" t="s">
        <v>16</v>
      </c>
      <c r="F9" s="56" t="s">
        <v>17</v>
      </c>
      <c r="G9" s="56" t="s">
        <v>18</v>
      </c>
      <c r="I9" s="9" t="s">
        <v>24</v>
      </c>
      <c r="J9" s="9" t="s">
        <v>26</v>
      </c>
      <c r="K9" s="9" t="s">
        <v>38</v>
      </c>
      <c r="L9" s="9">
        <f t="shared" si="0"/>
        <v>0</v>
      </c>
      <c r="M9" s="9">
        <f t="shared" si="1"/>
        <v>0</v>
      </c>
      <c r="N9" s="9">
        <f t="shared" si="2"/>
        <v>0</v>
      </c>
      <c r="O9" s="9">
        <f t="shared" si="3"/>
        <v>1</v>
      </c>
    </row>
    <row r="10" spans="1:15">
      <c r="A10" s="52" t="s">
        <v>35</v>
      </c>
      <c r="B10" s="52">
        <v>6990</v>
      </c>
      <c r="C10" s="53">
        <v>0.12075473406862336</v>
      </c>
      <c r="D10" s="52">
        <v>112056</v>
      </c>
      <c r="E10" s="53">
        <f>B10/D10</f>
        <v>6.2379524523452558E-2</v>
      </c>
      <c r="F10" s="54">
        <f>E10/$E$12</f>
        <v>0.87924526593137664</v>
      </c>
      <c r="G10" s="53">
        <f>$F$15*TANH(F10-1)</f>
        <v>-3.6051360218497964E-3</v>
      </c>
      <c r="I10" s="9" t="s">
        <v>24</v>
      </c>
      <c r="J10" s="9" t="s">
        <v>26</v>
      </c>
      <c r="K10" s="9" t="s">
        <v>28</v>
      </c>
      <c r="L10" s="9">
        <f t="shared" si="0"/>
        <v>0</v>
      </c>
      <c r="M10" s="9">
        <f>INDEX($G:$G,MATCH(J10,$A:$A,0))</f>
        <v>0</v>
      </c>
      <c r="N10" s="9">
        <f t="shared" si="2"/>
        <v>-1.7121931704018586E-2</v>
      </c>
      <c r="O10" s="9">
        <f t="shared" si="3"/>
        <v>0.98287806829598146</v>
      </c>
    </row>
    <row r="11" spans="1:15">
      <c r="A11" s="52" t="s">
        <v>36</v>
      </c>
      <c r="B11" s="52">
        <v>7934</v>
      </c>
      <c r="C11" s="53">
        <v>0.19649999999999998</v>
      </c>
      <c r="D11" s="52">
        <v>275681</v>
      </c>
      <c r="E11" s="53">
        <f>B11/D11</f>
        <v>2.8779640236360142E-2</v>
      </c>
      <c r="F11" s="54">
        <f>E11/$E$12</f>
        <v>0.40565173630834983</v>
      </c>
      <c r="G11" s="53">
        <f>$F$15*TANH(F11-1)</f>
        <v>-1.5990471488245606E-2</v>
      </c>
      <c r="I11" s="9" t="s">
        <v>24</v>
      </c>
      <c r="J11" s="9" t="s">
        <v>34</v>
      </c>
      <c r="K11" s="9" t="s">
        <v>35</v>
      </c>
      <c r="L11" s="9">
        <f t="shared" si="0"/>
        <v>0</v>
      </c>
      <c r="M11" s="9">
        <f t="shared" si="1"/>
        <v>-2.2443663194887695E-2</v>
      </c>
      <c r="N11" s="9">
        <f t="shared" si="2"/>
        <v>-3.6051360218497964E-3</v>
      </c>
      <c r="O11" s="9">
        <f t="shared" si="3"/>
        <v>0.97403211324190875</v>
      </c>
    </row>
    <row r="12" spans="1:15">
      <c r="A12" s="52" t="s">
        <v>38</v>
      </c>
      <c r="B12" s="52">
        <v>16531</v>
      </c>
      <c r="C12" s="53">
        <v>0.40939999999999999</v>
      </c>
      <c r="D12" s="52">
        <v>233006</v>
      </c>
      <c r="E12" s="53">
        <f>B12/D12</f>
        <v>7.094667090117851E-2</v>
      </c>
      <c r="F12" s="54">
        <f>E12/E12</f>
        <v>1</v>
      </c>
      <c r="G12" s="53">
        <f>$F$15*TANH(F12-1)</f>
        <v>0</v>
      </c>
      <c r="I12" s="9" t="s">
        <v>24</v>
      </c>
      <c r="J12" s="9" t="s">
        <v>34</v>
      </c>
      <c r="K12" s="9" t="s">
        <v>36</v>
      </c>
      <c r="L12" s="9">
        <f t="shared" si="0"/>
        <v>0</v>
      </c>
      <c r="M12" s="9">
        <f t="shared" si="1"/>
        <v>-2.2443663194887695E-2</v>
      </c>
      <c r="N12" s="9">
        <f t="shared" si="2"/>
        <v>-1.5990471488245606E-2</v>
      </c>
      <c r="O12" s="9">
        <f t="shared" si="3"/>
        <v>0.96192475007327638</v>
      </c>
    </row>
    <row r="13" spans="1:15">
      <c r="A13" s="52" t="s">
        <v>28</v>
      </c>
      <c r="B13" s="52">
        <v>8921</v>
      </c>
      <c r="C13" s="53">
        <v>0.22089999999999999</v>
      </c>
      <c r="D13" s="52">
        <v>357839</v>
      </c>
      <c r="E13" s="53">
        <f>B13/D13</f>
        <v>2.4930206042382188E-2</v>
      </c>
      <c r="F13" s="54">
        <f>E13/$E$12</f>
        <v>0.35139359924452873</v>
      </c>
      <c r="G13" s="53">
        <f>$F$15*TANH(F13-1)</f>
        <v>-1.7121931704018586E-2</v>
      </c>
      <c r="I13" s="9" t="s">
        <v>24</v>
      </c>
      <c r="J13" s="9" t="s">
        <v>34</v>
      </c>
      <c r="K13" s="9" t="s">
        <v>38</v>
      </c>
      <c r="L13" s="9">
        <f t="shared" si="0"/>
        <v>0</v>
      </c>
      <c r="M13" s="9">
        <f t="shared" si="1"/>
        <v>-2.2443663194887695E-2</v>
      </c>
      <c r="N13" s="9">
        <f t="shared" si="2"/>
        <v>0</v>
      </c>
      <c r="O13" s="9">
        <f t="shared" si="3"/>
        <v>0.97755633680511234</v>
      </c>
    </row>
    <row r="14" spans="1:15">
      <c r="I14" s="9" t="s">
        <v>24</v>
      </c>
      <c r="J14" s="9" t="s">
        <v>34</v>
      </c>
      <c r="K14" s="9" t="s">
        <v>28</v>
      </c>
      <c r="L14" s="9">
        <f t="shared" si="0"/>
        <v>0</v>
      </c>
      <c r="M14" s="9">
        <f t="shared" si="1"/>
        <v>-2.2443663194887695E-2</v>
      </c>
      <c r="N14" s="9">
        <f t="shared" si="2"/>
        <v>-1.7121931704018586E-2</v>
      </c>
      <c r="O14" s="9">
        <f t="shared" si="3"/>
        <v>0.96081868396950465</v>
      </c>
    </row>
    <row r="15" spans="1:15">
      <c r="E15" t="s">
        <v>39</v>
      </c>
      <c r="F15" s="29">
        <v>0.03</v>
      </c>
      <c r="I15" s="9" t="s">
        <v>22</v>
      </c>
      <c r="J15" s="9" t="s">
        <v>26</v>
      </c>
      <c r="K15" s="9" t="s">
        <v>35</v>
      </c>
      <c r="L15" s="9">
        <f t="shared" si="0"/>
        <v>-1.2718332247409741E-2</v>
      </c>
      <c r="M15" s="9">
        <f t="shared" si="1"/>
        <v>0</v>
      </c>
      <c r="N15" s="9">
        <f t="shared" si="2"/>
        <v>-3.6051360218497964E-3</v>
      </c>
      <c r="O15" s="9">
        <f t="shared" si="3"/>
        <v>0.98372238304846349</v>
      </c>
    </row>
    <row r="16" spans="1:15">
      <c r="E16" t="s">
        <v>40</v>
      </c>
      <c r="F16">
        <v>0.1</v>
      </c>
      <c r="I16" s="9" t="s">
        <v>22</v>
      </c>
      <c r="J16" s="9" t="s">
        <v>26</v>
      </c>
      <c r="K16" s="9" t="s">
        <v>36</v>
      </c>
      <c r="L16" s="9">
        <f t="shared" si="0"/>
        <v>-1.2718332247409741E-2</v>
      </c>
      <c r="M16" s="9">
        <f t="shared" si="1"/>
        <v>0</v>
      </c>
      <c r="N16" s="9">
        <f t="shared" si="2"/>
        <v>-1.5990471488245606E-2</v>
      </c>
      <c r="O16" s="9">
        <f t="shared" si="3"/>
        <v>0.97149456839352488</v>
      </c>
    </row>
    <row r="17" spans="5:15">
      <c r="E17" t="s">
        <v>41</v>
      </c>
      <c r="F17">
        <v>0.03</v>
      </c>
      <c r="I17" s="9" t="s">
        <v>22</v>
      </c>
      <c r="J17" s="9" t="s">
        <v>26</v>
      </c>
      <c r="K17" s="9" t="s">
        <v>38</v>
      </c>
      <c r="L17" s="9">
        <f t="shared" si="0"/>
        <v>-1.2718332247409741E-2</v>
      </c>
      <c r="M17" s="9">
        <f t="shared" si="1"/>
        <v>0</v>
      </c>
      <c r="N17" s="9">
        <f t="shared" si="2"/>
        <v>0</v>
      </c>
      <c r="O17" s="9">
        <f t="shared" si="3"/>
        <v>0.9872816677525903</v>
      </c>
    </row>
    <row r="18" spans="5:15">
      <c r="I18" s="9" t="s">
        <v>22</v>
      </c>
      <c r="J18" s="9" t="s">
        <v>26</v>
      </c>
      <c r="K18" s="9" t="s">
        <v>28</v>
      </c>
      <c r="L18" s="9">
        <f t="shared" si="0"/>
        <v>-1.2718332247409741E-2</v>
      </c>
      <c r="M18" s="9">
        <f t="shared" si="1"/>
        <v>0</v>
      </c>
      <c r="N18" s="9">
        <f t="shared" si="2"/>
        <v>-1.7121931704018586E-2</v>
      </c>
      <c r="O18" s="9">
        <f t="shared" si="3"/>
        <v>0.97037749846470089</v>
      </c>
    </row>
    <row r="19" spans="5:15">
      <c r="I19" s="9" t="s">
        <v>22</v>
      </c>
      <c r="J19" s="9" t="s">
        <v>34</v>
      </c>
      <c r="K19" s="9" t="s">
        <v>35</v>
      </c>
      <c r="L19" s="9">
        <f t="shared" si="0"/>
        <v>-1.2718332247409741E-2</v>
      </c>
      <c r="M19" s="9">
        <f t="shared" si="1"/>
        <v>-2.2443663194887695E-2</v>
      </c>
      <c r="N19" s="9">
        <f t="shared" si="2"/>
        <v>-3.6051360218497964E-3</v>
      </c>
      <c r="O19" s="9">
        <f t="shared" si="3"/>
        <v>0.96164404920605151</v>
      </c>
    </row>
    <row r="20" spans="5:15">
      <c r="I20" s="9" t="s">
        <v>22</v>
      </c>
      <c r="J20" s="9" t="s">
        <v>34</v>
      </c>
      <c r="K20" s="9" t="s">
        <v>36</v>
      </c>
      <c r="L20" s="9">
        <f t="shared" si="0"/>
        <v>-1.2718332247409741E-2</v>
      </c>
      <c r="M20" s="9">
        <f t="shared" si="1"/>
        <v>-2.2443663194887695E-2</v>
      </c>
      <c r="N20" s="9">
        <f t="shared" si="2"/>
        <v>-1.5990471488245606E-2</v>
      </c>
      <c r="O20" s="9">
        <f t="shared" si="3"/>
        <v>0.94969067150483788</v>
      </c>
    </row>
    <row r="21" spans="5:15">
      <c r="I21" s="9" t="s">
        <v>22</v>
      </c>
      <c r="J21" s="9" t="s">
        <v>34</v>
      </c>
      <c r="K21" s="9" t="s">
        <v>38</v>
      </c>
      <c r="L21" s="9">
        <f t="shared" si="0"/>
        <v>-1.2718332247409741E-2</v>
      </c>
      <c r="M21" s="9">
        <f t="shared" si="1"/>
        <v>-2.2443663194887695E-2</v>
      </c>
      <c r="N21" s="9">
        <f t="shared" si="2"/>
        <v>0</v>
      </c>
      <c r="O21" s="9">
        <f t="shared" si="3"/>
        <v>0.96512345052306414</v>
      </c>
    </row>
    <row r="22" spans="5:15">
      <c r="I22" s="9" t="s">
        <v>22</v>
      </c>
      <c r="J22" s="9" t="s">
        <v>34</v>
      </c>
      <c r="K22" s="9" t="s">
        <v>28</v>
      </c>
      <c r="L22" s="9">
        <f t="shared" si="0"/>
        <v>-1.2718332247409741E-2</v>
      </c>
      <c r="M22" s="9">
        <f t="shared" si="1"/>
        <v>-2.2443663194887695E-2</v>
      </c>
      <c r="N22" s="9">
        <f t="shared" si="2"/>
        <v>-1.7121931704018586E-2</v>
      </c>
      <c r="O22" s="9">
        <f t="shared" si="3"/>
        <v>0.9485986727172615</v>
      </c>
    </row>
  </sheetData>
  <dataValidations count="4">
    <dataValidation type="list" allowBlank="1" showInputMessage="1" showErrorMessage="1" sqref="J2" xr:uid="{33A9A594-ABCB-48E8-BC98-FFC699AB290B}">
      <formula1>"F,M"</formula1>
    </dataValidation>
    <dataValidation type="list" allowBlank="1" showInputMessage="1" showErrorMessage="1" sqref="J3" xr:uid="{C390098A-A910-490F-BD32-5750A9B9ED7C}">
      <formula1>$A$6:$A$7</formula1>
    </dataValidation>
    <dataValidation type="list" allowBlank="1" showInputMessage="1" showErrorMessage="1" sqref="J4" xr:uid="{2245312D-9575-48EC-94C5-665AAF320776}">
      <formula1>$A$10:$A$13</formula1>
    </dataValidation>
    <dataValidation type="list" allowBlank="1" showInputMessage="1" showErrorMessage="1" sqref="F15" xr:uid="{95A716B7-2D2F-4F5D-8854-0724456217E0}">
      <formula1>$F$16:$F$17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FBF4E-E8C0-B74B-9C00-D75CB8A95076}">
  <sheetPr codeName="Sheet7"/>
  <dimension ref="A1:I37"/>
  <sheetViews>
    <sheetView zoomScale="131" workbookViewId="0">
      <selection activeCell="E37" sqref="E35:E37"/>
    </sheetView>
  </sheetViews>
  <sheetFormatPr defaultColWidth="11.42578125" defaultRowHeight="15"/>
  <cols>
    <col min="1" max="1" width="20.28515625" bestFit="1" customWidth="1"/>
    <col min="2" max="7" width="11.140625" customWidth="1"/>
  </cols>
  <sheetData>
    <row r="1" spans="1:9">
      <c r="A1" s="43"/>
      <c r="B1" s="58" t="s">
        <v>42</v>
      </c>
      <c r="C1" s="58"/>
      <c r="D1" s="58"/>
      <c r="E1" s="58"/>
      <c r="F1" s="58"/>
      <c r="G1" s="58"/>
    </row>
    <row r="2" spans="1:9">
      <c r="A2" s="43" t="s">
        <v>42</v>
      </c>
      <c r="B2" s="43">
        <v>50000</v>
      </c>
      <c r="C2" s="43">
        <v>100000</v>
      </c>
      <c r="D2" s="43">
        <v>250000</v>
      </c>
      <c r="E2" s="43">
        <v>500000</v>
      </c>
      <c r="F2" s="43">
        <v>1000000</v>
      </c>
      <c r="G2" s="43">
        <v>2000000</v>
      </c>
    </row>
    <row r="3" spans="1:9">
      <c r="A3" s="44" t="s">
        <v>43</v>
      </c>
      <c r="B3" s="59" t="s">
        <v>44</v>
      </c>
      <c r="C3" s="59"/>
      <c r="D3" s="59"/>
      <c r="E3" s="59"/>
      <c r="F3" s="59"/>
      <c r="G3" s="59"/>
    </row>
    <row r="4" spans="1:9">
      <c r="A4" s="45">
        <f>A5*0.85</f>
        <v>6.2730000000000008E-2</v>
      </c>
      <c r="B4" s="46">
        <v>0.78821446803448225</v>
      </c>
      <c r="C4" s="46">
        <v>1.5743376869276062</v>
      </c>
      <c r="D4" s="46">
        <v>3.9327557913996998</v>
      </c>
      <c r="E4" s="46">
        <v>7.8634849396563595</v>
      </c>
      <c r="F4" s="46">
        <v>15.724846313632838</v>
      </c>
      <c r="G4" s="46">
        <v>31.447633676496935</v>
      </c>
    </row>
    <row r="5" spans="1:9">
      <c r="A5" s="47">
        <v>7.3800000000000004E-2</v>
      </c>
      <c r="B5" s="46">
        <v>0.64689059921170156</v>
      </c>
      <c r="C5" s="46">
        <v>1.2916239484163725</v>
      </c>
      <c r="D5" s="46">
        <v>3.2258239960321475</v>
      </c>
      <c r="E5" s="46">
        <v>6.4494925438327755</v>
      </c>
      <c r="F5" s="46">
        <v>12.896824234140695</v>
      </c>
      <c r="G5" s="46">
        <v>25.791491218288911</v>
      </c>
    </row>
    <row r="6" spans="1:9">
      <c r="A6" s="45">
        <f>A5*1.15</f>
        <v>8.4870000000000001E-2</v>
      </c>
      <c r="B6" s="46">
        <v>0.56979724658157238</v>
      </c>
      <c r="C6" s="46">
        <v>1.1378367867821453</v>
      </c>
      <c r="D6" s="46">
        <v>2.841974609946476</v>
      </c>
      <c r="E6" s="46">
        <v>5.6821553884908553</v>
      </c>
      <c r="F6" s="46">
        <v>11.362548510390866</v>
      </c>
      <c r="G6" s="46">
        <v>22.723406073627302</v>
      </c>
    </row>
    <row r="8" spans="1:9">
      <c r="A8" t="s">
        <v>42</v>
      </c>
      <c r="B8">
        <v>50000</v>
      </c>
      <c r="C8">
        <v>100000</v>
      </c>
      <c r="D8">
        <v>250000</v>
      </c>
      <c r="E8">
        <v>500000</v>
      </c>
      <c r="F8">
        <v>1000000</v>
      </c>
      <c r="G8">
        <v>2000000</v>
      </c>
    </row>
    <row r="9" spans="1:9">
      <c r="A9" s="38" t="s">
        <v>43</v>
      </c>
      <c r="B9" s="60" t="s">
        <v>44</v>
      </c>
      <c r="C9" s="60"/>
      <c r="D9" s="60"/>
      <c r="E9" s="60"/>
      <c r="F9" s="60"/>
      <c r="G9" s="60"/>
    </row>
    <row r="10" spans="1:9">
      <c r="A10" s="39">
        <f>A11*0.85</f>
        <v>6.2730000000000008E-2</v>
      </c>
      <c r="B10" s="24">
        <v>20.556281825327346</v>
      </c>
      <c r="C10" s="24">
        <v>22.963629950150676</v>
      </c>
      <c r="D10" s="24">
        <v>30.185674324623335</v>
      </c>
      <c r="E10" s="24">
        <v>42.662451106106005</v>
      </c>
      <c r="F10" s="24">
        <v>66.295896197016418</v>
      </c>
      <c r="G10" s="24">
        <v>114.44285869354553</v>
      </c>
      <c r="I10" s="36">
        <f>D10/D11</f>
        <v>9.3575081472989687</v>
      </c>
    </row>
    <row r="11" spans="1:9">
      <c r="A11" s="40">
        <v>7.3800000000000004E-2</v>
      </c>
      <c r="B11" s="24">
        <v>0.64689059921170156</v>
      </c>
      <c r="C11" s="24">
        <v>1.2916239484163725</v>
      </c>
      <c r="D11" s="24">
        <v>3.2258239960321475</v>
      </c>
      <c r="E11" s="24">
        <v>6.4494925438327755</v>
      </c>
      <c r="F11" s="24">
        <v>12.896824234140695</v>
      </c>
      <c r="G11" s="24">
        <v>25.791491218288911</v>
      </c>
    </row>
    <row r="12" spans="1:9">
      <c r="A12" s="39">
        <f>A11*1.15</f>
        <v>8.4870000000000001E-2</v>
      </c>
      <c r="B12" s="24">
        <v>-17.336361615377314</v>
      </c>
      <c r="C12" s="24">
        <v>-18.270605647886782</v>
      </c>
      <c r="D12" s="24">
        <v>-21.073337745413198</v>
      </c>
      <c r="E12" s="24">
        <v>-26.132367652937887</v>
      </c>
      <c r="F12" s="24">
        <v>-35.086998233017766</v>
      </c>
      <c r="G12" s="24">
        <v>-53.771878883153931</v>
      </c>
      <c r="I12" s="36">
        <f>D12/D11</f>
        <v>-6.5326991712300435</v>
      </c>
    </row>
    <row r="18" spans="1:9">
      <c r="B18" s="61" t="s">
        <v>42</v>
      </c>
      <c r="C18" s="61"/>
      <c r="D18" s="61"/>
      <c r="E18" s="61"/>
      <c r="F18" s="61"/>
      <c r="G18" s="61"/>
    </row>
    <row r="19" spans="1:9">
      <c r="A19" t="s">
        <v>42</v>
      </c>
      <c r="B19">
        <v>50000</v>
      </c>
      <c r="C19">
        <v>100000</v>
      </c>
      <c r="D19">
        <v>250000</v>
      </c>
      <c r="E19">
        <v>500000</v>
      </c>
      <c r="F19">
        <v>1000000</v>
      </c>
      <c r="G19">
        <v>2000000</v>
      </c>
    </row>
    <row r="20" spans="1:9">
      <c r="A20" s="38" t="s">
        <v>45</v>
      </c>
      <c r="B20" s="60" t="s">
        <v>44</v>
      </c>
      <c r="C20" s="60"/>
      <c r="D20" s="60"/>
      <c r="E20" s="60"/>
      <c r="F20" s="60"/>
      <c r="G20" s="60"/>
    </row>
    <row r="21" spans="1:9">
      <c r="A21">
        <v>0.5</v>
      </c>
      <c r="B21" s="24">
        <v>0.63402275813029974</v>
      </c>
      <c r="C21" s="24">
        <v>1.2659304347017155</v>
      </c>
      <c r="D21" s="24">
        <v>3.1616594027026963</v>
      </c>
      <c r="E21" s="24">
        <v>6.3212067800498062</v>
      </c>
      <c r="F21" s="24">
        <v>12.64029924266265</v>
      </c>
      <c r="G21" s="24">
        <v>25.278485695941754</v>
      </c>
      <c r="I21" s="37">
        <f>1-E21/E22</f>
        <v>1.989083062133945E-2</v>
      </c>
    </row>
    <row r="22" spans="1:9">
      <c r="A22" s="42">
        <v>0.7</v>
      </c>
      <c r="B22" s="24">
        <v>0.64689059921170156</v>
      </c>
      <c r="C22" s="24">
        <v>1.2916239484163725</v>
      </c>
      <c r="D22" s="24">
        <v>3.2258239960321475</v>
      </c>
      <c r="E22" s="24">
        <v>6.4494925438327755</v>
      </c>
      <c r="F22" s="24">
        <v>12.896824234140695</v>
      </c>
      <c r="G22" s="24">
        <v>25.791491218288911</v>
      </c>
    </row>
    <row r="23" spans="1:9">
      <c r="A23">
        <v>0.9</v>
      </c>
      <c r="B23" s="24">
        <v>0.6597597395016237</v>
      </c>
      <c r="C23" s="24">
        <v>1.3173154761887531</v>
      </c>
      <c r="D23" s="24">
        <v>3.2899886245390917</v>
      </c>
      <c r="E23" s="24">
        <v>6.5777763783588625</v>
      </c>
      <c r="F23" s="24">
        <v>13.153349366243674</v>
      </c>
      <c r="G23" s="24">
        <v>26.304497021850466</v>
      </c>
      <c r="I23">
        <f>E23/E22</f>
        <v>1.019890531488211</v>
      </c>
    </row>
    <row r="25" spans="1:9">
      <c r="B25" s="61" t="s">
        <v>42</v>
      </c>
      <c r="C25" s="61"/>
      <c r="D25" s="61"/>
      <c r="E25" s="61"/>
      <c r="F25" s="61"/>
      <c r="G25" s="61"/>
    </row>
    <row r="26" spans="1:9">
      <c r="A26" t="s">
        <v>42</v>
      </c>
      <c r="B26">
        <v>50000</v>
      </c>
      <c r="C26">
        <v>100000</v>
      </c>
      <c r="D26">
        <v>250000</v>
      </c>
      <c r="E26">
        <v>500000</v>
      </c>
      <c r="F26">
        <v>1000000</v>
      </c>
      <c r="G26">
        <v>2000000</v>
      </c>
    </row>
    <row r="27" spans="1:9">
      <c r="A27" s="38" t="s">
        <v>46</v>
      </c>
      <c r="B27" s="60" t="s">
        <v>44</v>
      </c>
      <c r="C27" s="60"/>
      <c r="D27" s="60"/>
      <c r="E27" s="60"/>
      <c r="F27" s="60"/>
      <c r="G27" s="60"/>
    </row>
    <row r="28" spans="1:9">
      <c r="A28" s="2" t="s">
        <v>47</v>
      </c>
      <c r="B28" s="24">
        <v>1005.9852164741567</v>
      </c>
      <c r="C28" s="24">
        <v>1006.6299504689032</v>
      </c>
      <c r="D28" s="24">
        <v>1008.5641524499202</v>
      </c>
      <c r="E28" s="24">
        <v>1011.7878242224092</v>
      </c>
      <c r="F28" s="24">
        <v>1018.2351623590334</v>
      </c>
      <c r="G28" s="24">
        <v>1031.1298422378513</v>
      </c>
      <c r="I28" s="36">
        <f>E28/E29</f>
        <v>156.87851494122441</v>
      </c>
    </row>
    <row r="29" spans="1:9">
      <c r="A29" s="2" t="s">
        <v>48</v>
      </c>
      <c r="B29" s="24">
        <v>0.64689124529320452</v>
      </c>
      <c r="C29" s="24">
        <v>1.2916252400399912</v>
      </c>
      <c r="D29" s="24">
        <v>3.2258272210567043</v>
      </c>
      <c r="E29" s="24">
        <v>6.4494989935459444</v>
      </c>
      <c r="F29" s="24">
        <v>12.896837130170525</v>
      </c>
      <c r="G29" s="24">
        <v>25.791517008987512</v>
      </c>
    </row>
    <row r="30" spans="1:9">
      <c r="A30" s="2" t="s">
        <v>49</v>
      </c>
      <c r="B30" s="24">
        <v>-997.38410331771991</v>
      </c>
      <c r="C30" s="24">
        <v>-996.73936932297306</v>
      </c>
      <c r="D30" s="24">
        <v>-994.80516734195635</v>
      </c>
      <c r="E30" s="24">
        <v>-991.58149556946728</v>
      </c>
      <c r="F30" s="24">
        <v>-985.13415743284281</v>
      </c>
      <c r="G30" s="24">
        <v>-972.23947755402537</v>
      </c>
      <c r="I30" s="36">
        <f>E30/E29</f>
        <v>-153.74550745131512</v>
      </c>
    </row>
    <row r="32" spans="1:9">
      <c r="B32" s="61" t="s">
        <v>42</v>
      </c>
      <c r="C32" s="61"/>
      <c r="D32" s="61"/>
      <c r="E32" s="61"/>
      <c r="F32" s="61"/>
      <c r="G32" s="61"/>
    </row>
    <row r="33" spans="1:7">
      <c r="A33" t="s">
        <v>42</v>
      </c>
      <c r="B33">
        <v>50000</v>
      </c>
      <c r="C33">
        <v>100000</v>
      </c>
      <c r="D33">
        <v>250000</v>
      </c>
      <c r="E33">
        <v>500000</v>
      </c>
      <c r="F33">
        <v>1000000</v>
      </c>
      <c r="G33">
        <v>2000000</v>
      </c>
    </row>
    <row r="34" spans="1:7">
      <c r="A34" s="38" t="s">
        <v>50</v>
      </c>
      <c r="B34" s="60" t="s">
        <v>44</v>
      </c>
      <c r="C34" s="60"/>
      <c r="D34" s="60"/>
      <c r="E34" s="60"/>
      <c r="F34" s="60"/>
      <c r="G34" s="60"/>
    </row>
    <row r="35" spans="1:7">
      <c r="A35">
        <v>0.85</v>
      </c>
      <c r="B35" s="24">
        <v>0.64124655088090776</v>
      </c>
      <c r="C35" s="24">
        <v>1.2803530619993921</v>
      </c>
      <c r="D35" s="24">
        <v>3.1976785336421472</v>
      </c>
      <c r="E35" s="24">
        <v>6.3932201050265576</v>
      </c>
      <c r="F35" s="24">
        <v>12.784300891810744</v>
      </c>
      <c r="G35" s="24">
        <v>25.566464036035086</v>
      </c>
    </row>
    <row r="36" spans="1:7">
      <c r="A36" s="42">
        <v>0.9</v>
      </c>
      <c r="B36" s="24">
        <v>0.64689059921170156</v>
      </c>
      <c r="C36" s="24">
        <v>1.2916239484163725</v>
      </c>
      <c r="D36" s="24">
        <v>3.2258239960321475</v>
      </c>
      <c r="E36" s="24">
        <v>6.4494925438327755</v>
      </c>
      <c r="F36" s="24">
        <v>12.896824234140695</v>
      </c>
      <c r="G36" s="24">
        <v>25.791491218288911</v>
      </c>
    </row>
    <row r="37" spans="1:7">
      <c r="A37">
        <v>0.95</v>
      </c>
      <c r="B37" s="24">
        <v>0.65253594106115997</v>
      </c>
      <c r="C37" s="24">
        <v>1.3028928375234727</v>
      </c>
      <c r="D37" s="24">
        <v>3.2539694651986224</v>
      </c>
      <c r="E37" s="24">
        <v>6.5057629965924662</v>
      </c>
      <c r="F37" s="24">
        <v>13.009347603528113</v>
      </c>
      <c r="G37" s="24">
        <v>26.016518454633797</v>
      </c>
    </row>
  </sheetData>
  <mergeCells count="9">
    <mergeCell ref="B1:G1"/>
    <mergeCell ref="B3:G3"/>
    <mergeCell ref="B27:G27"/>
    <mergeCell ref="B32:G32"/>
    <mergeCell ref="B34:G34"/>
    <mergeCell ref="B18:G18"/>
    <mergeCell ref="B20:G20"/>
    <mergeCell ref="B9:G9"/>
    <mergeCell ref="B25:G25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680A8-17D7-4E4C-A4D2-DD391A6B0154}">
  <dimension ref="A1:D16"/>
  <sheetViews>
    <sheetView topLeftCell="B1" zoomScale="150" workbookViewId="0">
      <selection activeCell="H27" sqref="H27"/>
    </sheetView>
  </sheetViews>
  <sheetFormatPr defaultColWidth="11.42578125" defaultRowHeight="15"/>
  <cols>
    <col min="2" max="2" width="39.85546875" bestFit="1" customWidth="1"/>
  </cols>
  <sheetData>
    <row r="1" spans="1:4">
      <c r="B1" s="49" t="s">
        <v>51</v>
      </c>
      <c r="C1" t="s">
        <v>52</v>
      </c>
    </row>
    <row r="2" spans="1:4">
      <c r="A2" s="49"/>
      <c r="B2" s="49" t="s">
        <v>53</v>
      </c>
      <c r="C2" s="50">
        <v>0.32780000000000004</v>
      </c>
    </row>
    <row r="3" spans="1:4">
      <c r="A3" s="49"/>
      <c r="B3" s="49" t="s">
        <v>54</v>
      </c>
      <c r="C3" s="50">
        <v>0.29399999999999998</v>
      </c>
    </row>
    <row r="4" spans="1:4">
      <c r="A4" s="49"/>
      <c r="B4" s="49" t="s">
        <v>55</v>
      </c>
      <c r="C4" s="50">
        <v>8.6099999999999996E-2</v>
      </c>
    </row>
    <row r="5" spans="1:4">
      <c r="A5" s="49"/>
      <c r="B5" s="49" t="s">
        <v>56</v>
      </c>
      <c r="C5" s="50">
        <v>6.5700000000000008E-2</v>
      </c>
    </row>
    <row r="6" spans="1:4">
      <c r="A6" s="49"/>
      <c r="B6" s="49" t="s">
        <v>57</v>
      </c>
      <c r="C6" s="50">
        <v>4.4600000000000001E-2</v>
      </c>
    </row>
    <row r="7" spans="1:4">
      <c r="A7" s="49"/>
      <c r="B7" s="49"/>
      <c r="C7" s="49"/>
      <c r="D7" s="49"/>
    </row>
    <row r="8" spans="1:4">
      <c r="A8" s="49"/>
      <c r="B8" s="49"/>
      <c r="C8" s="49"/>
      <c r="D8" s="49"/>
    </row>
    <row r="9" spans="1:4">
      <c r="A9" s="49"/>
      <c r="B9" s="49"/>
      <c r="C9" s="49"/>
      <c r="D9" s="49"/>
    </row>
    <row r="10" spans="1:4">
      <c r="A10" s="49"/>
      <c r="B10" s="49"/>
      <c r="C10" s="49"/>
      <c r="D10" s="49"/>
    </row>
    <row r="11" spans="1:4">
      <c r="A11" s="49"/>
      <c r="B11" s="49"/>
      <c r="C11" s="49"/>
      <c r="D11" s="49"/>
    </row>
    <row r="12" spans="1:4">
      <c r="A12" s="49"/>
      <c r="B12" s="49"/>
      <c r="C12" s="49"/>
      <c r="D12" s="49"/>
    </row>
    <row r="13" spans="1:4">
      <c r="A13" s="49"/>
      <c r="B13" s="49"/>
      <c r="C13" s="49"/>
      <c r="D13" s="49"/>
    </row>
    <row r="14" spans="1:4">
      <c r="A14" s="49"/>
      <c r="B14" s="49"/>
      <c r="C14" s="49"/>
      <c r="D14" s="49"/>
    </row>
    <row r="15" spans="1:4">
      <c r="A15" s="49"/>
      <c r="B15" s="49"/>
      <c r="C15" s="49"/>
      <c r="D15" s="49"/>
    </row>
    <row r="16" spans="1:4">
      <c r="A16" s="49"/>
      <c r="B16" s="49"/>
      <c r="C16" s="49"/>
      <c r="D16" s="4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EB6DA-6B52-4435-9F34-B88F4BB9E0CE}">
  <sheetPr codeName="Sheet2">
    <tabColor theme="1" tint="0.249977111117893"/>
  </sheetPr>
  <dimension ref="A1"/>
  <sheetViews>
    <sheetView workbookViewId="0"/>
  </sheetViews>
  <sheetFormatPr defaultColWidth="8.85546875"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C7BC9-9457-403F-B35C-E7E6B7E6B910}">
  <sheetPr codeName="Sheet3"/>
  <dimension ref="A1:AF190"/>
  <sheetViews>
    <sheetView tabSelected="1" zoomScale="116" workbookViewId="0">
      <selection activeCell="I3" sqref="I3"/>
    </sheetView>
  </sheetViews>
  <sheetFormatPr defaultColWidth="8.85546875" defaultRowHeight="15"/>
  <cols>
    <col min="1" max="1" width="32.42578125" customWidth="1"/>
    <col min="2" max="2" width="14.85546875" customWidth="1"/>
    <col min="3" max="4" width="10.28515625" bestFit="1" customWidth="1"/>
    <col min="5" max="5" width="11" customWidth="1"/>
    <col min="6" max="8" width="11.85546875" customWidth="1"/>
    <col min="9" max="9" width="17" bestFit="1" customWidth="1"/>
    <col min="10" max="10" width="23.5703125" bestFit="1" customWidth="1"/>
    <col min="11" max="31" width="11.85546875" customWidth="1"/>
    <col min="32" max="32" width="9.28515625" bestFit="1" customWidth="1"/>
  </cols>
  <sheetData>
    <row r="1" spans="1:32">
      <c r="A1" s="14" t="s">
        <v>58</v>
      </c>
      <c r="B1" s="15"/>
      <c r="C1" s="15"/>
      <c r="D1" s="15"/>
      <c r="E1" s="15"/>
      <c r="F1" s="15"/>
      <c r="G1" s="16"/>
      <c r="I1" s="62" t="s">
        <v>59</v>
      </c>
      <c r="J1" s="9" t="s">
        <v>7</v>
      </c>
    </row>
    <row r="2" spans="1:32">
      <c r="A2" s="9" t="s">
        <v>42</v>
      </c>
      <c r="B2" s="17">
        <f>B8</f>
        <v>50000</v>
      </c>
      <c r="C2" s="17">
        <f>B39</f>
        <v>100000</v>
      </c>
      <c r="D2" s="17">
        <f>B70</f>
        <v>250000</v>
      </c>
      <c r="E2" s="17">
        <f>B101</f>
        <v>500000</v>
      </c>
      <c r="F2" s="17">
        <f>B132</f>
        <v>1000000</v>
      </c>
      <c r="G2" s="17">
        <f>B163</f>
        <v>2000000</v>
      </c>
    </row>
    <row r="3" spans="1:32">
      <c r="A3" s="9" t="s">
        <v>60</v>
      </c>
      <c r="B3" s="17">
        <f>B7</f>
        <v>278.43462565992212</v>
      </c>
      <c r="C3" s="17">
        <f>B38</f>
        <v>280.47377740578884</v>
      </c>
      <c r="D3" s="17">
        <f>B69</f>
        <v>286.5912336100061</v>
      </c>
      <c r="E3" s="17">
        <f>B100</f>
        <v>297.22177854688817</v>
      </c>
      <c r="F3" s="17">
        <f>B131</f>
        <v>317.17851381719959</v>
      </c>
      <c r="G3" s="17">
        <f>B162</f>
        <v>357.96155409345749</v>
      </c>
    </row>
    <row r="4" spans="1:32">
      <c r="A4" s="9" t="s">
        <v>44</v>
      </c>
      <c r="B4" s="18">
        <f>W34</f>
        <v>0.64689124529320452</v>
      </c>
      <c r="C4" s="18">
        <f>W65</f>
        <v>1.2916229484070527</v>
      </c>
      <c r="D4" s="18">
        <f>W96</f>
        <v>3.2258239960370361</v>
      </c>
      <c r="E4" s="18">
        <f>W128</f>
        <v>6.4494915440443492</v>
      </c>
      <c r="F4" s="18">
        <f>W158</f>
        <v>12.896824234140695</v>
      </c>
      <c r="G4" s="18">
        <f>W189</f>
        <v>25.791491218278225</v>
      </c>
      <c r="H4" s="41"/>
    </row>
    <row r="5" spans="1:32">
      <c r="B5" s="37">
        <f>B4/B3</f>
        <v>2.3233146515452157E-3</v>
      </c>
      <c r="C5" s="37">
        <f t="shared" ref="C5:G5" si="0">C4/C3</f>
        <v>4.6051469066155709E-3</v>
      </c>
      <c r="D5" s="37">
        <f t="shared" si="0"/>
        <v>1.1255836249432331E-2</v>
      </c>
      <c r="E5" s="37">
        <f t="shared" si="0"/>
        <v>2.1699256277840053E-2</v>
      </c>
      <c r="F5" s="37">
        <f t="shared" si="0"/>
        <v>4.066109043430842E-2</v>
      </c>
      <c r="G5" s="37">
        <f t="shared" si="0"/>
        <v>7.2051009174981168E-2</v>
      </c>
    </row>
    <row r="6" spans="1:32">
      <c r="A6" s="4" t="str">
        <f>"Base Assumptions for "&amp;B8&amp;" Death benefit (M,NS,44,Moderate)"</f>
        <v>Base Assumptions for 50000 Death benefit (M,NS,44,Moderate)</v>
      </c>
      <c r="E6" s="8" t="s">
        <v>61</v>
      </c>
      <c r="F6" s="8"/>
      <c r="G6" s="8"/>
      <c r="H6" s="8"/>
      <c r="I6" s="8"/>
      <c r="J6" s="8"/>
      <c r="K6" s="8"/>
      <c r="L6" s="8"/>
      <c r="M6" s="9" t="s">
        <v>62</v>
      </c>
      <c r="N6" s="9"/>
      <c r="O6" s="9"/>
      <c r="P6" s="9"/>
      <c r="Q6" s="9"/>
      <c r="R6" s="9"/>
      <c r="S6" s="10" t="s">
        <v>63</v>
      </c>
      <c r="T6" s="10"/>
      <c r="U6" s="10"/>
      <c r="V6" s="11"/>
      <c r="W6" s="48" t="s">
        <v>64</v>
      </c>
      <c r="X6" s="48" t="s">
        <v>65</v>
      </c>
      <c r="Y6" s="48" t="s">
        <v>66</v>
      </c>
      <c r="Z6" s="48" t="s">
        <v>67</v>
      </c>
      <c r="AA6" s="48"/>
      <c r="AB6" s="48" t="s">
        <v>68</v>
      </c>
      <c r="AC6" s="48" t="s">
        <v>69</v>
      </c>
      <c r="AD6" s="48" t="s">
        <v>70</v>
      </c>
      <c r="AE6" s="48" t="s">
        <v>71</v>
      </c>
      <c r="AF6" s="48" t="s">
        <v>72</v>
      </c>
    </row>
    <row r="7" spans="1:32" ht="29.1">
      <c r="A7" t="s">
        <v>60</v>
      </c>
      <c r="B7" s="12">
        <v>278.43462565992212</v>
      </c>
      <c r="E7" t="s">
        <v>73</v>
      </c>
      <c r="F7" s="19" t="s">
        <v>60</v>
      </c>
      <c r="G7" s="19" t="s">
        <v>74</v>
      </c>
      <c r="H7" s="19" t="s">
        <v>46</v>
      </c>
      <c r="I7" s="1" t="s">
        <v>75</v>
      </c>
      <c r="J7" s="1" t="s">
        <v>76</v>
      </c>
      <c r="K7" s="1" t="s">
        <v>77</v>
      </c>
      <c r="L7" s="1" t="s">
        <v>78</v>
      </c>
      <c r="M7" s="1" t="s">
        <v>79</v>
      </c>
      <c r="N7" s="1" t="s">
        <v>80</v>
      </c>
      <c r="O7" s="1" t="s">
        <v>81</v>
      </c>
      <c r="P7" s="1" t="s">
        <v>82</v>
      </c>
      <c r="Q7" s="1" t="s">
        <v>83</v>
      </c>
      <c r="R7" s="1" t="s">
        <v>84</v>
      </c>
      <c r="S7" s="1" t="s">
        <v>85</v>
      </c>
      <c r="T7" s="1" t="s">
        <v>86</v>
      </c>
      <c r="U7" s="1" t="s">
        <v>87</v>
      </c>
      <c r="V7" s="1" t="s">
        <v>88</v>
      </c>
      <c r="W7" s="1" t="s">
        <v>89</v>
      </c>
      <c r="X7" s="1" t="s">
        <v>90</v>
      </c>
      <c r="Y7" s="1" t="s">
        <v>91</v>
      </c>
      <c r="Z7" s="1" t="s">
        <v>92</v>
      </c>
      <c r="AA7" s="1" t="s">
        <v>93</v>
      </c>
      <c r="AB7" s="1" t="s">
        <v>94</v>
      </c>
      <c r="AC7" s="1" t="s">
        <v>95</v>
      </c>
      <c r="AD7" s="1" t="s">
        <v>44</v>
      </c>
      <c r="AE7" s="1" t="s">
        <v>96</v>
      </c>
      <c r="AF7" s="1" t="s">
        <v>97</v>
      </c>
    </row>
    <row r="8" spans="1:32">
      <c r="A8" t="s">
        <v>98</v>
      </c>
      <c r="B8" s="12">
        <v>50000</v>
      </c>
      <c r="E8">
        <v>0</v>
      </c>
      <c r="F8" s="13" cm="1">
        <f t="array" ref="F8">_xlfn.IFS(AND(E8&gt;=0,E8&lt;=2),$B$7*(1-$B$21),AND(E8&gt;=3,E8&lt;=5),$B$7*(1-$B$22),AND(E8&gt;=6,E8&lt;=10),$B$7*(1-$B$23),AND(E8&gt;=11,E8&lt;=20),$B$7*(1-$B$24))</f>
        <v>272.86593314672365</v>
      </c>
      <c r="G8">
        <f>F8*$B$17</f>
        <v>218.29274651737893</v>
      </c>
      <c r="H8">
        <f>$B$19</f>
        <v>323</v>
      </c>
      <c r="I8" s="13">
        <f>$B8</f>
        <v>50000</v>
      </c>
      <c r="J8" s="5">
        <v>0.8</v>
      </c>
      <c r="K8" s="19">
        <f>I8*J8/1000</f>
        <v>40</v>
      </c>
      <c r="L8">
        <f>I8*$B$9/1000</f>
        <v>0.5</v>
      </c>
      <c r="O8">
        <v>1</v>
      </c>
      <c r="R8">
        <f>O8-SUM(P8:Q8)</f>
        <v>1</v>
      </c>
      <c r="U8">
        <f t="shared" ref="U8:U28" si="1">R8*K8</f>
        <v>40</v>
      </c>
      <c r="V8" s="1">
        <f t="shared" ref="V8:V28" si="2">R8*L8</f>
        <v>0.5</v>
      </c>
      <c r="W8" s="1">
        <f t="shared" ref="W8:W28" si="3">$O8*F8</f>
        <v>272.86593314672365</v>
      </c>
      <c r="X8" s="1">
        <f t="shared" ref="X8:X28" si="4">-$O8*G8</f>
        <v>-218.29274651737893</v>
      </c>
      <c r="Y8" s="1">
        <f t="shared" ref="Y8:Y28" si="5">-$O8*H8</f>
        <v>-323</v>
      </c>
      <c r="Z8" s="1"/>
      <c r="AA8" s="1">
        <f>SUM(W8:Z8)</f>
        <v>-268.42681337065528</v>
      </c>
      <c r="AB8" s="1">
        <f>S8-U8</f>
        <v>-40</v>
      </c>
      <c r="AC8" s="1"/>
      <c r="AD8" s="1">
        <f>SUM(AA8:AC8)</f>
        <v>-308.42681337065528</v>
      </c>
      <c r="AE8" s="1">
        <f>T8-V8</f>
        <v>-0.5</v>
      </c>
      <c r="AF8">
        <f>SUM(AD8:AE8)</f>
        <v>-308.92681337065528</v>
      </c>
    </row>
    <row r="9" spans="1:32">
      <c r="A9" t="s">
        <v>99</v>
      </c>
      <c r="B9" s="5">
        <v>0.01</v>
      </c>
      <c r="E9">
        <v>1</v>
      </c>
      <c r="I9" s="13">
        <f t="shared" ref="I9:I28" si="6">I8</f>
        <v>50000</v>
      </c>
      <c r="J9" s="5">
        <v>0.3</v>
      </c>
      <c r="K9" s="19">
        <f t="shared" ref="K9:K28" si="7">I9*J9/1000</f>
        <v>15</v>
      </c>
      <c r="L9">
        <f t="shared" ref="L9:L27" si="8">I9*$B$9/1000</f>
        <v>0.5</v>
      </c>
      <c r="M9" cm="1">
        <f t="array" ref="M9">_xlfn.IFS($J$1="Base Case After Incentive",Mortality_Table!E47,$J$1="Lower Bound Mortality After Incentive",Mortality_Table!F47,$J$1="Upper Bound Mortality After Incentive",Mortality_Table!G47)</f>
        <v>1.6188954599999999E-3</v>
      </c>
      <c r="N9" s="2">
        <f>$B$12</f>
        <v>1.04E-2</v>
      </c>
      <c r="O9">
        <f>R8</f>
        <v>1</v>
      </c>
      <c r="P9">
        <f>M9*O9/1000</f>
        <v>1.6188954599999999E-6</v>
      </c>
      <c r="Q9">
        <f>MIN(N9*O9,O9-P9)</f>
        <v>1.04E-2</v>
      </c>
      <c r="R9">
        <f>O9-SUM(P9:Q9)</f>
        <v>0.98959838110454001</v>
      </c>
      <c r="S9">
        <f>U8</f>
        <v>40</v>
      </c>
      <c r="T9">
        <f>V8</f>
        <v>0.5</v>
      </c>
      <c r="U9">
        <f t="shared" si="1"/>
        <v>14.843975716568099</v>
      </c>
      <c r="V9" s="1">
        <f t="shared" si="2"/>
        <v>0.49479919055227001</v>
      </c>
      <c r="W9" s="1">
        <f t="shared" si="3"/>
        <v>0</v>
      </c>
      <c r="X9" s="1">
        <f t="shared" si="4"/>
        <v>0</v>
      </c>
      <c r="Y9" s="1">
        <f t="shared" si="5"/>
        <v>0</v>
      </c>
      <c r="Z9" s="1">
        <f t="shared" ref="Z9:Z28" si="9">-P9*I9</f>
        <v>-8.0944772999999998E-2</v>
      </c>
      <c r="AA9" s="1">
        <f t="shared" ref="AA9:AA28" si="10">SUM(W9:Z9)</f>
        <v>-8.0944772999999998E-2</v>
      </c>
      <c r="AB9" s="1">
        <f t="shared" ref="AB9:AB28" si="11">-I9*O8*(J9-J8)/1000</f>
        <v>25</v>
      </c>
      <c r="AC9" s="1">
        <f>$B$10*SUM(S9:T9,W9:X9)</f>
        <v>2.2275</v>
      </c>
      <c r="AD9" s="1">
        <f t="shared" ref="AD9:AD28" si="12">SUM(AA9:AC9)</f>
        <v>27.146555227</v>
      </c>
      <c r="AE9" s="1">
        <f t="shared" ref="AE9:AE28" si="13">T9-V9</f>
        <v>5.2008094477299927E-3</v>
      </c>
      <c r="AF9">
        <f t="shared" ref="AF9:AF28" si="14">SUM(AD9:AE9)</f>
        <v>27.151756036447729</v>
      </c>
    </row>
    <row r="10" spans="1:32">
      <c r="A10" t="s">
        <v>100</v>
      </c>
      <c r="B10" s="6">
        <v>5.5E-2</v>
      </c>
      <c r="E10">
        <v>2</v>
      </c>
      <c r="F10" s="13" cm="1">
        <f t="array" ref="F10">_xlfn.IFS(AND(E10&gt;=0,E10&lt;=2),$B$7*(1-$B$21),AND(E10&gt;=3,E10&lt;=5),$B$7*(1-$B$22),AND(E10&gt;=6,E10&lt;=10),$B$7*(1-$B$23),AND(E10&gt;=11,E10&lt;=20),$B$7*(1-$B$24))</f>
        <v>272.86593314672365</v>
      </c>
      <c r="G10">
        <f>F10*$B$18</f>
        <v>13.643296657336183</v>
      </c>
      <c r="H10">
        <f t="shared" ref="H10:H28" si="15">$B$20</f>
        <v>218</v>
      </c>
      <c r="I10" s="13">
        <f t="shared" si="6"/>
        <v>50000</v>
      </c>
      <c r="J10" s="5">
        <v>0.4</v>
      </c>
      <c r="K10" s="19">
        <f t="shared" si="7"/>
        <v>20</v>
      </c>
      <c r="L10">
        <f t="shared" si="8"/>
        <v>0.5</v>
      </c>
      <c r="M10" cm="1">
        <f t="array" ref="M10">_xlfn.IFS($J$1="Base Case After Incentive",Mortality_Table!E48,$J$1="Lower Bound Mortality After Incentive",Mortality_Table!F48,$J$1="Upper Bound Mortality After Incentive",Mortality_Table!G48)</f>
        <v>1.7557649200000002E-3</v>
      </c>
      <c r="N10" s="2">
        <f>$B$13</f>
        <v>3.5099999999999999E-2</v>
      </c>
      <c r="O10">
        <f t="shared" ref="O10:O28" si="16">R9</f>
        <v>0.98959838110454001</v>
      </c>
      <c r="P10">
        <f t="shared" ref="P10:P28" si="17">M10*O10/1000</f>
        <v>1.7375021224321424E-6</v>
      </c>
      <c r="Q10">
        <f t="shared" ref="Q10:Q28" si="18">MIN(N10*O10,O10-P10)</f>
        <v>3.4734903176769354E-2</v>
      </c>
      <c r="R10">
        <f t="shared" ref="R10:R28" si="19">O10-SUM(P10:Q10)</f>
        <v>0.9548617404256482</v>
      </c>
      <c r="S10">
        <f t="shared" ref="S10:S28" si="20">U9</f>
        <v>14.843975716568099</v>
      </c>
      <c r="T10">
        <f t="shared" ref="T10:T28" si="21">V9</f>
        <v>0.49479919055227001</v>
      </c>
      <c r="U10">
        <f t="shared" si="1"/>
        <v>19.097234808512965</v>
      </c>
      <c r="V10" s="1">
        <f t="shared" si="2"/>
        <v>0.4774308702128241</v>
      </c>
      <c r="W10" s="1">
        <f t="shared" si="3"/>
        <v>270.02768570057736</v>
      </c>
      <c r="X10" s="1">
        <f t="shared" si="4"/>
        <v>-13.50138428502887</v>
      </c>
      <c r="Y10" s="1">
        <f t="shared" si="5"/>
        <v>-215.73244708078971</v>
      </c>
      <c r="Z10" s="1">
        <f t="shared" si="9"/>
        <v>-8.6875106121607121E-2</v>
      </c>
      <c r="AA10" s="1">
        <f t="shared" si="10"/>
        <v>40.706979228637195</v>
      </c>
      <c r="AB10" s="1">
        <f t="shared" si="11"/>
        <v>-5.0000000000000018</v>
      </c>
      <c r="AC10" s="1">
        <f t="shared" ref="AC10:AC28" si="22">$B$10*SUM(S10:T10,W10:X10)</f>
        <v>14.952579197746788</v>
      </c>
      <c r="AD10" s="1">
        <f t="shared" si="12"/>
        <v>50.659558426383981</v>
      </c>
      <c r="AE10" s="1">
        <f t="shared" si="13"/>
        <v>1.7368320339445908E-2</v>
      </c>
      <c r="AF10">
        <f t="shared" si="14"/>
        <v>50.676926746723424</v>
      </c>
    </row>
    <row r="11" spans="1:32">
      <c r="A11" t="s">
        <v>101</v>
      </c>
      <c r="B11" s="6">
        <v>7.3800000000000004E-2</v>
      </c>
      <c r="E11">
        <v>3</v>
      </c>
      <c r="F11" s="13" cm="1">
        <f t="array" ref="F11">_xlfn.IFS(AND(E11&gt;=0,E11&lt;=2),$B$7*(1-$B$21),AND(E11&gt;=3,E11&lt;=5),$B$7*(1-$B$22),AND(E11&gt;=6,E11&lt;=10),$B$7*(1-$B$23),AND(E11&gt;=11,E11&lt;=20),$B$7*(1-$B$24))</f>
        <v>267.29724063352523</v>
      </c>
      <c r="G11">
        <f t="shared" ref="G11:G28" si="23">F11*$B$18</f>
        <v>13.364862031676262</v>
      </c>
      <c r="H11">
        <f t="shared" si="15"/>
        <v>218</v>
      </c>
      <c r="I11" s="13">
        <f t="shared" si="6"/>
        <v>50000</v>
      </c>
      <c r="J11" s="5">
        <v>0.4</v>
      </c>
      <c r="K11" s="19">
        <f t="shared" si="7"/>
        <v>20</v>
      </c>
      <c r="L11">
        <f t="shared" si="8"/>
        <v>0.5</v>
      </c>
      <c r="M11" cm="1">
        <f t="array" ref="M11">_xlfn.IFS($J$1="Base Case After Incentive",Mortality_Table!E49,$J$1="Lower Bound Mortality After Incentive",Mortality_Table!F49,$J$1="Upper Bound Mortality After Incentive",Mortality_Table!G49)</f>
        <v>1.9170442199999999E-3</v>
      </c>
      <c r="N11" s="2">
        <f t="shared" ref="N11:N13" si="24">$B$13</f>
        <v>3.5099999999999999E-2</v>
      </c>
      <c r="O11">
        <f t="shared" si="16"/>
        <v>0.9548617404256482</v>
      </c>
      <c r="P11">
        <f t="shared" si="17"/>
        <v>1.8305121803821292E-6</v>
      </c>
      <c r="Q11">
        <f t="shared" si="18"/>
        <v>3.3515647088940254E-2</v>
      </c>
      <c r="R11">
        <f t="shared" si="19"/>
        <v>0.92134426282452753</v>
      </c>
      <c r="S11">
        <f t="shared" si="20"/>
        <v>19.097234808512965</v>
      </c>
      <c r="T11">
        <f t="shared" si="21"/>
        <v>0.4774308702128241</v>
      </c>
      <c r="U11">
        <f t="shared" si="1"/>
        <v>18.42688525649055</v>
      </c>
      <c r="V11" s="1">
        <f t="shared" si="2"/>
        <v>0.46067213141226376</v>
      </c>
      <c r="W11" s="1">
        <f t="shared" si="3"/>
        <v>255.2319084023012</v>
      </c>
      <c r="X11" s="1">
        <f t="shared" si="4"/>
        <v>-12.761595420115061</v>
      </c>
      <c r="Y11" s="1">
        <f t="shared" si="5"/>
        <v>-208.15985941279132</v>
      </c>
      <c r="Z11" s="1">
        <f t="shared" si="9"/>
        <v>-9.152560901910646E-2</v>
      </c>
      <c r="AA11" s="1">
        <f t="shared" si="10"/>
        <v>34.218927960375702</v>
      </c>
      <c r="AB11" s="1">
        <f t="shared" si="11"/>
        <v>0</v>
      </c>
      <c r="AC11" s="1">
        <f t="shared" si="22"/>
        <v>14.412473826350158</v>
      </c>
      <c r="AD11" s="1">
        <f t="shared" si="12"/>
        <v>48.63140178672586</v>
      </c>
      <c r="AE11" s="1">
        <f t="shared" si="13"/>
        <v>1.6758738800560335E-2</v>
      </c>
      <c r="AF11">
        <f t="shared" si="14"/>
        <v>48.648160525526421</v>
      </c>
    </row>
    <row r="12" spans="1:32">
      <c r="A12" t="s">
        <v>102</v>
      </c>
      <c r="B12" s="6">
        <v>1.04E-2</v>
      </c>
      <c r="E12">
        <v>4</v>
      </c>
      <c r="F12" s="13" cm="1">
        <f t="array" ref="F12">_xlfn.IFS(AND(E12&gt;=0,E12&lt;=2),$B$7*(1-$B$21),AND(E12&gt;=3,E12&lt;=5),$B$7*(1-$B$22),AND(E12&gt;=6,E12&lt;=10),$B$7*(1-$B$23),AND(E12&gt;=11,E12&lt;=20),$B$7*(1-$B$24))</f>
        <v>267.29724063352523</v>
      </c>
      <c r="G12">
        <f t="shared" si="23"/>
        <v>13.364862031676262</v>
      </c>
      <c r="H12">
        <f t="shared" si="15"/>
        <v>218</v>
      </c>
      <c r="I12" s="13">
        <f t="shared" si="6"/>
        <v>50000</v>
      </c>
      <c r="J12" s="5">
        <v>0.4</v>
      </c>
      <c r="K12" s="19">
        <f t="shared" si="7"/>
        <v>20</v>
      </c>
      <c r="L12">
        <f t="shared" si="8"/>
        <v>0.5</v>
      </c>
      <c r="M12" cm="1">
        <f t="array" ref="M12">_xlfn.IFS($J$1="Base Case After Incentive",Mortality_Table!E50,$J$1="Lower Bound Mortality After Incentive",Mortality_Table!F50,$J$1="Upper Bound Mortality After Incentive",Mortality_Table!G50)</f>
        <v>2.1018615799999999E-3</v>
      </c>
      <c r="N12" s="2">
        <f t="shared" si="24"/>
        <v>3.5099999999999999E-2</v>
      </c>
      <c r="O12">
        <f t="shared" si="16"/>
        <v>0.92134426282452753</v>
      </c>
      <c r="P12">
        <f t="shared" si="17"/>
        <v>1.9365381079842966E-6</v>
      </c>
      <c r="Q12">
        <f t="shared" si="18"/>
        <v>3.2339183625140919E-2</v>
      </c>
      <c r="R12">
        <f t="shared" si="19"/>
        <v>0.88900314266127867</v>
      </c>
      <c r="S12">
        <f t="shared" si="20"/>
        <v>18.42688525649055</v>
      </c>
      <c r="T12">
        <f t="shared" si="21"/>
        <v>0.46067213141226376</v>
      </c>
      <c r="U12">
        <f t="shared" si="1"/>
        <v>17.780062853225573</v>
      </c>
      <c r="V12" s="1">
        <f t="shared" si="2"/>
        <v>0.44450157133063933</v>
      </c>
      <c r="W12" s="1">
        <f t="shared" si="3"/>
        <v>246.27277912652565</v>
      </c>
      <c r="X12" s="1">
        <f t="shared" si="4"/>
        <v>-12.313638956326283</v>
      </c>
      <c r="Y12" s="1">
        <f t="shared" si="5"/>
        <v>-200.85304929574701</v>
      </c>
      <c r="Z12" s="1">
        <f t="shared" si="9"/>
        <v>-9.6826905399214833E-2</v>
      </c>
      <c r="AA12" s="1">
        <f t="shared" si="10"/>
        <v>33.009263969053137</v>
      </c>
      <c r="AB12" s="1">
        <f t="shared" si="11"/>
        <v>0</v>
      </c>
      <c r="AC12" s="1">
        <f t="shared" si="22"/>
        <v>13.906568365695621</v>
      </c>
      <c r="AD12" s="1">
        <f t="shared" si="12"/>
        <v>46.915832334748757</v>
      </c>
      <c r="AE12" s="1">
        <f t="shared" si="13"/>
        <v>1.617056008162443E-2</v>
      </c>
      <c r="AF12">
        <f t="shared" si="14"/>
        <v>46.932002894830383</v>
      </c>
    </row>
    <row r="13" spans="1:32">
      <c r="A13" t="s">
        <v>103</v>
      </c>
      <c r="B13" s="6">
        <v>3.5099999999999999E-2</v>
      </c>
      <c r="E13">
        <v>5</v>
      </c>
      <c r="F13" s="13" cm="1">
        <f t="array" ref="F13">_xlfn.IFS(AND(E13&gt;=0,E13&lt;=2),$B$7*(1-$B$21),AND(E13&gt;=3,E13&lt;=5),$B$7*(1-$B$22),AND(E13&gt;=6,E13&lt;=10),$B$7*(1-$B$23),AND(E13&gt;=11,E13&lt;=20),$B$7*(1-$B$24))</f>
        <v>267.29724063352523</v>
      </c>
      <c r="G13">
        <f t="shared" si="23"/>
        <v>13.364862031676262</v>
      </c>
      <c r="H13">
        <f t="shared" si="15"/>
        <v>218</v>
      </c>
      <c r="I13" s="13">
        <f t="shared" si="6"/>
        <v>50000</v>
      </c>
      <c r="J13" s="5">
        <v>0.4</v>
      </c>
      <c r="K13" s="19">
        <f t="shared" si="7"/>
        <v>20</v>
      </c>
      <c r="L13">
        <f t="shared" si="8"/>
        <v>0.5</v>
      </c>
      <c r="M13" cm="1">
        <f t="array" ref="M13">_xlfn.IFS($J$1="Base Case After Incentive",Mortality_Table!E51,$J$1="Lower Bound Mortality After Incentive",Mortality_Table!F51,$J$1="Upper Bound Mortality After Incentive",Mortality_Table!G51)</f>
        <v>2.2971403000000001E-3</v>
      </c>
      <c r="N13" s="2">
        <f t="shared" si="24"/>
        <v>3.5099999999999999E-2</v>
      </c>
      <c r="O13">
        <f t="shared" si="16"/>
        <v>0.88900314266127867</v>
      </c>
      <c r="P13">
        <f t="shared" si="17"/>
        <v>2.0421649458338725E-6</v>
      </c>
      <c r="Q13">
        <f t="shared" si="18"/>
        <v>3.1204010307410882E-2</v>
      </c>
      <c r="R13">
        <f t="shared" si="19"/>
        <v>0.85779709018892192</v>
      </c>
      <c r="S13">
        <f t="shared" si="20"/>
        <v>17.780062853225573</v>
      </c>
      <c r="T13">
        <f t="shared" si="21"/>
        <v>0.44450157133063933</v>
      </c>
      <c r="U13">
        <f t="shared" si="1"/>
        <v>17.15594180377844</v>
      </c>
      <c r="V13" s="1">
        <f t="shared" si="2"/>
        <v>0.42889854509446096</v>
      </c>
      <c r="W13" s="1">
        <f t="shared" si="3"/>
        <v>237.62808694789197</v>
      </c>
      <c r="X13" s="1">
        <f t="shared" si="4"/>
        <v>-11.881404347394598</v>
      </c>
      <c r="Y13" s="1">
        <f t="shared" si="5"/>
        <v>-193.80268510015875</v>
      </c>
      <c r="Z13" s="1">
        <f t="shared" si="9"/>
        <v>-0.10210824729169363</v>
      </c>
      <c r="AA13" s="1">
        <f t="shared" si="10"/>
        <v>31.841889253046919</v>
      </c>
      <c r="AB13" s="1">
        <f t="shared" si="11"/>
        <v>0</v>
      </c>
      <c r="AC13" s="1">
        <f t="shared" si="22"/>
        <v>13.418418586377946</v>
      </c>
      <c r="AD13" s="1">
        <f t="shared" si="12"/>
        <v>45.260307839424868</v>
      </c>
      <c r="AE13" s="1">
        <f t="shared" si="13"/>
        <v>1.5603026236178374E-2</v>
      </c>
      <c r="AF13">
        <f t="shared" si="14"/>
        <v>45.275910865661047</v>
      </c>
    </row>
    <row r="14" spans="1:32">
      <c r="A14" t="s">
        <v>104</v>
      </c>
      <c r="B14" s="6">
        <v>7.6100000000000001E-2</v>
      </c>
      <c r="E14">
        <v>6</v>
      </c>
      <c r="F14" s="13" cm="1">
        <f t="array" ref="F14">_xlfn.IFS(AND(E14&gt;=0,E14&lt;=2),$B$7*(1-$B$21),AND(E14&gt;=3,E14&lt;=5),$B$7*(1-$B$22),AND(E14&gt;=6,E14&lt;=10),$B$7*(1-$B$23),AND(E14&gt;=11,E14&lt;=20),$B$7*(1-$B$24))</f>
        <v>258.94420186372753</v>
      </c>
      <c r="G14">
        <f t="shared" si="23"/>
        <v>12.947210093186378</v>
      </c>
      <c r="H14">
        <f t="shared" si="15"/>
        <v>218</v>
      </c>
      <c r="I14" s="13">
        <f t="shared" si="6"/>
        <v>50000</v>
      </c>
      <c r="J14" s="5">
        <v>0.4</v>
      </c>
      <c r="K14" s="19">
        <f t="shared" si="7"/>
        <v>20</v>
      </c>
      <c r="L14">
        <f t="shared" si="8"/>
        <v>0.5</v>
      </c>
      <c r="M14" cm="1">
        <f t="array" ref="M14">_xlfn.IFS($J$1="Base Case After Incentive",Mortality_Table!E52,$J$1="Lower Bound Mortality After Incentive",Mortality_Table!F52,$J$1="Upper Bound Mortality After Incentive",Mortality_Table!G52)</f>
        <v>2.51159818E-3</v>
      </c>
      <c r="N14" s="2">
        <f>$B$14</f>
        <v>7.6100000000000001E-2</v>
      </c>
      <c r="O14">
        <f t="shared" si="16"/>
        <v>0.85779709018892192</v>
      </c>
      <c r="P14">
        <f t="shared" si="17"/>
        <v>2.1544416105277918E-6</v>
      </c>
      <c r="Q14">
        <f t="shared" si="18"/>
        <v>6.5278358563376965E-2</v>
      </c>
      <c r="R14">
        <f t="shared" si="19"/>
        <v>0.79251657718393442</v>
      </c>
      <c r="S14">
        <f t="shared" si="20"/>
        <v>17.15594180377844</v>
      </c>
      <c r="T14">
        <f t="shared" si="21"/>
        <v>0.42889854509446096</v>
      </c>
      <c r="U14">
        <f t="shared" si="1"/>
        <v>15.850331543678688</v>
      </c>
      <c r="V14" s="1">
        <f t="shared" si="2"/>
        <v>0.39625828859196721</v>
      </c>
      <c r="W14" s="1">
        <f t="shared" si="3"/>
        <v>222.12158287999827</v>
      </c>
      <c r="X14" s="1">
        <f t="shared" si="4"/>
        <v>-11.106079143999915</v>
      </c>
      <c r="Y14" s="1">
        <f t="shared" si="5"/>
        <v>-186.99976566118497</v>
      </c>
      <c r="Z14" s="1">
        <f t="shared" si="9"/>
        <v>-0.10772208052638958</v>
      </c>
      <c r="AA14" s="1">
        <f t="shared" si="10"/>
        <v>23.908015994286995</v>
      </c>
      <c r="AB14" s="1">
        <f t="shared" si="11"/>
        <v>0</v>
      </c>
      <c r="AC14" s="1">
        <f t="shared" si="22"/>
        <v>12.57301892466792</v>
      </c>
      <c r="AD14" s="1">
        <f t="shared" si="12"/>
        <v>36.481034918954919</v>
      </c>
      <c r="AE14" s="1">
        <f t="shared" si="13"/>
        <v>3.2640256502493747E-2</v>
      </c>
      <c r="AF14">
        <f t="shared" si="14"/>
        <v>36.513675175457415</v>
      </c>
    </row>
    <row r="15" spans="1:32">
      <c r="A15" t="s">
        <v>105</v>
      </c>
      <c r="B15" s="6">
        <v>0.11899999999999999</v>
      </c>
      <c r="E15">
        <v>7</v>
      </c>
      <c r="F15" s="13" cm="1">
        <f t="array" ref="F15">_xlfn.IFS(AND(E15&gt;=0,E15&lt;=2),$B$7*(1-$B$21),AND(E15&gt;=3,E15&lt;=5),$B$7*(1-$B$22),AND(E15&gt;=6,E15&lt;=10),$B$7*(1-$B$23),AND(E15&gt;=11,E15&lt;=20),$B$7*(1-$B$24))</f>
        <v>258.94420186372753</v>
      </c>
      <c r="G15">
        <f t="shared" si="23"/>
        <v>12.947210093186378</v>
      </c>
      <c r="H15">
        <f t="shared" si="15"/>
        <v>218</v>
      </c>
      <c r="I15" s="13">
        <f t="shared" si="6"/>
        <v>50000</v>
      </c>
      <c r="J15" s="5">
        <v>0.4</v>
      </c>
      <c r="K15" s="19">
        <f t="shared" si="7"/>
        <v>20</v>
      </c>
      <c r="L15">
        <f t="shared" si="8"/>
        <v>0.5</v>
      </c>
      <c r="M15" cm="1">
        <f t="array" ref="M15">_xlfn.IFS($J$1="Base Case After Incentive",Mortality_Table!E53,$J$1="Lower Bound Mortality After Incentive",Mortality_Table!F53,$J$1="Upper Bound Mortality After Incentive",Mortality_Table!G53)</f>
        <v>2.7417480999999996E-3</v>
      </c>
      <c r="N15" s="2">
        <f t="shared" ref="N15:N18" si="25">$B$14</f>
        <v>7.6100000000000001E-2</v>
      </c>
      <c r="O15">
        <f t="shared" si="16"/>
        <v>0.79251657718393442</v>
      </c>
      <c r="P15">
        <f t="shared" si="17"/>
        <v>2.172880819712555E-6</v>
      </c>
      <c r="Q15">
        <f t="shared" si="18"/>
        <v>6.0310511523697409E-2</v>
      </c>
      <c r="R15">
        <f t="shared" si="19"/>
        <v>0.73220389277941733</v>
      </c>
      <c r="S15">
        <f t="shared" si="20"/>
        <v>15.850331543678688</v>
      </c>
      <c r="T15">
        <f t="shared" si="21"/>
        <v>0.39625828859196721</v>
      </c>
      <c r="U15">
        <f t="shared" si="1"/>
        <v>14.644077855588346</v>
      </c>
      <c r="V15" s="1">
        <f t="shared" si="2"/>
        <v>0.36610194638970867</v>
      </c>
      <c r="W15" s="1">
        <f t="shared" si="3"/>
        <v>205.21757254266711</v>
      </c>
      <c r="X15" s="1">
        <f t="shared" si="4"/>
        <v>-10.260878627133357</v>
      </c>
      <c r="Y15" s="1">
        <f t="shared" si="5"/>
        <v>-172.76861382609769</v>
      </c>
      <c r="Z15" s="1">
        <f t="shared" si="9"/>
        <v>-0.10864404098562774</v>
      </c>
      <c r="AA15" s="1">
        <f t="shared" si="10"/>
        <v>22.079436048450429</v>
      </c>
      <c r="AB15" s="1">
        <f t="shared" si="11"/>
        <v>0</v>
      </c>
      <c r="AC15" s="1">
        <f t="shared" si="22"/>
        <v>11.616180606129241</v>
      </c>
      <c r="AD15" s="1">
        <f t="shared" si="12"/>
        <v>33.695616654579666</v>
      </c>
      <c r="AE15" s="1">
        <f t="shared" si="13"/>
        <v>3.0156342202258546E-2</v>
      </c>
      <c r="AF15">
        <f t="shared" si="14"/>
        <v>33.725772996781927</v>
      </c>
    </row>
    <row r="16" spans="1:32">
      <c r="A16" t="s">
        <v>106</v>
      </c>
      <c r="B16" s="6">
        <v>0.15620000000000001</v>
      </c>
      <c r="E16">
        <v>8</v>
      </c>
      <c r="F16" s="13" cm="1">
        <f t="array" ref="F16">_xlfn.IFS(AND(E16&gt;=0,E16&lt;=2),$B$7*(1-$B$21),AND(E16&gt;=3,E16&lt;=5),$B$7*(1-$B$22),AND(E16&gt;=6,E16&lt;=10),$B$7*(1-$B$23),AND(E16&gt;=11,E16&lt;=20),$B$7*(1-$B$24))</f>
        <v>258.94420186372753</v>
      </c>
      <c r="G16">
        <f t="shared" si="23"/>
        <v>12.947210093186378</v>
      </c>
      <c r="H16">
        <f t="shared" si="15"/>
        <v>218</v>
      </c>
      <c r="I16" s="13">
        <f t="shared" si="6"/>
        <v>50000</v>
      </c>
      <c r="J16" s="5">
        <v>0.4</v>
      </c>
      <c r="K16" s="19">
        <f t="shared" si="7"/>
        <v>20</v>
      </c>
      <c r="L16">
        <f t="shared" si="8"/>
        <v>0.5</v>
      </c>
      <c r="M16" cm="1">
        <f t="array" ref="M16">_xlfn.IFS($J$1="Base Case After Incentive",Mortality_Table!E54,$J$1="Lower Bound Mortality After Incentive",Mortality_Table!F54,$J$1="Upper Bound Mortality After Incentive",Mortality_Table!G54)</f>
        <v>3.0067692199999998E-3</v>
      </c>
      <c r="N16" s="2">
        <f t="shared" si="25"/>
        <v>7.6100000000000001E-2</v>
      </c>
      <c r="O16">
        <f t="shared" si="16"/>
        <v>0.73220389277941733</v>
      </c>
      <c r="P16">
        <f t="shared" si="17"/>
        <v>2.2015681275733324E-6</v>
      </c>
      <c r="Q16">
        <f t="shared" si="18"/>
        <v>5.5720716240513661E-2</v>
      </c>
      <c r="R16">
        <f t="shared" si="19"/>
        <v>0.67648097497077608</v>
      </c>
      <c r="S16">
        <f t="shared" si="20"/>
        <v>14.644077855588346</v>
      </c>
      <c r="T16">
        <f t="shared" si="21"/>
        <v>0.36610194638970867</v>
      </c>
      <c r="U16">
        <f t="shared" si="1"/>
        <v>13.529619499415521</v>
      </c>
      <c r="V16" s="1">
        <f t="shared" si="2"/>
        <v>0.33824048748538804</v>
      </c>
      <c r="W16" s="1">
        <f t="shared" si="3"/>
        <v>189.59995261728054</v>
      </c>
      <c r="X16" s="1">
        <f t="shared" si="4"/>
        <v>-9.4799976308640286</v>
      </c>
      <c r="Y16" s="1">
        <f t="shared" si="5"/>
        <v>-159.62044862591299</v>
      </c>
      <c r="Z16" s="1">
        <f t="shared" si="9"/>
        <v>-0.11007840637866662</v>
      </c>
      <c r="AA16" s="1">
        <f t="shared" si="10"/>
        <v>20.389427954124852</v>
      </c>
      <c r="AB16" s="1">
        <f t="shared" si="11"/>
        <v>0</v>
      </c>
      <c r="AC16" s="1">
        <f t="shared" si="22"/>
        <v>10.732157413361701</v>
      </c>
      <c r="AD16" s="1">
        <f t="shared" si="12"/>
        <v>31.121585367486553</v>
      </c>
      <c r="AE16" s="1">
        <f t="shared" si="13"/>
        <v>2.7861458904320624E-2</v>
      </c>
      <c r="AF16">
        <f t="shared" si="14"/>
        <v>31.149446826390875</v>
      </c>
    </row>
    <row r="17" spans="1:32">
      <c r="A17" t="s">
        <v>107</v>
      </c>
      <c r="B17" s="7">
        <v>0.8</v>
      </c>
      <c r="E17">
        <v>9</v>
      </c>
      <c r="F17" s="13" cm="1">
        <f t="array" ref="F17">_xlfn.IFS(AND(E17&gt;=0,E17&lt;=2),$B$7*(1-$B$21),AND(E17&gt;=3,E17&lt;=5),$B$7*(1-$B$22),AND(E17&gt;=6,E17&lt;=10),$B$7*(1-$B$23),AND(E17&gt;=11,E17&lt;=20),$B$7*(1-$B$24))</f>
        <v>258.94420186372753</v>
      </c>
      <c r="G17">
        <f t="shared" si="23"/>
        <v>12.947210093186378</v>
      </c>
      <c r="H17">
        <f t="shared" si="15"/>
        <v>218</v>
      </c>
      <c r="I17" s="13">
        <f t="shared" si="6"/>
        <v>50000</v>
      </c>
      <c r="J17" s="5">
        <v>0.4</v>
      </c>
      <c r="K17" s="19">
        <f t="shared" si="7"/>
        <v>20</v>
      </c>
      <c r="L17">
        <f t="shared" si="8"/>
        <v>0.5</v>
      </c>
      <c r="M17" cm="1">
        <f t="array" ref="M17">_xlfn.IFS($J$1="Base Case After Incentive",Mortality_Table!E55,$J$1="Lower Bound Mortality After Incentive",Mortality_Table!F55,$J$1="Upper Bound Mortality After Incentive",Mortality_Table!G55)</f>
        <v>3.3084051E-3</v>
      </c>
      <c r="N17" s="2">
        <f t="shared" si="25"/>
        <v>7.6100000000000001E-2</v>
      </c>
      <c r="O17">
        <f t="shared" si="16"/>
        <v>0.67648097497077608</v>
      </c>
      <c r="P17">
        <f t="shared" si="17"/>
        <v>2.238073107646288E-6</v>
      </c>
      <c r="Q17">
        <f t="shared" si="18"/>
        <v>5.1480202195276062E-2</v>
      </c>
      <c r="R17">
        <f t="shared" si="19"/>
        <v>0.62499853470239242</v>
      </c>
      <c r="S17">
        <f t="shared" si="20"/>
        <v>13.529619499415521</v>
      </c>
      <c r="T17">
        <f t="shared" si="21"/>
        <v>0.33824048748538804</v>
      </c>
      <c r="U17">
        <f t="shared" si="1"/>
        <v>12.499970694047848</v>
      </c>
      <c r="V17" s="1">
        <f t="shared" si="2"/>
        <v>0.31249926735119621</v>
      </c>
      <c r="W17" s="1">
        <f t="shared" si="3"/>
        <v>175.17082613980386</v>
      </c>
      <c r="X17" s="1">
        <f t="shared" si="4"/>
        <v>-8.7585413069901943</v>
      </c>
      <c r="Y17" s="1">
        <f t="shared" si="5"/>
        <v>-147.47285254362919</v>
      </c>
      <c r="Z17" s="1">
        <f t="shared" si="9"/>
        <v>-0.11190365538231441</v>
      </c>
      <c r="AA17" s="1">
        <f t="shared" si="10"/>
        <v>18.827528633802167</v>
      </c>
      <c r="AB17" s="1">
        <f t="shared" si="11"/>
        <v>0</v>
      </c>
      <c r="AC17" s="1">
        <f t="shared" si="22"/>
        <v>9.9154079650843006</v>
      </c>
      <c r="AD17" s="1">
        <f t="shared" si="12"/>
        <v>28.742936598886466</v>
      </c>
      <c r="AE17" s="1">
        <f t="shared" si="13"/>
        <v>2.5741220134191833E-2</v>
      </c>
      <c r="AF17">
        <f t="shared" si="14"/>
        <v>28.76867781902066</v>
      </c>
    </row>
    <row r="18" spans="1:32">
      <c r="A18" t="s">
        <v>108</v>
      </c>
      <c r="B18" s="7">
        <v>0.05</v>
      </c>
      <c r="E18">
        <v>10</v>
      </c>
      <c r="F18" s="13" cm="1">
        <f t="array" ref="F18">_xlfn.IFS(AND(E18&gt;=0,E18&lt;=2),$B$7*(1-$B$21),AND(E18&gt;=3,E18&lt;=5),$B$7*(1-$B$22),AND(E18&gt;=6,E18&lt;=10),$B$7*(1-$B$23),AND(E18&gt;=11,E18&lt;=20),$B$7*(1-$B$24))</f>
        <v>258.94420186372753</v>
      </c>
      <c r="G18">
        <f t="shared" si="23"/>
        <v>12.947210093186378</v>
      </c>
      <c r="H18">
        <f t="shared" si="15"/>
        <v>218</v>
      </c>
      <c r="I18" s="13">
        <f t="shared" si="6"/>
        <v>50000</v>
      </c>
      <c r="J18" s="5">
        <v>0.4</v>
      </c>
      <c r="K18" s="19">
        <f t="shared" si="7"/>
        <v>20</v>
      </c>
      <c r="L18">
        <f t="shared" si="8"/>
        <v>0.5</v>
      </c>
      <c r="M18" cm="1">
        <f t="array" ref="M18">_xlfn.IFS($J$1="Base Case After Incentive",Mortality_Table!E56,$J$1="Lower Bound Mortality After Incentive",Mortality_Table!F56,$J$1="Upper Bound Mortality After Incentive",Mortality_Table!G56)</f>
        <v>3.6422968400000003E-3</v>
      </c>
      <c r="N18" s="2">
        <f t="shared" si="25"/>
        <v>7.6100000000000001E-2</v>
      </c>
      <c r="O18">
        <f t="shared" si="16"/>
        <v>0.62499853470239242</v>
      </c>
      <c r="P18">
        <f t="shared" si="17"/>
        <v>2.2764301879511543E-6</v>
      </c>
      <c r="Q18">
        <f t="shared" si="18"/>
        <v>4.7562388490852064E-2</v>
      </c>
      <c r="R18">
        <f t="shared" si="19"/>
        <v>0.57743386978135236</v>
      </c>
      <c r="S18">
        <f t="shared" si="20"/>
        <v>12.499970694047848</v>
      </c>
      <c r="T18">
        <f t="shared" si="21"/>
        <v>0.31249926735119621</v>
      </c>
      <c r="U18">
        <f t="shared" si="1"/>
        <v>11.548677395627047</v>
      </c>
      <c r="V18" s="1">
        <f t="shared" si="2"/>
        <v>0.28871693489067618</v>
      </c>
      <c r="W18" s="1">
        <f t="shared" si="3"/>
        <v>161.83974673451021</v>
      </c>
      <c r="X18" s="1">
        <f t="shared" si="4"/>
        <v>-8.0919873367255111</v>
      </c>
      <c r="Y18" s="1">
        <f t="shared" si="5"/>
        <v>-136.24968056512154</v>
      </c>
      <c r="Z18" s="1">
        <f t="shared" si="9"/>
        <v>-0.11382150939755771</v>
      </c>
      <c r="AA18" s="1">
        <f t="shared" si="10"/>
        <v>17.384257323265611</v>
      </c>
      <c r="AB18" s="1">
        <f t="shared" si="11"/>
        <v>0</v>
      </c>
      <c r="AC18" s="1">
        <f t="shared" si="22"/>
        <v>9.1608126147551072</v>
      </c>
      <c r="AD18" s="1">
        <f t="shared" si="12"/>
        <v>26.545069938020717</v>
      </c>
      <c r="AE18" s="1">
        <f t="shared" si="13"/>
        <v>2.3782332460520028E-2</v>
      </c>
      <c r="AF18">
        <f t="shared" si="14"/>
        <v>26.568852270481237</v>
      </c>
    </row>
    <row r="19" spans="1:32">
      <c r="A19" t="s">
        <v>109</v>
      </c>
      <c r="B19" s="12">
        <f>105+218</f>
        <v>323</v>
      </c>
      <c r="E19">
        <v>11</v>
      </c>
      <c r="F19" s="13" cm="1">
        <f t="array" ref="F19">_xlfn.IFS(AND(E19&gt;=0,E19&lt;=2),$B$7*(1-$B$21),AND(E19&gt;=3,E19&lt;=5),$B$7*(1-$B$22),AND(E19&gt;=6,E19&lt;=10),$B$7*(1-$B$23),AND(E19&gt;=11,E19&lt;=20),$B$7*(1-$B$24))</f>
        <v>250.59116309392991</v>
      </c>
      <c r="G19">
        <f t="shared" si="23"/>
        <v>12.529558154696495</v>
      </c>
      <c r="H19">
        <f t="shared" si="15"/>
        <v>218</v>
      </c>
      <c r="I19" s="13">
        <f t="shared" si="6"/>
        <v>50000</v>
      </c>
      <c r="J19" s="5">
        <v>0.4</v>
      </c>
      <c r="K19" s="19">
        <f t="shared" si="7"/>
        <v>20</v>
      </c>
      <c r="L19">
        <f t="shared" si="8"/>
        <v>0.5</v>
      </c>
      <c r="M19" cm="1">
        <f t="array" ref="M19">_xlfn.IFS($J$1="Base Case After Incentive",Mortality_Table!E57,$J$1="Lower Bound Mortality After Incentive",Mortality_Table!F57,$J$1="Upper Bound Mortality After Incentive",Mortality_Table!G57)</f>
        <v>4.0215211399999996E-3</v>
      </c>
      <c r="N19" s="2">
        <f>$B$15</f>
        <v>0.11899999999999999</v>
      </c>
      <c r="O19">
        <f t="shared" si="16"/>
        <v>0.57743386978135236</v>
      </c>
      <c r="P19">
        <f t="shared" si="17"/>
        <v>2.3221625142777156E-6</v>
      </c>
      <c r="Q19">
        <f t="shared" si="18"/>
        <v>6.8714630503980925E-2</v>
      </c>
      <c r="R19">
        <f t="shared" si="19"/>
        <v>0.50871691711485711</v>
      </c>
      <c r="S19">
        <f t="shared" si="20"/>
        <v>11.548677395627047</v>
      </c>
      <c r="T19">
        <f t="shared" si="21"/>
        <v>0.28871693489067618</v>
      </c>
      <c r="U19">
        <f t="shared" si="1"/>
        <v>10.174338342297142</v>
      </c>
      <c r="V19" s="1">
        <f t="shared" si="2"/>
        <v>0.25435845855742856</v>
      </c>
      <c r="W19" s="1">
        <f t="shared" si="3"/>
        <v>144.69982503833796</v>
      </c>
      <c r="X19" s="1">
        <f t="shared" si="4"/>
        <v>-7.234991251916898</v>
      </c>
      <c r="Y19" s="1">
        <f t="shared" si="5"/>
        <v>-125.88058361233482</v>
      </c>
      <c r="Z19" s="1">
        <f t="shared" si="9"/>
        <v>-0.11610812571388578</v>
      </c>
      <c r="AA19" s="1">
        <f t="shared" si="10"/>
        <v>11.46814204837235</v>
      </c>
      <c r="AB19" s="1">
        <f t="shared" si="11"/>
        <v>0</v>
      </c>
      <c r="AC19" s="1">
        <f t="shared" si="22"/>
        <v>8.2116225464316326</v>
      </c>
      <c r="AD19" s="1">
        <f t="shared" si="12"/>
        <v>19.679764594803984</v>
      </c>
      <c r="AE19" s="1">
        <f t="shared" si="13"/>
        <v>3.4358476333247623E-2</v>
      </c>
      <c r="AF19">
        <f t="shared" si="14"/>
        <v>19.71412307113723</v>
      </c>
    </row>
    <row r="20" spans="1:32">
      <c r="A20" t="s">
        <v>110</v>
      </c>
      <c r="B20" s="12">
        <v>218</v>
      </c>
      <c r="E20">
        <v>12</v>
      </c>
      <c r="F20" s="13" cm="1">
        <f t="array" ref="F20">_xlfn.IFS(AND(E20&gt;=0,E20&lt;=2),$B$7*(1-$B$21),AND(E20&gt;=3,E20&lt;=5),$B$7*(1-$B$22),AND(E20&gt;=6,E20&lt;=10),$B$7*(1-$B$23),AND(E20&gt;=11,E20&lt;=20),$B$7*(1-$B$24))</f>
        <v>250.59116309392991</v>
      </c>
      <c r="G20">
        <f t="shared" si="23"/>
        <v>12.529558154696495</v>
      </c>
      <c r="H20">
        <f t="shared" si="15"/>
        <v>218</v>
      </c>
      <c r="I20" s="13">
        <f t="shared" si="6"/>
        <v>50000</v>
      </c>
      <c r="J20" s="5">
        <v>0.4</v>
      </c>
      <c r="K20" s="19">
        <f t="shared" si="7"/>
        <v>20</v>
      </c>
      <c r="L20">
        <f t="shared" si="8"/>
        <v>0.5</v>
      </c>
      <c r="M20" cm="1">
        <f t="array" ref="M20">_xlfn.IFS($J$1="Base Case After Incentive",Mortality_Table!E58,$J$1="Lower Bound Mortality After Incentive",Mortality_Table!F58,$J$1="Upper Bound Mortality After Incentive",Mortality_Table!G58)</f>
        <v>4.4513086800000001E-3</v>
      </c>
      <c r="N20" s="2">
        <f t="shared" ref="N20:N23" si="26">$B$15</f>
        <v>0.11899999999999999</v>
      </c>
      <c r="O20">
        <f t="shared" si="16"/>
        <v>0.50871691711485711</v>
      </c>
      <c r="P20">
        <f t="shared" si="17"/>
        <v>2.2644560288162042E-6</v>
      </c>
      <c r="Q20">
        <f t="shared" si="18"/>
        <v>6.0537313136667992E-2</v>
      </c>
      <c r="R20">
        <f t="shared" si="19"/>
        <v>0.44817733952216032</v>
      </c>
      <c r="S20">
        <f t="shared" si="20"/>
        <v>10.174338342297142</v>
      </c>
      <c r="T20">
        <f t="shared" si="21"/>
        <v>0.25435845855742856</v>
      </c>
      <c r="U20">
        <f t="shared" si="1"/>
        <v>8.9635467904432069</v>
      </c>
      <c r="V20" s="1">
        <f t="shared" si="2"/>
        <v>0.22408866976108016</v>
      </c>
      <c r="W20" s="1">
        <f t="shared" si="3"/>
        <v>127.47996394537039</v>
      </c>
      <c r="X20" s="1">
        <f t="shared" si="4"/>
        <v>-6.3739981972685191</v>
      </c>
      <c r="Y20" s="1">
        <f t="shared" si="5"/>
        <v>-110.90028793103885</v>
      </c>
      <c r="Z20" s="1">
        <f t="shared" si="9"/>
        <v>-0.11322280144081021</v>
      </c>
      <c r="AA20" s="1">
        <f t="shared" si="10"/>
        <v>10.092455015622209</v>
      </c>
      <c r="AB20" s="1">
        <f t="shared" si="11"/>
        <v>0</v>
      </c>
      <c r="AC20" s="1">
        <f t="shared" si="22"/>
        <v>7.2344064401926049</v>
      </c>
      <c r="AD20" s="1">
        <f t="shared" si="12"/>
        <v>17.326861455814814</v>
      </c>
      <c r="AE20" s="1">
        <f t="shared" si="13"/>
        <v>3.0269788796348396E-2</v>
      </c>
      <c r="AF20">
        <f t="shared" si="14"/>
        <v>17.357131244611164</v>
      </c>
    </row>
    <row r="21" spans="1:32">
      <c r="A21" t="s">
        <v>111</v>
      </c>
      <c r="B21" s="37">
        <f>0.02</f>
        <v>0.02</v>
      </c>
      <c r="E21">
        <v>13</v>
      </c>
      <c r="F21" s="13" cm="1">
        <f t="array" ref="F21">_xlfn.IFS(AND(E21&gt;=0,E21&lt;=2),$B$7*(1-$B$21),AND(E21&gt;=3,E21&lt;=5),$B$7*(1-$B$22),AND(E21&gt;=6,E21&lt;=10),$B$7*(1-$B$23),AND(E21&gt;=11,E21&lt;=20),$B$7*(1-$B$24))</f>
        <v>250.59116309392991</v>
      </c>
      <c r="G21">
        <f t="shared" si="23"/>
        <v>12.529558154696495</v>
      </c>
      <c r="H21">
        <f t="shared" si="15"/>
        <v>218</v>
      </c>
      <c r="I21" s="13">
        <f t="shared" si="6"/>
        <v>50000</v>
      </c>
      <c r="J21" s="5">
        <v>0.4</v>
      </c>
      <c r="K21" s="19">
        <f t="shared" si="7"/>
        <v>20</v>
      </c>
      <c r="L21">
        <f t="shared" si="8"/>
        <v>0.5</v>
      </c>
      <c r="M21" cm="1">
        <f t="array" ref="M21">_xlfn.IFS($J$1="Base Case After Incentive",Mortality_Table!E59,$J$1="Lower Bound Mortality After Incentive",Mortality_Table!F59,$J$1="Upper Bound Mortality After Incentive",Mortality_Table!G59)</f>
        <v>4.8994036000000003E-3</v>
      </c>
      <c r="N21" s="2">
        <f t="shared" si="26"/>
        <v>0.11899999999999999</v>
      </c>
      <c r="O21">
        <f t="shared" si="16"/>
        <v>0.44817733952216032</v>
      </c>
      <c r="P21">
        <f t="shared" si="17"/>
        <v>2.1958016706932945E-6</v>
      </c>
      <c r="Q21">
        <f t="shared" si="18"/>
        <v>5.3333103403137079E-2</v>
      </c>
      <c r="R21">
        <f t="shared" si="19"/>
        <v>0.39484204031735254</v>
      </c>
      <c r="S21">
        <f t="shared" si="20"/>
        <v>8.9635467904432069</v>
      </c>
      <c r="T21">
        <f t="shared" si="21"/>
        <v>0.22408866976108016</v>
      </c>
      <c r="U21">
        <f t="shared" si="1"/>
        <v>7.8968408063470505</v>
      </c>
      <c r="V21" s="1">
        <f t="shared" si="2"/>
        <v>0.19742102015867627</v>
      </c>
      <c r="W21" s="1">
        <f t="shared" si="3"/>
        <v>112.30928078320127</v>
      </c>
      <c r="X21" s="1">
        <f t="shared" si="4"/>
        <v>-5.6154640391600639</v>
      </c>
      <c r="Y21" s="1">
        <f t="shared" si="5"/>
        <v>-97.702660015830944</v>
      </c>
      <c r="Z21" s="1">
        <f t="shared" si="9"/>
        <v>-0.10979008353466473</v>
      </c>
      <c r="AA21" s="1">
        <f t="shared" si="10"/>
        <v>8.881366644675607</v>
      </c>
      <c r="AB21" s="1">
        <f t="shared" si="11"/>
        <v>0</v>
      </c>
      <c r="AC21" s="1">
        <f t="shared" si="22"/>
        <v>6.3734798712335028</v>
      </c>
      <c r="AD21" s="1">
        <f t="shared" si="12"/>
        <v>15.25484651590911</v>
      </c>
      <c r="AE21" s="1">
        <f t="shared" si="13"/>
        <v>2.6667649602403892E-2</v>
      </c>
      <c r="AF21">
        <f t="shared" si="14"/>
        <v>15.281514165511513</v>
      </c>
    </row>
    <row r="22" spans="1:32">
      <c r="A22" t="s">
        <v>112</v>
      </c>
      <c r="B22" s="37">
        <f>0.04</f>
        <v>0.04</v>
      </c>
      <c r="E22">
        <v>14</v>
      </c>
      <c r="F22" s="13" cm="1">
        <f t="array" ref="F22">_xlfn.IFS(AND(E22&gt;=0,E22&lt;=2),$B$7*(1-$B$21),AND(E22&gt;=3,E22&lt;=5),$B$7*(1-$B$22),AND(E22&gt;=6,E22&lt;=10),$B$7*(1-$B$23),AND(E22&gt;=11,E22&lt;=20),$B$7*(1-$B$24))</f>
        <v>250.59116309392991</v>
      </c>
      <c r="G22">
        <f t="shared" si="23"/>
        <v>12.529558154696495</v>
      </c>
      <c r="H22">
        <f t="shared" si="15"/>
        <v>218</v>
      </c>
      <c r="I22" s="13">
        <f t="shared" si="6"/>
        <v>50000</v>
      </c>
      <c r="J22" s="5">
        <v>0.4</v>
      </c>
      <c r="K22" s="19">
        <f t="shared" si="7"/>
        <v>20</v>
      </c>
      <c r="L22">
        <f t="shared" si="8"/>
        <v>0.5</v>
      </c>
      <c r="M22" cm="1">
        <f t="array" ref="M22">_xlfn.IFS($J$1="Base Case After Incentive",Mortality_Table!E60,$J$1="Lower Bound Mortality After Incentive",Mortality_Table!F60,$J$1="Upper Bound Mortality After Incentive",Mortality_Table!G60)</f>
        <v>5.3788826E-3</v>
      </c>
      <c r="N22" s="2">
        <f t="shared" si="26"/>
        <v>0.11899999999999999</v>
      </c>
      <c r="O22">
        <f t="shared" si="16"/>
        <v>0.39484204031735254</v>
      </c>
      <c r="P22">
        <f t="shared" si="17"/>
        <v>2.1238089804115058E-6</v>
      </c>
      <c r="Q22">
        <f t="shared" si="18"/>
        <v>4.6986202797764949E-2</v>
      </c>
      <c r="R22">
        <f t="shared" si="19"/>
        <v>0.34785371371060719</v>
      </c>
      <c r="S22">
        <f t="shared" si="20"/>
        <v>7.8968408063470505</v>
      </c>
      <c r="T22">
        <f t="shared" si="21"/>
        <v>0.19742102015867627</v>
      </c>
      <c r="U22">
        <f t="shared" si="1"/>
        <v>6.9570742742121441</v>
      </c>
      <c r="V22" s="1">
        <f t="shared" si="2"/>
        <v>0.1739268568553036</v>
      </c>
      <c r="W22" s="1">
        <f t="shared" si="3"/>
        <v>98.94392612150574</v>
      </c>
      <c r="X22" s="1">
        <f t="shared" si="4"/>
        <v>-4.9471963060752868</v>
      </c>
      <c r="Y22" s="1">
        <f t="shared" si="5"/>
        <v>-86.075564789182849</v>
      </c>
      <c r="Z22" s="1">
        <f t="shared" si="9"/>
        <v>-0.1061904490205753</v>
      </c>
      <c r="AA22" s="1">
        <f t="shared" si="10"/>
        <v>7.8149745772270318</v>
      </c>
      <c r="AB22" s="1">
        <f t="shared" si="11"/>
        <v>0</v>
      </c>
      <c r="AC22" s="1">
        <f t="shared" si="22"/>
        <v>5.6150045403064901</v>
      </c>
      <c r="AD22" s="1">
        <f t="shared" si="12"/>
        <v>13.429979117533522</v>
      </c>
      <c r="AE22" s="1">
        <f t="shared" si="13"/>
        <v>2.3494163303372673E-2</v>
      </c>
      <c r="AF22">
        <f t="shared" si="14"/>
        <v>13.453473280836894</v>
      </c>
    </row>
    <row r="23" spans="1:32">
      <c r="A23" t="s">
        <v>113</v>
      </c>
      <c r="B23" s="37">
        <f>0.07</f>
        <v>7.0000000000000007E-2</v>
      </c>
      <c r="E23">
        <v>15</v>
      </c>
      <c r="F23" s="13" cm="1">
        <f t="array" ref="F23">_xlfn.IFS(AND(E23&gt;=0,E23&lt;=2),$B$7*(1-$B$21),AND(E23&gt;=3,E23&lt;=5),$B$7*(1-$B$22),AND(E23&gt;=6,E23&lt;=10),$B$7*(1-$B$23),AND(E23&gt;=11,E23&lt;=20),$B$7*(1-$B$24))</f>
        <v>250.59116309392991</v>
      </c>
      <c r="G23">
        <f t="shared" si="23"/>
        <v>12.529558154696495</v>
      </c>
      <c r="H23">
        <f t="shared" si="15"/>
        <v>218</v>
      </c>
      <c r="I23" s="13">
        <f t="shared" si="6"/>
        <v>50000</v>
      </c>
      <c r="J23" s="5">
        <v>0.4</v>
      </c>
      <c r="K23" s="19">
        <f t="shared" si="7"/>
        <v>20</v>
      </c>
      <c r="L23">
        <f t="shared" si="8"/>
        <v>0.5</v>
      </c>
      <c r="M23" cm="1">
        <f t="array" ref="M23">_xlfn.IFS($J$1="Base Case After Incentive",Mortality_Table!E61,$J$1="Lower Bound Mortality After Incentive",Mortality_Table!F61,$J$1="Upper Bound Mortality After Incentive",Mortality_Table!G61)</f>
        <v>5.9071812799999998E-3</v>
      </c>
      <c r="N23" s="2">
        <f t="shared" si="26"/>
        <v>0.11899999999999999</v>
      </c>
      <c r="O23">
        <f t="shared" si="16"/>
        <v>0.34785371371060719</v>
      </c>
      <c r="P23">
        <f t="shared" si="17"/>
        <v>2.0548349458097777E-6</v>
      </c>
      <c r="Q23">
        <f t="shared" si="18"/>
        <v>4.1394591931562252E-2</v>
      </c>
      <c r="R23">
        <f t="shared" si="19"/>
        <v>0.30645706694409913</v>
      </c>
      <c r="S23">
        <f t="shared" si="20"/>
        <v>6.9570742742121441</v>
      </c>
      <c r="T23">
        <f t="shared" si="21"/>
        <v>0.1739268568553036</v>
      </c>
      <c r="U23">
        <f t="shared" si="1"/>
        <v>6.1291413388819826</v>
      </c>
      <c r="V23" s="1">
        <f t="shared" si="2"/>
        <v>0.15322853347204957</v>
      </c>
      <c r="W23" s="1">
        <f t="shared" si="3"/>
        <v>87.169066705283967</v>
      </c>
      <c r="X23" s="1">
        <f t="shared" si="4"/>
        <v>-4.3584533352641985</v>
      </c>
      <c r="Y23" s="1">
        <f t="shared" si="5"/>
        <v>-75.832109588912374</v>
      </c>
      <c r="Z23" s="1">
        <f t="shared" si="9"/>
        <v>-0.10274174729048889</v>
      </c>
      <c r="AA23" s="1">
        <f t="shared" si="10"/>
        <v>6.875762033816903</v>
      </c>
      <c r="AB23" s="1">
        <f t="shared" si="11"/>
        <v>0</v>
      </c>
      <c r="AC23" s="1">
        <f t="shared" si="22"/>
        <v>4.9467887975597966</v>
      </c>
      <c r="AD23" s="1">
        <f t="shared" si="12"/>
        <v>11.822550831376699</v>
      </c>
      <c r="AE23" s="1">
        <f t="shared" si="13"/>
        <v>2.069832338325403E-2</v>
      </c>
      <c r="AF23">
        <f t="shared" si="14"/>
        <v>11.843249154759953</v>
      </c>
    </row>
    <row r="24" spans="1:32">
      <c r="A24" t="s">
        <v>114</v>
      </c>
      <c r="B24" s="37">
        <f>0.1</f>
        <v>0.1</v>
      </c>
      <c r="E24">
        <v>16</v>
      </c>
      <c r="F24" s="13" cm="1">
        <f t="array" ref="F24">_xlfn.IFS(AND(E24&gt;=0,E24&lt;=2),$B$7*(1-$B$21),AND(E24&gt;=3,E24&lt;=5),$B$7*(1-$B$22),AND(E24&gt;=6,E24&lt;=10),$B$7*(1-$B$23),AND(E24&gt;=11,E24&lt;=20),$B$7*(1-$B$24))</f>
        <v>250.59116309392991</v>
      </c>
      <c r="G24">
        <f t="shared" si="23"/>
        <v>12.529558154696495</v>
      </c>
      <c r="H24">
        <f t="shared" si="15"/>
        <v>218</v>
      </c>
      <c r="I24" s="13">
        <f t="shared" si="6"/>
        <v>50000</v>
      </c>
      <c r="J24" s="5">
        <v>0.4</v>
      </c>
      <c r="K24" s="19">
        <f t="shared" si="7"/>
        <v>20</v>
      </c>
      <c r="L24">
        <f t="shared" si="8"/>
        <v>0.5</v>
      </c>
      <c r="M24" cm="1">
        <f t="array" ref="M24">_xlfn.IFS($J$1="Base Case After Incentive",Mortality_Table!E62,$J$1="Lower Bound Mortality After Incentive",Mortality_Table!F62,$J$1="Upper Bound Mortality After Incentive",Mortality_Table!G62)</f>
        <v>6.5392217799999999E-3</v>
      </c>
      <c r="N24" s="2">
        <f>$B$16</f>
        <v>0.15620000000000001</v>
      </c>
      <c r="O24">
        <f t="shared" si="16"/>
        <v>0.30645706694409913</v>
      </c>
      <c r="P24">
        <f t="shared" si="17"/>
        <v>2.0039907267957708E-6</v>
      </c>
      <c r="Q24">
        <f t="shared" si="18"/>
        <v>4.7868593856668286E-2</v>
      </c>
      <c r="R24">
        <f t="shared" si="19"/>
        <v>0.25858646909670407</v>
      </c>
      <c r="S24">
        <f t="shared" si="20"/>
        <v>6.1291413388819826</v>
      </c>
      <c r="T24">
        <f t="shared" si="21"/>
        <v>0.15322853347204957</v>
      </c>
      <c r="U24">
        <f t="shared" si="1"/>
        <v>5.1717293819340817</v>
      </c>
      <c r="V24" s="1">
        <f t="shared" si="2"/>
        <v>0.12929323454835204</v>
      </c>
      <c r="W24" s="1">
        <f t="shared" si="3"/>
        <v>76.795432843876142</v>
      </c>
      <c r="X24" s="1">
        <f t="shared" si="4"/>
        <v>-3.8397716421938073</v>
      </c>
      <c r="Y24" s="1">
        <f t="shared" si="5"/>
        <v>-66.807640593813616</v>
      </c>
      <c r="Z24" s="1">
        <f t="shared" si="9"/>
        <v>-0.10019953633978854</v>
      </c>
      <c r="AA24" s="1">
        <f t="shared" si="10"/>
        <v>6.0478210715289276</v>
      </c>
      <c r="AB24" s="1">
        <f t="shared" si="11"/>
        <v>0</v>
      </c>
      <c r="AC24" s="1">
        <f t="shared" si="22"/>
        <v>4.3580917090719993</v>
      </c>
      <c r="AD24" s="1">
        <f t="shared" si="12"/>
        <v>10.405912780600927</v>
      </c>
      <c r="AE24" s="1">
        <f t="shared" si="13"/>
        <v>2.3935298923697529E-2</v>
      </c>
      <c r="AF24">
        <f t="shared" si="14"/>
        <v>10.429848079524625</v>
      </c>
    </row>
    <row r="25" spans="1:32">
      <c r="A25" s="4"/>
      <c r="E25">
        <v>17</v>
      </c>
      <c r="F25" s="13" cm="1">
        <f t="array" ref="F25">_xlfn.IFS(AND(E25&gt;=0,E25&lt;=2),$B$7*(1-$B$21),AND(E25&gt;=3,E25&lt;=5),$B$7*(1-$B$22),AND(E25&gt;=6,E25&lt;=10),$B$7*(1-$B$23),AND(E25&gt;=11,E25&lt;=20),$B$7*(1-$B$24))</f>
        <v>250.59116309392991</v>
      </c>
      <c r="G25">
        <f t="shared" si="23"/>
        <v>12.529558154696495</v>
      </c>
      <c r="H25">
        <f t="shared" si="15"/>
        <v>218</v>
      </c>
      <c r="I25" s="13">
        <f t="shared" si="6"/>
        <v>50000</v>
      </c>
      <c r="J25" s="5">
        <v>0.3</v>
      </c>
      <c r="K25" s="19">
        <f t="shared" si="7"/>
        <v>15</v>
      </c>
      <c r="L25">
        <f t="shared" si="8"/>
        <v>0.5</v>
      </c>
      <c r="M25" cm="1">
        <f t="array" ref="M25">_xlfn.IFS($J$1="Base Case After Incentive",Mortality_Table!E63,$J$1="Lower Bound Mortality After Incentive",Mortality_Table!F63,$J$1="Upper Bound Mortality After Incentive",Mortality_Table!G63)</f>
        <v>7.2131077200000004E-3</v>
      </c>
      <c r="N25" s="2">
        <f t="shared" ref="N25:N28" si="27">$B$16</f>
        <v>0.15620000000000001</v>
      </c>
      <c r="O25">
        <f t="shared" si="16"/>
        <v>0.25858646909670407</v>
      </c>
      <c r="P25">
        <f t="shared" si="17"/>
        <v>1.8652120565289776E-6</v>
      </c>
      <c r="Q25">
        <f t="shared" si="18"/>
        <v>4.0391206472905179E-2</v>
      </c>
      <c r="R25">
        <f t="shared" si="19"/>
        <v>0.21819339741174237</v>
      </c>
      <c r="S25">
        <f t="shared" si="20"/>
        <v>5.1717293819340817</v>
      </c>
      <c r="T25">
        <f t="shared" si="21"/>
        <v>0.12929323454835204</v>
      </c>
      <c r="U25">
        <f t="shared" si="1"/>
        <v>3.2729009611761355</v>
      </c>
      <c r="V25" s="1">
        <f t="shared" si="2"/>
        <v>0.10909669870587119</v>
      </c>
      <c r="W25" s="1">
        <f t="shared" si="3"/>
        <v>64.799484051295636</v>
      </c>
      <c r="X25" s="1">
        <f t="shared" si="4"/>
        <v>-3.239974202564782</v>
      </c>
      <c r="Y25" s="1">
        <f t="shared" si="5"/>
        <v>-56.371850263081491</v>
      </c>
      <c r="Z25" s="1">
        <f t="shared" si="9"/>
        <v>-9.326060282644888E-2</v>
      </c>
      <c r="AA25" s="1">
        <f t="shared" si="10"/>
        <v>5.0943989828229146</v>
      </c>
      <c r="AB25" s="1">
        <f t="shared" si="11"/>
        <v>1.5322853347204961</v>
      </c>
      <c r="AC25" s="1">
        <f t="shared" si="22"/>
        <v>3.6773292855867306</v>
      </c>
      <c r="AD25" s="1">
        <f t="shared" si="12"/>
        <v>10.304013603130141</v>
      </c>
      <c r="AE25" s="1">
        <f t="shared" si="13"/>
        <v>2.0196535842480851E-2</v>
      </c>
      <c r="AF25">
        <f t="shared" si="14"/>
        <v>10.324210138972621</v>
      </c>
    </row>
    <row r="26" spans="1:32">
      <c r="E26">
        <v>18</v>
      </c>
      <c r="F26" s="13" cm="1">
        <f t="array" ref="F26">_xlfn.IFS(AND(E26&gt;=0,E26&lt;=2),$B$7*(1-$B$21),AND(E26&gt;=3,E26&lt;=5),$B$7*(1-$B$22),AND(E26&gt;=6,E26&lt;=10),$B$7*(1-$B$23),AND(E26&gt;=11,E26&lt;=20),$B$7*(1-$B$24))</f>
        <v>250.59116309392991</v>
      </c>
      <c r="G26">
        <f t="shared" si="23"/>
        <v>12.529558154696495</v>
      </c>
      <c r="H26">
        <f t="shared" si="15"/>
        <v>218</v>
      </c>
      <c r="I26" s="13">
        <f t="shared" si="6"/>
        <v>50000</v>
      </c>
      <c r="J26" s="5">
        <v>0.2</v>
      </c>
      <c r="K26" s="19">
        <f t="shared" si="7"/>
        <v>10</v>
      </c>
      <c r="L26">
        <f t="shared" si="8"/>
        <v>0.5</v>
      </c>
      <c r="M26" cm="1">
        <f t="array" ref="M26">_xlfn.IFS($J$1="Base Case After Incentive",Mortality_Table!E64,$J$1="Lower Bound Mortality After Incentive",Mortality_Table!F64,$J$1="Upper Bound Mortality After Incentive",Mortality_Table!G64)</f>
        <v>7.8843783199999996E-3</v>
      </c>
      <c r="N26" s="2">
        <f t="shared" si="27"/>
        <v>0.15620000000000001</v>
      </c>
      <c r="O26">
        <f t="shared" si="16"/>
        <v>0.21819339741174237</v>
      </c>
      <c r="P26">
        <f t="shared" si="17"/>
        <v>1.7203192921202856E-6</v>
      </c>
      <c r="Q26">
        <f t="shared" si="18"/>
        <v>3.4081808675714163E-2</v>
      </c>
      <c r="R26">
        <f t="shared" si="19"/>
        <v>0.1841098684167361</v>
      </c>
      <c r="S26">
        <f t="shared" si="20"/>
        <v>3.2729009611761355</v>
      </c>
      <c r="T26">
        <f t="shared" si="21"/>
        <v>0.10909669870587119</v>
      </c>
      <c r="U26">
        <f t="shared" si="1"/>
        <v>1.8410986841673611</v>
      </c>
      <c r="V26" s="1">
        <f t="shared" si="2"/>
        <v>9.205493420836805E-2</v>
      </c>
      <c r="W26" s="1">
        <f t="shared" si="3"/>
        <v>54.677337236824599</v>
      </c>
      <c r="X26" s="1">
        <f t="shared" si="4"/>
        <v>-2.7338668618412298</v>
      </c>
      <c r="Y26" s="1">
        <f t="shared" si="5"/>
        <v>-47.566160635759836</v>
      </c>
      <c r="Z26" s="1">
        <f t="shared" si="9"/>
        <v>-8.6015964606014281E-2</v>
      </c>
      <c r="AA26" s="1">
        <f t="shared" si="10"/>
        <v>4.2912937746175199</v>
      </c>
      <c r="AB26" s="1">
        <f t="shared" si="11"/>
        <v>1.29293234548352</v>
      </c>
      <c r="AC26" s="1">
        <f t="shared" si="22"/>
        <v>3.0429007419175957</v>
      </c>
      <c r="AD26" s="1">
        <f t="shared" si="12"/>
        <v>8.6271268620186348</v>
      </c>
      <c r="AE26" s="1">
        <f t="shared" si="13"/>
        <v>1.7041764497503137E-2</v>
      </c>
      <c r="AF26">
        <f t="shared" si="14"/>
        <v>8.6441686265161373</v>
      </c>
    </row>
    <row r="27" spans="1:32">
      <c r="A27" s="4" t="s">
        <v>115</v>
      </c>
      <c r="E27">
        <v>19</v>
      </c>
      <c r="F27" s="13" cm="1">
        <f t="array" ref="F27">_xlfn.IFS(AND(E27&gt;=0,E27&lt;=2),$B$7*(1-$B$21),AND(E27&gt;=3,E27&lt;=5),$B$7*(1-$B$22),AND(E27&gt;=6,E27&lt;=10),$B$7*(1-$B$23),AND(E27&gt;=11,E27&lt;=20),$B$7*(1-$B$24))</f>
        <v>250.59116309392991</v>
      </c>
      <c r="G27">
        <f t="shared" si="23"/>
        <v>12.529558154696495</v>
      </c>
      <c r="H27">
        <f t="shared" si="15"/>
        <v>218</v>
      </c>
      <c r="I27" s="13">
        <f t="shared" si="6"/>
        <v>50000</v>
      </c>
      <c r="J27" s="5">
        <v>0.1</v>
      </c>
      <c r="K27" s="19">
        <f t="shared" si="7"/>
        <v>5</v>
      </c>
      <c r="L27">
        <f t="shared" si="8"/>
        <v>0.5</v>
      </c>
      <c r="M27" cm="1">
        <f t="array" ref="M27">_xlfn.IFS($J$1="Base Case After Incentive",Mortality_Table!E65,$J$1="Lower Bound Mortality After Incentive",Mortality_Table!F65,$J$1="Upper Bound Mortality After Incentive",Mortality_Table!G65)</f>
        <v>8.6227759800000005E-3</v>
      </c>
      <c r="N27" s="2">
        <f t="shared" si="27"/>
        <v>0.15620000000000001</v>
      </c>
      <c r="O27">
        <f t="shared" si="16"/>
        <v>0.1841098684167361</v>
      </c>
      <c r="P27">
        <f t="shared" si="17"/>
        <v>1.5875381510647928E-6</v>
      </c>
      <c r="Q27">
        <f t="shared" si="18"/>
        <v>2.875796144669418E-2</v>
      </c>
      <c r="R27">
        <f t="shared" si="19"/>
        <v>0.15535031943189084</v>
      </c>
      <c r="S27">
        <f t="shared" si="20"/>
        <v>1.8410986841673611</v>
      </c>
      <c r="T27">
        <f t="shared" si="21"/>
        <v>9.205493420836805E-2</v>
      </c>
      <c r="U27">
        <f t="shared" si="1"/>
        <v>0.77675159715945419</v>
      </c>
      <c r="V27" s="1">
        <f t="shared" si="2"/>
        <v>7.7675159715945422E-2</v>
      </c>
      <c r="W27" s="1">
        <f t="shared" si="3"/>
        <v>46.136306063620289</v>
      </c>
      <c r="X27" s="1">
        <f t="shared" si="4"/>
        <v>-2.3068153031810144</v>
      </c>
      <c r="Y27" s="1">
        <f t="shared" si="5"/>
        <v>-40.135951314848469</v>
      </c>
      <c r="Z27" s="1">
        <f t="shared" si="9"/>
        <v>-7.9376907553239645E-2</v>
      </c>
      <c r="AA27" s="1">
        <f t="shared" si="10"/>
        <v>3.6141625380375686</v>
      </c>
      <c r="AB27" s="1">
        <f t="shared" si="11"/>
        <v>1.090966987058712</v>
      </c>
      <c r="AC27" s="1">
        <f t="shared" si="22"/>
        <v>2.5169454408348253</v>
      </c>
      <c r="AD27" s="1">
        <f t="shared" si="12"/>
        <v>7.2220749659311059</v>
      </c>
      <c r="AE27" s="1">
        <f t="shared" si="13"/>
        <v>1.4379774492422628E-2</v>
      </c>
      <c r="AF27">
        <f t="shared" si="14"/>
        <v>7.2364547404235289</v>
      </c>
    </row>
    <row r="28" spans="1:32">
      <c r="E28">
        <v>20</v>
      </c>
      <c r="F28" s="13" cm="1">
        <f t="array" ref="F28">_xlfn.IFS(AND(E28&gt;=0,E28&lt;=2),$B$7*(1-$B$21),AND(E28&gt;=3,E28&lt;=5),$B$7*(1-$B$22),AND(E28&gt;=6,E28&lt;=10),$B$7*(1-$B$23),AND(E28&gt;=11,E28&lt;=20),$B$7*(1-$B$24))</f>
        <v>250.59116309392991</v>
      </c>
      <c r="G28">
        <f t="shared" si="23"/>
        <v>12.529558154696495</v>
      </c>
      <c r="H28">
        <f t="shared" si="15"/>
        <v>218</v>
      </c>
      <c r="I28" s="13">
        <f t="shared" si="6"/>
        <v>50000</v>
      </c>
      <c r="J28" s="5">
        <v>0</v>
      </c>
      <c r="K28" s="19">
        <f t="shared" si="7"/>
        <v>0</v>
      </c>
      <c r="M28" cm="1">
        <f t="array" ref="M28">_xlfn.IFS($J$1="Base Case After Incentive",Mortality_Table!E66,$J$1="Lower Bound Mortality After Incentive",Mortality_Table!F66,$J$1="Upper Bound Mortality After Incentive",Mortality_Table!G66)</f>
        <v>9.4082497599999992E-3</v>
      </c>
      <c r="N28" s="2">
        <f t="shared" si="27"/>
        <v>0.15620000000000001</v>
      </c>
      <c r="O28">
        <f t="shared" si="16"/>
        <v>0.15535031943189084</v>
      </c>
      <c r="P28">
        <f t="shared" si="17"/>
        <v>1.4615746055110103E-6</v>
      </c>
      <c r="Q28">
        <f t="shared" si="18"/>
        <v>2.4265719895261349E-2</v>
      </c>
      <c r="R28">
        <f t="shared" si="19"/>
        <v>0.13108313796202398</v>
      </c>
      <c r="S28">
        <f t="shared" si="20"/>
        <v>0.77675159715945419</v>
      </c>
      <c r="T28">
        <f t="shared" si="21"/>
        <v>7.7675159715945422E-2</v>
      </c>
      <c r="U28">
        <f t="shared" si="1"/>
        <v>0</v>
      </c>
      <c r="V28" s="1">
        <f t="shared" si="2"/>
        <v>0</v>
      </c>
      <c r="W28" s="1">
        <f t="shared" si="3"/>
        <v>38.929417233451069</v>
      </c>
      <c r="X28" s="1">
        <f t="shared" si="4"/>
        <v>-1.9464708616725532</v>
      </c>
      <c r="Y28" s="1">
        <f t="shared" si="5"/>
        <v>-33.866369636152207</v>
      </c>
      <c r="Z28" s="1">
        <f t="shared" si="9"/>
        <v>-7.3078730275550521E-2</v>
      </c>
      <c r="AA28" s="1">
        <f t="shared" si="10"/>
        <v>3.0434980053507599</v>
      </c>
      <c r="AB28" s="1">
        <f t="shared" si="11"/>
        <v>0.92054934208368056</v>
      </c>
      <c r="AC28" s="1">
        <f t="shared" si="22"/>
        <v>2.0810555220759652</v>
      </c>
      <c r="AD28" s="1">
        <f t="shared" si="12"/>
        <v>6.045102869510405</v>
      </c>
      <c r="AE28" s="1">
        <f t="shared" si="13"/>
        <v>7.7675159715945422E-2</v>
      </c>
      <c r="AF28">
        <f t="shared" si="14"/>
        <v>6.1227780292263505</v>
      </c>
    </row>
    <row r="30" spans="1:32">
      <c r="E30" s="3"/>
      <c r="V30" t="s">
        <v>116</v>
      </c>
      <c r="W30">
        <f>SUM(W8:W28)</f>
        <v>3087.9161142610469</v>
      </c>
      <c r="X30">
        <f t="shared" ref="X30:AF30" si="28">SUM(X8:X28)</f>
        <v>-359.04525557309512</v>
      </c>
      <c r="Y30">
        <f t="shared" si="28"/>
        <v>-2685.7985804923887</v>
      </c>
      <c r="Z30">
        <f t="shared" si="28"/>
        <v>-1.9904352821036448</v>
      </c>
      <c r="AA30">
        <f t="shared" si="28"/>
        <v>41.081842913459539</v>
      </c>
      <c r="AB30">
        <f t="shared" si="28"/>
        <v>-15.163265990653594</v>
      </c>
      <c r="AC30">
        <f t="shared" si="28"/>
        <v>160.97274239537995</v>
      </c>
      <c r="AD30">
        <f t="shared" si="28"/>
        <v>186.89131931818585</v>
      </c>
      <c r="AE30">
        <f t="shared" si="28"/>
        <v>0</v>
      </c>
      <c r="AF30">
        <f t="shared" si="28"/>
        <v>186.89131931818591</v>
      </c>
    </row>
    <row r="31" spans="1:32">
      <c r="V31" t="str">
        <f>"PV at "&amp;$B$10</f>
        <v>PV at 0.055</v>
      </c>
      <c r="W31">
        <f>W8+NPV($B$10,W9:W28)</f>
        <v>2140.8016488843446</v>
      </c>
      <c r="X31">
        <f t="shared" ref="X31:AF31" si="29">X8+NPV($B$10,X9:X28)</f>
        <v>-311.68953230426001</v>
      </c>
      <c r="Y31">
        <f t="shared" si="29"/>
        <v>-1880.6143804913577</v>
      </c>
      <c r="Z31">
        <f t="shared" si="29"/>
        <v>-1.1908549028282733</v>
      </c>
      <c r="AA31">
        <f t="shared" si="29"/>
        <v>-52.693118814101297</v>
      </c>
      <c r="AB31">
        <f t="shared" si="29"/>
        <v>-18.975737357622837</v>
      </c>
      <c r="AC31">
        <f t="shared" si="29"/>
        <v>107.41909293211104</v>
      </c>
      <c r="AD31">
        <f t="shared" si="29"/>
        <v>35.75023676038694</v>
      </c>
      <c r="AE31">
        <f t="shared" si="29"/>
        <v>-0.22255440329581933</v>
      </c>
      <c r="AF31">
        <f t="shared" si="29"/>
        <v>35.52768235709118</v>
      </c>
    </row>
    <row r="32" spans="1:32">
      <c r="V32" t="str">
        <f>"PV at "&amp;$B$11</f>
        <v>PV at 0.0738</v>
      </c>
      <c r="W32">
        <f>W8+NPV($B$11,W9:W28)</f>
        <v>1925.1027263858534</v>
      </c>
      <c r="X32">
        <f t="shared" ref="X32:AF32" si="30">X8+NPV($B$11,X9:X28)</f>
        <v>-300.90458617933541</v>
      </c>
      <c r="Y32">
        <f t="shared" si="30"/>
        <v>-1697.9980851554083</v>
      </c>
      <c r="Z32">
        <f t="shared" si="30"/>
        <v>-1.0234348365082948</v>
      </c>
      <c r="AA32">
        <f t="shared" si="30"/>
        <v>-74.823379785398288</v>
      </c>
      <c r="AB32">
        <f t="shared" si="30"/>
        <v>-19.735323636923997</v>
      </c>
      <c r="AC32">
        <f t="shared" si="30"/>
        <v>95.205594667615458</v>
      </c>
      <c r="AD32">
        <f t="shared" si="30"/>
        <v>0.64689124529320452</v>
      </c>
      <c r="AE32">
        <f t="shared" si="30"/>
        <v>-0.26710444271348577</v>
      </c>
      <c r="AF32">
        <f t="shared" si="30"/>
        <v>0.37978680257975839</v>
      </c>
    </row>
    <row r="34" spans="1:32">
      <c r="V34" t="s">
        <v>117</v>
      </c>
      <c r="W34">
        <f>AD32</f>
        <v>0.64689124529320452</v>
      </c>
    </row>
    <row r="35" spans="1:32">
      <c r="V35" t="s">
        <v>118</v>
      </c>
      <c r="W35">
        <f>AF32</f>
        <v>0.37978680257975839</v>
      </c>
    </row>
    <row r="37" spans="1:32">
      <c r="A37" s="4" t="str">
        <f>"Base Assumptions for "&amp;B39&amp;" Death benefit (M,NS,44,Moderate)"</f>
        <v>Base Assumptions for 100000 Death benefit (M,NS,44,Moderate)</v>
      </c>
      <c r="E37" s="8" t="s">
        <v>61</v>
      </c>
      <c r="F37" s="8"/>
      <c r="G37" s="8"/>
      <c r="H37" s="8"/>
      <c r="I37" s="8"/>
      <c r="J37" s="8"/>
      <c r="K37" s="8"/>
      <c r="L37" s="8"/>
      <c r="M37" s="9" t="s">
        <v>62</v>
      </c>
      <c r="N37" s="9"/>
      <c r="O37" s="9"/>
      <c r="P37" s="9"/>
      <c r="Q37" s="9"/>
      <c r="R37" s="9"/>
      <c r="S37" s="10" t="s">
        <v>63</v>
      </c>
      <c r="T37" s="10"/>
      <c r="U37" s="10"/>
      <c r="V37" s="11"/>
      <c r="W37" s="48" t="s">
        <v>64</v>
      </c>
      <c r="X37" s="48" t="s">
        <v>65</v>
      </c>
      <c r="Y37" s="48" t="s">
        <v>66</v>
      </c>
      <c r="Z37" s="48" t="s">
        <v>67</v>
      </c>
      <c r="AA37" s="48"/>
      <c r="AB37" s="48" t="s">
        <v>68</v>
      </c>
      <c r="AC37" s="48" t="s">
        <v>69</v>
      </c>
      <c r="AD37" s="48" t="s">
        <v>70</v>
      </c>
      <c r="AE37" s="48" t="s">
        <v>71</v>
      </c>
      <c r="AF37" s="48" t="s">
        <v>72</v>
      </c>
    </row>
    <row r="38" spans="1:32" ht="29.1">
      <c r="A38" t="s">
        <v>60</v>
      </c>
      <c r="B38" s="12">
        <v>280.47377740578884</v>
      </c>
      <c r="E38" t="s">
        <v>73</v>
      </c>
      <c r="F38" s="19" t="s">
        <v>60</v>
      </c>
      <c r="G38" s="19" t="s">
        <v>74</v>
      </c>
      <c r="H38" s="19" t="s">
        <v>46</v>
      </c>
      <c r="I38" s="1" t="s">
        <v>75</v>
      </c>
      <c r="J38" s="1" t="s">
        <v>76</v>
      </c>
      <c r="K38" s="1" t="s">
        <v>77</v>
      </c>
      <c r="L38" s="1" t="s">
        <v>78</v>
      </c>
      <c r="M38" s="1" t="s">
        <v>79</v>
      </c>
      <c r="N38" s="1" t="s">
        <v>80</v>
      </c>
      <c r="O38" s="1" t="s">
        <v>81</v>
      </c>
      <c r="P38" s="1" t="s">
        <v>82</v>
      </c>
      <c r="Q38" s="1" t="s">
        <v>83</v>
      </c>
      <c r="R38" s="1" t="s">
        <v>84</v>
      </c>
      <c r="S38" s="1" t="s">
        <v>85</v>
      </c>
      <c r="T38" s="1" t="s">
        <v>86</v>
      </c>
      <c r="U38" s="1" t="s">
        <v>87</v>
      </c>
      <c r="V38" s="1" t="s">
        <v>88</v>
      </c>
      <c r="W38" s="1" t="s">
        <v>89</v>
      </c>
      <c r="X38" s="1" t="s">
        <v>90</v>
      </c>
      <c r="Y38" s="1" t="s">
        <v>91</v>
      </c>
      <c r="Z38" s="1" t="s">
        <v>92</v>
      </c>
      <c r="AA38" s="1" t="s">
        <v>93</v>
      </c>
      <c r="AB38" s="1" t="s">
        <v>94</v>
      </c>
      <c r="AC38" s="1" t="s">
        <v>95</v>
      </c>
      <c r="AD38" s="1" t="s">
        <v>44</v>
      </c>
      <c r="AE38" s="1" t="s">
        <v>96</v>
      </c>
      <c r="AF38" s="1" t="s">
        <v>97</v>
      </c>
    </row>
    <row r="39" spans="1:32">
      <c r="A39" t="s">
        <v>98</v>
      </c>
      <c r="B39" s="12">
        <v>100000</v>
      </c>
      <c r="E39">
        <v>0</v>
      </c>
      <c r="F39" s="13" cm="1">
        <f t="array" ref="F39">_xlfn.IFS(AND(E39&gt;=0,E39&lt;=2),$B$38*(1-$B$21),AND(E39&gt;=3,E39&lt;=5),$B$38*(1-$B$22),AND(E39&gt;=6,E39&lt;=10),$B$38*(1-$B$23),AND(E39&gt;=11,E39&lt;=20),$B$38*(1-$B$24))</f>
        <v>274.86430185767307</v>
      </c>
      <c r="G39">
        <f>F39*$B$17</f>
        <v>219.89144148613846</v>
      </c>
      <c r="H39">
        <f>$B$19</f>
        <v>323</v>
      </c>
      <c r="I39" s="13">
        <f>$B39</f>
        <v>100000</v>
      </c>
      <c r="J39" s="5">
        <v>0.8</v>
      </c>
      <c r="K39" s="19">
        <f>I39*J39/1000</f>
        <v>80</v>
      </c>
      <c r="L39">
        <f>I39*$B$9/1000</f>
        <v>1</v>
      </c>
      <c r="O39">
        <v>1</v>
      </c>
      <c r="R39">
        <f>O39-SUM(P39:Q39)</f>
        <v>1</v>
      </c>
      <c r="U39">
        <f t="shared" ref="U39:U59" si="31">R39*K39</f>
        <v>80</v>
      </c>
      <c r="V39" s="1">
        <f t="shared" ref="V39:V59" si="32">R39*L39</f>
        <v>1</v>
      </c>
      <c r="W39" s="1">
        <f t="shared" ref="W39:W59" si="33">$O39*F39</f>
        <v>274.86430185767307</v>
      </c>
      <c r="X39" s="1">
        <f t="shared" ref="X39:X59" si="34">-$O39*G39</f>
        <v>-219.89144148613846</v>
      </c>
      <c r="Y39" s="1">
        <f t="shared" ref="Y39:Y59" si="35">-$O39*H39</f>
        <v>-323</v>
      </c>
      <c r="Z39" s="1"/>
      <c r="AA39" s="1">
        <f>SUM(W39:Z39)</f>
        <v>-268.02713962846542</v>
      </c>
      <c r="AB39" s="1">
        <f>S39-U39</f>
        <v>-80</v>
      </c>
      <c r="AC39" s="1"/>
      <c r="AD39" s="1">
        <f>SUM(AA39:AC39)</f>
        <v>-348.02713962846542</v>
      </c>
      <c r="AE39" s="1">
        <f>T39-V39</f>
        <v>-1</v>
      </c>
      <c r="AF39">
        <f>SUM(AD39:AE39)</f>
        <v>-349.02713962846542</v>
      </c>
    </row>
    <row r="40" spans="1:32">
      <c r="E40">
        <v>1</v>
      </c>
      <c r="I40" s="13">
        <f t="shared" ref="I40:I59" si="36">I39</f>
        <v>100000</v>
      </c>
      <c r="J40" s="5">
        <v>0.3</v>
      </c>
      <c r="K40" s="19">
        <f t="shared" ref="K40:K59" si="37">I40*J40/1000</f>
        <v>30</v>
      </c>
      <c r="L40">
        <f t="shared" ref="L40:L58" si="38">I40*$B$9/1000</f>
        <v>1</v>
      </c>
      <c r="M40">
        <f>M9</f>
        <v>1.6188954599999999E-3</v>
      </c>
      <c r="N40" s="2">
        <f>$B$12</f>
        <v>1.04E-2</v>
      </c>
      <c r="O40">
        <f>R39</f>
        <v>1</v>
      </c>
      <c r="P40">
        <f>M40*O40/1000</f>
        <v>1.6188954599999999E-6</v>
      </c>
      <c r="Q40">
        <f>MIN(N40*O40,O40-P40)</f>
        <v>1.04E-2</v>
      </c>
      <c r="R40">
        <f>O40-SUM(P40:Q40)</f>
        <v>0.98959838110454001</v>
      </c>
      <c r="S40">
        <f>U39</f>
        <v>80</v>
      </c>
      <c r="T40">
        <f>V39</f>
        <v>1</v>
      </c>
      <c r="U40">
        <f t="shared" si="31"/>
        <v>29.687951433136199</v>
      </c>
      <c r="V40" s="1">
        <f t="shared" si="32"/>
        <v>0.98959838110454001</v>
      </c>
      <c r="W40" s="1">
        <f t="shared" si="33"/>
        <v>0</v>
      </c>
      <c r="X40" s="1">
        <f t="shared" si="34"/>
        <v>0</v>
      </c>
      <c r="Y40" s="1">
        <f t="shared" si="35"/>
        <v>0</v>
      </c>
      <c r="Z40" s="1">
        <f t="shared" ref="Z40:Z59" si="39">-P40*I40</f>
        <v>-0.161889546</v>
      </c>
      <c r="AA40" s="1">
        <f t="shared" ref="AA40:AA59" si="40">SUM(W40:Z40)</f>
        <v>-0.161889546</v>
      </c>
      <c r="AB40" s="1">
        <f t="shared" ref="AB40:AB59" si="41">-I40*O39*(J40-J39)/1000</f>
        <v>50</v>
      </c>
      <c r="AC40" s="1">
        <f>$B$10*SUM(S40:T40,W40:X40)</f>
        <v>4.4550000000000001</v>
      </c>
      <c r="AD40" s="1">
        <f t="shared" ref="AD40:AD59" si="42">SUM(AA40:AC40)</f>
        <v>54.293110454000001</v>
      </c>
      <c r="AE40" s="1">
        <f t="shared" ref="AE40:AE59" si="43">T40-V40</f>
        <v>1.0401618895459985E-2</v>
      </c>
      <c r="AF40">
        <f t="shared" ref="AF40:AF59" si="44">SUM(AD40:AE40)</f>
        <v>54.303512072895458</v>
      </c>
    </row>
    <row r="41" spans="1:32">
      <c r="E41">
        <v>2</v>
      </c>
      <c r="F41" s="13" cm="1">
        <f t="array" ref="F41">_xlfn.IFS(AND(E41&gt;=0,E41&lt;=2),$B$38*(1-$B$21),AND(E41&gt;=3,E41&lt;=5),$B$38*(1-$B$22),AND(E41&gt;=6,E41&lt;=10),$B$38*(1-$B$23),AND(E41&gt;=11,E41&lt;=20),$B$38*(1-$B$24))</f>
        <v>274.86430185767307</v>
      </c>
      <c r="G41">
        <f>F41*$B$18</f>
        <v>13.743215092883654</v>
      </c>
      <c r="H41">
        <f t="shared" ref="H41:H59" si="45">$B$20</f>
        <v>218</v>
      </c>
      <c r="I41" s="13">
        <f t="shared" si="36"/>
        <v>100000</v>
      </c>
      <c r="J41" s="5">
        <v>0.4</v>
      </c>
      <c r="K41" s="19">
        <f t="shared" si="37"/>
        <v>40</v>
      </c>
      <c r="L41">
        <f t="shared" si="38"/>
        <v>1</v>
      </c>
      <c r="M41">
        <f t="shared" ref="M41:M59" si="46">M10</f>
        <v>1.7557649200000002E-3</v>
      </c>
      <c r="N41" s="2">
        <f>$B$13</f>
        <v>3.5099999999999999E-2</v>
      </c>
      <c r="O41">
        <f t="shared" ref="O41:O59" si="47">R40</f>
        <v>0.98959838110454001</v>
      </c>
      <c r="P41">
        <f t="shared" ref="P41:P59" si="48">M41*O41/1000</f>
        <v>1.7375021224321424E-6</v>
      </c>
      <c r="Q41">
        <f t="shared" ref="Q41:Q59" si="49">MIN(N41*O41,O41-P41)</f>
        <v>3.4734903176769354E-2</v>
      </c>
      <c r="R41">
        <f t="shared" ref="R41:R59" si="50">O41-SUM(P41:Q41)</f>
        <v>0.9548617404256482</v>
      </c>
      <c r="S41">
        <f t="shared" ref="S41:S59" si="51">U40</f>
        <v>29.687951433136199</v>
      </c>
      <c r="T41">
        <f t="shared" ref="T41:T59" si="52">V40</f>
        <v>0.98959838110454001</v>
      </c>
      <c r="U41">
        <f t="shared" si="31"/>
        <v>38.194469617025931</v>
      </c>
      <c r="V41" s="1">
        <f t="shared" si="32"/>
        <v>0.9548617404256482</v>
      </c>
      <c r="W41" s="1">
        <f t="shared" si="33"/>
        <v>272.00526814178289</v>
      </c>
      <c r="X41" s="1">
        <f t="shared" si="34"/>
        <v>-13.600263407089145</v>
      </c>
      <c r="Y41" s="1">
        <f t="shared" si="35"/>
        <v>-215.73244708078971</v>
      </c>
      <c r="Z41" s="1">
        <f t="shared" si="39"/>
        <v>-0.17375021224321424</v>
      </c>
      <c r="AA41" s="1">
        <f t="shared" si="40"/>
        <v>42.498807441660837</v>
      </c>
      <c r="AB41" s="1">
        <f t="shared" si="41"/>
        <v>-10.000000000000004</v>
      </c>
      <c r="AC41" s="1">
        <f t="shared" ref="AC41:AC59" si="53">$B$10*SUM(S41:T41,W41:X41)</f>
        <v>15.899540500191399</v>
      </c>
      <c r="AD41" s="1">
        <f t="shared" si="42"/>
        <v>48.398347941852229</v>
      </c>
      <c r="AE41" s="1">
        <f t="shared" si="43"/>
        <v>3.4736640678891817E-2</v>
      </c>
      <c r="AF41">
        <f t="shared" si="44"/>
        <v>48.433084582531123</v>
      </c>
    </row>
    <row r="42" spans="1:32">
      <c r="E42">
        <v>3</v>
      </c>
      <c r="F42" s="13" cm="1">
        <f t="array" ref="F42">_xlfn.IFS(AND(E42&gt;=0,E42&lt;=2),$B$38*(1-$B$21),AND(E42&gt;=3,E42&lt;=5),$B$38*(1-$B$22),AND(E42&gt;=6,E42&lt;=10),$B$38*(1-$B$23),AND(E42&gt;=11,E42&lt;=20),$B$38*(1-$B$24))</f>
        <v>269.2548263095573</v>
      </c>
      <c r="G42">
        <f t="shared" ref="G42:G59" si="54">F42*$B$18</f>
        <v>13.462741315477865</v>
      </c>
      <c r="H42">
        <f t="shared" si="45"/>
        <v>218</v>
      </c>
      <c r="I42" s="13">
        <f t="shared" si="36"/>
        <v>100000</v>
      </c>
      <c r="J42" s="5">
        <v>0.4</v>
      </c>
      <c r="K42" s="19">
        <f t="shared" si="37"/>
        <v>40</v>
      </c>
      <c r="L42">
        <f t="shared" si="38"/>
        <v>1</v>
      </c>
      <c r="M42">
        <f t="shared" si="46"/>
        <v>1.9170442199999999E-3</v>
      </c>
      <c r="N42" s="2">
        <f t="shared" ref="N42:N44" si="55">$B$13</f>
        <v>3.5099999999999999E-2</v>
      </c>
      <c r="O42">
        <f t="shared" si="47"/>
        <v>0.9548617404256482</v>
      </c>
      <c r="P42">
        <f t="shared" si="48"/>
        <v>1.8305121803821292E-6</v>
      </c>
      <c r="Q42">
        <f t="shared" si="49"/>
        <v>3.3515647088940254E-2</v>
      </c>
      <c r="R42">
        <f t="shared" si="50"/>
        <v>0.92134426282452753</v>
      </c>
      <c r="S42">
        <f t="shared" si="51"/>
        <v>38.194469617025931</v>
      </c>
      <c r="T42">
        <f t="shared" si="52"/>
        <v>0.9548617404256482</v>
      </c>
      <c r="U42">
        <f t="shared" si="31"/>
        <v>36.8537705129811</v>
      </c>
      <c r="V42" s="1">
        <f t="shared" si="32"/>
        <v>0.92134426282452753</v>
      </c>
      <c r="W42" s="1">
        <f t="shared" si="33"/>
        <v>257.10113206794949</v>
      </c>
      <c r="X42" s="1">
        <f t="shared" si="34"/>
        <v>-12.855056603397475</v>
      </c>
      <c r="Y42" s="1">
        <f t="shared" si="35"/>
        <v>-208.15985941279132</v>
      </c>
      <c r="Z42" s="1">
        <f t="shared" si="39"/>
        <v>-0.18305121803821292</v>
      </c>
      <c r="AA42" s="1">
        <f t="shared" si="40"/>
        <v>35.903164833722471</v>
      </c>
      <c r="AB42" s="1">
        <f t="shared" si="41"/>
        <v>0</v>
      </c>
      <c r="AC42" s="1">
        <f t="shared" si="53"/>
        <v>15.586747375210196</v>
      </c>
      <c r="AD42" s="1">
        <f t="shared" si="42"/>
        <v>51.489912208932665</v>
      </c>
      <c r="AE42" s="1">
        <f t="shared" si="43"/>
        <v>3.3517477601120671E-2</v>
      </c>
      <c r="AF42">
        <f t="shared" si="44"/>
        <v>51.523429686533788</v>
      </c>
    </row>
    <row r="43" spans="1:32">
      <c r="E43">
        <v>4</v>
      </c>
      <c r="F43" s="13" cm="1">
        <f t="array" ref="F43">_xlfn.IFS(AND(E43&gt;=0,E43&lt;=2),$B$38*(1-$B$21),AND(E43&gt;=3,E43&lt;=5),$B$38*(1-$B$22),AND(E43&gt;=6,E43&lt;=10),$B$38*(1-$B$23),AND(E43&gt;=11,E43&lt;=20),$B$38*(1-$B$24))</f>
        <v>269.2548263095573</v>
      </c>
      <c r="G43">
        <f t="shared" si="54"/>
        <v>13.462741315477865</v>
      </c>
      <c r="H43">
        <f t="shared" si="45"/>
        <v>218</v>
      </c>
      <c r="I43" s="13">
        <f t="shared" si="36"/>
        <v>100000</v>
      </c>
      <c r="J43" s="5">
        <v>0.4</v>
      </c>
      <c r="K43" s="19">
        <f t="shared" si="37"/>
        <v>40</v>
      </c>
      <c r="L43">
        <f t="shared" si="38"/>
        <v>1</v>
      </c>
      <c r="M43">
        <f t="shared" si="46"/>
        <v>2.1018615799999999E-3</v>
      </c>
      <c r="N43" s="2">
        <f t="shared" si="55"/>
        <v>3.5099999999999999E-2</v>
      </c>
      <c r="O43">
        <f t="shared" si="47"/>
        <v>0.92134426282452753</v>
      </c>
      <c r="P43">
        <f t="shared" si="48"/>
        <v>1.9365381079842966E-6</v>
      </c>
      <c r="Q43">
        <f t="shared" si="49"/>
        <v>3.2339183625140919E-2</v>
      </c>
      <c r="R43">
        <f t="shared" si="50"/>
        <v>0.88900314266127867</v>
      </c>
      <c r="S43">
        <f t="shared" si="51"/>
        <v>36.8537705129811</v>
      </c>
      <c r="T43">
        <f t="shared" si="52"/>
        <v>0.92134426282452753</v>
      </c>
      <c r="U43">
        <f t="shared" si="31"/>
        <v>35.560125706451146</v>
      </c>
      <c r="V43" s="1">
        <f t="shared" si="32"/>
        <v>0.88900314266127867</v>
      </c>
      <c r="W43" s="1">
        <f t="shared" si="33"/>
        <v>248.07638945812528</v>
      </c>
      <c r="X43" s="1">
        <f t="shared" si="34"/>
        <v>-12.403819472906264</v>
      </c>
      <c r="Y43" s="1">
        <f t="shared" si="35"/>
        <v>-200.85304929574701</v>
      </c>
      <c r="Z43" s="1">
        <f t="shared" si="39"/>
        <v>-0.19365381079842967</v>
      </c>
      <c r="AA43" s="1">
        <f t="shared" si="40"/>
        <v>34.62586687867357</v>
      </c>
      <c r="AB43" s="1">
        <f t="shared" si="41"/>
        <v>0</v>
      </c>
      <c r="AC43" s="1">
        <f t="shared" si="53"/>
        <v>15.039622661856354</v>
      </c>
      <c r="AD43" s="1">
        <f t="shared" si="42"/>
        <v>49.665489540529926</v>
      </c>
      <c r="AE43" s="1">
        <f t="shared" si="43"/>
        <v>3.234112016324886E-2</v>
      </c>
      <c r="AF43">
        <f t="shared" si="44"/>
        <v>49.697830660693171</v>
      </c>
    </row>
    <row r="44" spans="1:32">
      <c r="E44">
        <v>5</v>
      </c>
      <c r="F44" s="13" cm="1">
        <f t="array" ref="F44">_xlfn.IFS(AND(E44&gt;=0,E44&lt;=2),$B$38*(1-$B$21),AND(E44&gt;=3,E44&lt;=5),$B$38*(1-$B$22),AND(E44&gt;=6,E44&lt;=10),$B$38*(1-$B$23),AND(E44&gt;=11,E44&lt;=20),$B$38*(1-$B$24))</f>
        <v>269.2548263095573</v>
      </c>
      <c r="G44">
        <f t="shared" si="54"/>
        <v>13.462741315477865</v>
      </c>
      <c r="H44">
        <f t="shared" si="45"/>
        <v>218</v>
      </c>
      <c r="I44" s="13">
        <f t="shared" si="36"/>
        <v>100000</v>
      </c>
      <c r="J44" s="5">
        <v>0.4</v>
      </c>
      <c r="K44" s="19">
        <f t="shared" si="37"/>
        <v>40</v>
      </c>
      <c r="L44">
        <f t="shared" si="38"/>
        <v>1</v>
      </c>
      <c r="M44">
        <f t="shared" si="46"/>
        <v>2.2971403000000001E-3</v>
      </c>
      <c r="N44" s="2">
        <f t="shared" si="55"/>
        <v>3.5099999999999999E-2</v>
      </c>
      <c r="O44">
        <f t="shared" si="47"/>
        <v>0.88900314266127867</v>
      </c>
      <c r="P44">
        <f t="shared" si="48"/>
        <v>2.0421649458338725E-6</v>
      </c>
      <c r="Q44">
        <f t="shared" si="49"/>
        <v>3.1204010307410882E-2</v>
      </c>
      <c r="R44">
        <f t="shared" si="50"/>
        <v>0.85779709018892192</v>
      </c>
      <c r="S44">
        <f t="shared" si="51"/>
        <v>35.560125706451146</v>
      </c>
      <c r="T44">
        <f t="shared" si="52"/>
        <v>0.88900314266127867</v>
      </c>
      <c r="U44">
        <f t="shared" si="31"/>
        <v>34.311883607556879</v>
      </c>
      <c r="V44" s="1">
        <f t="shared" si="32"/>
        <v>0.85779709018892192</v>
      </c>
      <c r="W44" s="1">
        <f t="shared" si="33"/>
        <v>239.36838676591319</v>
      </c>
      <c r="X44" s="1">
        <f t="shared" si="34"/>
        <v>-11.968419338295659</v>
      </c>
      <c r="Y44" s="1">
        <f t="shared" si="35"/>
        <v>-193.80268510015875</v>
      </c>
      <c r="Z44" s="1">
        <f t="shared" si="39"/>
        <v>-0.20421649458338725</v>
      </c>
      <c r="AA44" s="1">
        <f t="shared" si="40"/>
        <v>33.393065832875386</v>
      </c>
      <c r="AB44" s="1">
        <f t="shared" si="41"/>
        <v>0</v>
      </c>
      <c r="AC44" s="1">
        <f t="shared" si="53"/>
        <v>14.51170029522015</v>
      </c>
      <c r="AD44" s="1">
        <f t="shared" si="42"/>
        <v>47.904766128095538</v>
      </c>
      <c r="AE44" s="1">
        <f t="shared" si="43"/>
        <v>3.1206052472356749E-2</v>
      </c>
      <c r="AF44">
        <f t="shared" si="44"/>
        <v>47.935972180567894</v>
      </c>
    </row>
    <row r="45" spans="1:32">
      <c r="E45">
        <v>6</v>
      </c>
      <c r="F45" s="13" cm="1">
        <f t="array" ref="F45">_xlfn.IFS(AND(E45&gt;=0,E45&lt;=2),$B$38*(1-$B$21),AND(E45&gt;=3,E45&lt;=5),$B$38*(1-$B$22),AND(E45&gt;=6,E45&lt;=10),$B$38*(1-$B$23),AND(E45&gt;=11,E45&lt;=20),$B$38*(1-$B$24))</f>
        <v>260.84061298738362</v>
      </c>
      <c r="G45">
        <f t="shared" si="54"/>
        <v>13.042030649369181</v>
      </c>
      <c r="H45">
        <f t="shared" si="45"/>
        <v>218</v>
      </c>
      <c r="I45" s="13">
        <f t="shared" si="36"/>
        <v>100000</v>
      </c>
      <c r="J45" s="5">
        <v>0.4</v>
      </c>
      <c r="K45" s="19">
        <f t="shared" si="37"/>
        <v>40</v>
      </c>
      <c r="L45">
        <f t="shared" si="38"/>
        <v>1</v>
      </c>
      <c r="M45">
        <f t="shared" si="46"/>
        <v>2.51159818E-3</v>
      </c>
      <c r="N45" s="2">
        <f>$B$14</f>
        <v>7.6100000000000001E-2</v>
      </c>
      <c r="O45">
        <f t="shared" si="47"/>
        <v>0.85779709018892192</v>
      </c>
      <c r="P45">
        <f t="shared" si="48"/>
        <v>2.1544416105277918E-6</v>
      </c>
      <c r="Q45">
        <f t="shared" si="49"/>
        <v>6.5278358563376965E-2</v>
      </c>
      <c r="R45">
        <f t="shared" si="50"/>
        <v>0.79251657718393442</v>
      </c>
      <c r="S45">
        <f t="shared" si="51"/>
        <v>34.311883607556879</v>
      </c>
      <c r="T45">
        <f t="shared" si="52"/>
        <v>0.85779709018892192</v>
      </c>
      <c r="U45">
        <f t="shared" si="31"/>
        <v>31.700663087357377</v>
      </c>
      <c r="V45" s="1">
        <f t="shared" si="32"/>
        <v>0.79251657718393442</v>
      </c>
      <c r="W45" s="1">
        <f t="shared" si="33"/>
        <v>223.74831882367238</v>
      </c>
      <c r="X45" s="1">
        <f t="shared" si="34"/>
        <v>-11.18741594118362</v>
      </c>
      <c r="Y45" s="1">
        <f t="shared" si="35"/>
        <v>-186.99976566118497</v>
      </c>
      <c r="Z45" s="1">
        <f t="shared" si="39"/>
        <v>-0.21544416105277917</v>
      </c>
      <c r="AA45" s="1">
        <f t="shared" si="40"/>
        <v>25.345693060251016</v>
      </c>
      <c r="AB45" s="1">
        <f t="shared" si="41"/>
        <v>0</v>
      </c>
      <c r="AC45" s="1">
        <f t="shared" si="53"/>
        <v>13.625182096912903</v>
      </c>
      <c r="AD45" s="1">
        <f t="shared" si="42"/>
        <v>38.970875157163917</v>
      </c>
      <c r="AE45" s="1">
        <f t="shared" si="43"/>
        <v>6.5280513004987495E-2</v>
      </c>
      <c r="AF45">
        <f t="shared" si="44"/>
        <v>39.036155670168903</v>
      </c>
    </row>
    <row r="46" spans="1:32">
      <c r="E46">
        <v>7</v>
      </c>
      <c r="F46" s="13" cm="1">
        <f t="array" ref="F46">_xlfn.IFS(AND(E46&gt;=0,E46&lt;=2),$B$38*(1-$B$21),AND(E46&gt;=3,E46&lt;=5),$B$38*(1-$B$22),AND(E46&gt;=6,E46&lt;=10),$B$38*(1-$B$23),AND(E46&gt;=11,E46&lt;=20),$B$38*(1-$B$24))</f>
        <v>260.84061298738362</v>
      </c>
      <c r="G46">
        <f t="shared" si="54"/>
        <v>13.042030649369181</v>
      </c>
      <c r="H46">
        <f t="shared" si="45"/>
        <v>218</v>
      </c>
      <c r="I46" s="13">
        <f t="shared" si="36"/>
        <v>100000</v>
      </c>
      <c r="J46" s="5">
        <v>0.4</v>
      </c>
      <c r="K46" s="19">
        <f t="shared" si="37"/>
        <v>40</v>
      </c>
      <c r="L46">
        <f t="shared" si="38"/>
        <v>1</v>
      </c>
      <c r="M46">
        <f t="shared" si="46"/>
        <v>2.7417480999999996E-3</v>
      </c>
      <c r="N46" s="2">
        <f t="shared" ref="N46:N49" si="56">$B$14</f>
        <v>7.6100000000000001E-2</v>
      </c>
      <c r="O46">
        <f t="shared" si="47"/>
        <v>0.79251657718393442</v>
      </c>
      <c r="P46">
        <f t="shared" si="48"/>
        <v>2.172880819712555E-6</v>
      </c>
      <c r="Q46">
        <f t="shared" si="49"/>
        <v>6.0310511523697409E-2</v>
      </c>
      <c r="R46">
        <f t="shared" si="50"/>
        <v>0.73220389277941733</v>
      </c>
      <c r="S46">
        <f t="shared" si="51"/>
        <v>31.700663087357377</v>
      </c>
      <c r="T46">
        <f t="shared" si="52"/>
        <v>0.79251657718393442</v>
      </c>
      <c r="U46">
        <f t="shared" si="31"/>
        <v>29.288155711176692</v>
      </c>
      <c r="V46" s="1">
        <f t="shared" si="32"/>
        <v>0.73220389277941733</v>
      </c>
      <c r="W46" s="1">
        <f t="shared" si="33"/>
        <v>206.72050979532057</v>
      </c>
      <c r="X46" s="1">
        <f t="shared" si="34"/>
        <v>-10.33602548976603</v>
      </c>
      <c r="Y46" s="1">
        <f t="shared" si="35"/>
        <v>-172.76861382609769</v>
      </c>
      <c r="Z46" s="1">
        <f t="shared" si="39"/>
        <v>-0.21728808197125549</v>
      </c>
      <c r="AA46" s="1">
        <f t="shared" si="40"/>
        <v>23.39858239748559</v>
      </c>
      <c r="AB46" s="1">
        <f t="shared" si="41"/>
        <v>0</v>
      </c>
      <c r="AC46" s="1">
        <f t="shared" si="53"/>
        <v>12.588271518355272</v>
      </c>
      <c r="AD46" s="1">
        <f t="shared" si="42"/>
        <v>35.986853915840861</v>
      </c>
      <c r="AE46" s="1">
        <f t="shared" si="43"/>
        <v>6.0312684404517092E-2</v>
      </c>
      <c r="AF46">
        <f t="shared" si="44"/>
        <v>36.047166600245376</v>
      </c>
    </row>
    <row r="47" spans="1:32">
      <c r="E47">
        <v>8</v>
      </c>
      <c r="F47" s="13" cm="1">
        <f t="array" ref="F47">_xlfn.IFS(AND(E47&gt;=0,E47&lt;=2),$B$38*(1-$B$21),AND(E47&gt;=3,E47&lt;=5),$B$38*(1-$B$22),AND(E47&gt;=6,E47&lt;=10),$B$38*(1-$B$23),AND(E47&gt;=11,E47&lt;=20),$B$38*(1-$B$24))</f>
        <v>260.84061298738362</v>
      </c>
      <c r="G47">
        <f t="shared" si="54"/>
        <v>13.042030649369181</v>
      </c>
      <c r="H47">
        <f t="shared" si="45"/>
        <v>218</v>
      </c>
      <c r="I47" s="13">
        <f t="shared" si="36"/>
        <v>100000</v>
      </c>
      <c r="J47" s="5">
        <v>0.4</v>
      </c>
      <c r="K47" s="19">
        <f t="shared" si="37"/>
        <v>40</v>
      </c>
      <c r="L47">
        <f t="shared" si="38"/>
        <v>1</v>
      </c>
      <c r="M47">
        <f t="shared" si="46"/>
        <v>3.0067692199999998E-3</v>
      </c>
      <c r="N47" s="2">
        <f t="shared" si="56"/>
        <v>7.6100000000000001E-2</v>
      </c>
      <c r="O47">
        <f t="shared" si="47"/>
        <v>0.73220389277941733</v>
      </c>
      <c r="P47">
        <f t="shared" si="48"/>
        <v>2.2015681275733324E-6</v>
      </c>
      <c r="Q47">
        <f t="shared" si="49"/>
        <v>5.5720716240513661E-2</v>
      </c>
      <c r="R47">
        <f t="shared" si="50"/>
        <v>0.67648097497077608</v>
      </c>
      <c r="S47">
        <f t="shared" si="51"/>
        <v>29.288155711176692</v>
      </c>
      <c r="T47">
        <f t="shared" si="52"/>
        <v>0.73220389277941733</v>
      </c>
      <c r="U47">
        <f t="shared" si="31"/>
        <v>27.059238998831042</v>
      </c>
      <c r="V47" s="1">
        <f t="shared" si="32"/>
        <v>0.67648097497077608</v>
      </c>
      <c r="W47" s="1">
        <f t="shared" si="33"/>
        <v>190.98851222433174</v>
      </c>
      <c r="X47" s="1">
        <f t="shared" si="34"/>
        <v>-9.5494256112165861</v>
      </c>
      <c r="Y47" s="1">
        <f t="shared" si="35"/>
        <v>-159.62044862591299</v>
      </c>
      <c r="Z47" s="1">
        <f t="shared" si="39"/>
        <v>-0.22015681275733323</v>
      </c>
      <c r="AA47" s="1">
        <f t="shared" si="40"/>
        <v>21.598481174444846</v>
      </c>
      <c r="AB47" s="1">
        <f t="shared" si="41"/>
        <v>0</v>
      </c>
      <c r="AC47" s="1">
        <f t="shared" si="53"/>
        <v>11.630269541938921</v>
      </c>
      <c r="AD47" s="1">
        <f t="shared" si="42"/>
        <v>33.228750716383765</v>
      </c>
      <c r="AE47" s="1">
        <f t="shared" si="43"/>
        <v>5.5722917808641248E-2</v>
      </c>
      <c r="AF47">
        <f t="shared" si="44"/>
        <v>33.284473634192409</v>
      </c>
    </row>
    <row r="48" spans="1:32">
      <c r="E48">
        <v>9</v>
      </c>
      <c r="F48" s="13" cm="1">
        <f t="array" ref="F48">_xlfn.IFS(AND(E48&gt;=0,E48&lt;=2),$B$38*(1-$B$21),AND(E48&gt;=3,E48&lt;=5),$B$38*(1-$B$22),AND(E48&gt;=6,E48&lt;=10),$B$38*(1-$B$23),AND(E48&gt;=11,E48&lt;=20),$B$38*(1-$B$24))</f>
        <v>260.84061298738362</v>
      </c>
      <c r="G48">
        <f t="shared" si="54"/>
        <v>13.042030649369181</v>
      </c>
      <c r="H48">
        <f t="shared" si="45"/>
        <v>218</v>
      </c>
      <c r="I48" s="13">
        <f t="shared" si="36"/>
        <v>100000</v>
      </c>
      <c r="J48" s="5">
        <v>0.4</v>
      </c>
      <c r="K48" s="19">
        <f t="shared" si="37"/>
        <v>40</v>
      </c>
      <c r="L48">
        <f t="shared" si="38"/>
        <v>1</v>
      </c>
      <c r="M48">
        <f t="shared" si="46"/>
        <v>3.3084051E-3</v>
      </c>
      <c r="N48" s="2">
        <f t="shared" si="56"/>
        <v>7.6100000000000001E-2</v>
      </c>
      <c r="O48">
        <f t="shared" si="47"/>
        <v>0.67648097497077608</v>
      </c>
      <c r="P48">
        <f t="shared" si="48"/>
        <v>2.238073107646288E-6</v>
      </c>
      <c r="Q48">
        <f t="shared" si="49"/>
        <v>5.1480202195276062E-2</v>
      </c>
      <c r="R48">
        <f t="shared" si="50"/>
        <v>0.62499853470239242</v>
      </c>
      <c r="S48">
        <f t="shared" si="51"/>
        <v>27.059238998831042</v>
      </c>
      <c r="T48">
        <f t="shared" si="52"/>
        <v>0.67648097497077608</v>
      </c>
      <c r="U48">
        <f t="shared" si="31"/>
        <v>24.999941388095696</v>
      </c>
      <c r="V48" s="1">
        <f t="shared" si="32"/>
        <v>0.62499853470239242</v>
      </c>
      <c r="W48" s="1">
        <f t="shared" si="33"/>
        <v>176.45371218568016</v>
      </c>
      <c r="X48" s="1">
        <f t="shared" si="34"/>
        <v>-8.822685609284008</v>
      </c>
      <c r="Y48" s="1">
        <f t="shared" si="35"/>
        <v>-147.47285254362919</v>
      </c>
      <c r="Z48" s="1">
        <f t="shared" si="39"/>
        <v>-0.22380731076462881</v>
      </c>
      <c r="AA48" s="1">
        <f t="shared" si="40"/>
        <v>19.934366722002338</v>
      </c>
      <c r="AB48" s="1">
        <f t="shared" si="41"/>
        <v>0</v>
      </c>
      <c r="AC48" s="1">
        <f t="shared" si="53"/>
        <v>10.745171060260889</v>
      </c>
      <c r="AD48" s="1">
        <f t="shared" si="42"/>
        <v>30.679537782263225</v>
      </c>
      <c r="AE48" s="1">
        <f t="shared" si="43"/>
        <v>5.1482440268383667E-2</v>
      </c>
      <c r="AF48">
        <f t="shared" si="44"/>
        <v>30.731020222531608</v>
      </c>
    </row>
    <row r="49" spans="5:32">
      <c r="E49">
        <v>10</v>
      </c>
      <c r="F49" s="13" cm="1">
        <f t="array" ref="F49">_xlfn.IFS(AND(E49&gt;=0,E49&lt;=2),$B$38*(1-$B$21),AND(E49&gt;=3,E49&lt;=5),$B$38*(1-$B$22),AND(E49&gt;=6,E49&lt;=10),$B$38*(1-$B$23),AND(E49&gt;=11,E49&lt;=20),$B$38*(1-$B$24))</f>
        <v>260.84061298738362</v>
      </c>
      <c r="G49">
        <f t="shared" si="54"/>
        <v>13.042030649369181</v>
      </c>
      <c r="H49">
        <f t="shared" si="45"/>
        <v>218</v>
      </c>
      <c r="I49" s="13">
        <f t="shared" si="36"/>
        <v>100000</v>
      </c>
      <c r="J49" s="5">
        <v>0.4</v>
      </c>
      <c r="K49" s="19">
        <f t="shared" si="37"/>
        <v>40</v>
      </c>
      <c r="L49">
        <f t="shared" si="38"/>
        <v>1</v>
      </c>
      <c r="M49">
        <f t="shared" si="46"/>
        <v>3.6422968400000003E-3</v>
      </c>
      <c r="N49" s="2">
        <f t="shared" si="56"/>
        <v>7.6100000000000001E-2</v>
      </c>
      <c r="O49">
        <f t="shared" si="47"/>
        <v>0.62499853470239242</v>
      </c>
      <c r="P49">
        <f t="shared" si="48"/>
        <v>2.2764301879511543E-6</v>
      </c>
      <c r="Q49">
        <f t="shared" si="49"/>
        <v>4.7562388490852064E-2</v>
      </c>
      <c r="R49">
        <f t="shared" si="50"/>
        <v>0.57743386978135236</v>
      </c>
      <c r="S49">
        <f t="shared" si="51"/>
        <v>24.999941388095696</v>
      </c>
      <c r="T49">
        <f t="shared" si="52"/>
        <v>0.62499853470239242</v>
      </c>
      <c r="U49">
        <f t="shared" si="31"/>
        <v>23.097354791254094</v>
      </c>
      <c r="V49" s="1">
        <f t="shared" si="32"/>
        <v>0.57743386978135236</v>
      </c>
      <c r="W49" s="1">
        <f t="shared" si="33"/>
        <v>163.02500090798858</v>
      </c>
      <c r="X49" s="1">
        <f t="shared" si="34"/>
        <v>-8.1512500453994292</v>
      </c>
      <c r="Y49" s="1">
        <f t="shared" si="35"/>
        <v>-136.24968056512154</v>
      </c>
      <c r="Z49" s="1">
        <f t="shared" si="39"/>
        <v>-0.22764301879511542</v>
      </c>
      <c r="AA49" s="1">
        <f t="shared" si="40"/>
        <v>18.396427278672508</v>
      </c>
      <c r="AB49" s="1">
        <f t="shared" si="41"/>
        <v>0</v>
      </c>
      <c r="AC49" s="1">
        <f t="shared" si="53"/>
        <v>9.9274279931962983</v>
      </c>
      <c r="AD49" s="1">
        <f t="shared" si="42"/>
        <v>28.323855271868808</v>
      </c>
      <c r="AE49" s="1">
        <f t="shared" si="43"/>
        <v>4.7564664921040056E-2</v>
      </c>
      <c r="AF49">
        <f t="shared" si="44"/>
        <v>28.371419936789849</v>
      </c>
    </row>
    <row r="50" spans="5:32">
      <c r="E50">
        <v>11</v>
      </c>
      <c r="F50" s="13" cm="1">
        <f t="array" ref="F50">_xlfn.IFS(AND(E50&gt;=0,E50&lt;=2),$B$38*(1-$B$21),AND(E50&gt;=3,E50&lt;=5),$B$38*(1-$B$22),AND(E50&gt;=6,E50&lt;=10),$B$38*(1-$B$23),AND(E50&gt;=11,E50&lt;=20),$B$38*(1-$B$24))</f>
        <v>252.42639966520997</v>
      </c>
      <c r="G50">
        <f t="shared" si="54"/>
        <v>12.621319983260499</v>
      </c>
      <c r="H50">
        <f t="shared" si="45"/>
        <v>218</v>
      </c>
      <c r="I50" s="13">
        <f t="shared" si="36"/>
        <v>100000</v>
      </c>
      <c r="J50" s="5">
        <v>0.4</v>
      </c>
      <c r="K50" s="19">
        <f t="shared" si="37"/>
        <v>40</v>
      </c>
      <c r="L50">
        <f t="shared" si="38"/>
        <v>1</v>
      </c>
      <c r="M50">
        <f t="shared" si="46"/>
        <v>4.0215211399999996E-3</v>
      </c>
      <c r="N50" s="2">
        <f>$B$15</f>
        <v>0.11899999999999999</v>
      </c>
      <c r="O50">
        <f t="shared" si="47"/>
        <v>0.57743386978135236</v>
      </c>
      <c r="P50">
        <f t="shared" si="48"/>
        <v>2.3221625142777156E-6</v>
      </c>
      <c r="Q50">
        <f t="shared" si="49"/>
        <v>6.8714630503980925E-2</v>
      </c>
      <c r="R50">
        <f t="shared" si="50"/>
        <v>0.50871691711485711</v>
      </c>
      <c r="S50">
        <f t="shared" si="51"/>
        <v>23.097354791254094</v>
      </c>
      <c r="T50">
        <f t="shared" si="52"/>
        <v>0.57743386978135236</v>
      </c>
      <c r="U50">
        <f t="shared" si="31"/>
        <v>20.348676684594285</v>
      </c>
      <c r="V50" s="1">
        <f t="shared" si="32"/>
        <v>0.50871691711485711</v>
      </c>
      <c r="W50" s="1">
        <f t="shared" si="33"/>
        <v>145.75955279365647</v>
      </c>
      <c r="X50" s="1">
        <f t="shared" si="34"/>
        <v>-7.2879776396828229</v>
      </c>
      <c r="Y50" s="1">
        <f t="shared" si="35"/>
        <v>-125.88058361233482</v>
      </c>
      <c r="Z50" s="1">
        <f t="shared" si="39"/>
        <v>-0.23221625142777155</v>
      </c>
      <c r="AA50" s="1">
        <f t="shared" si="40"/>
        <v>12.358775290211057</v>
      </c>
      <c r="AB50" s="1">
        <f t="shared" si="41"/>
        <v>0</v>
      </c>
      <c r="AC50" s="1">
        <f t="shared" si="53"/>
        <v>8.9180500098254996</v>
      </c>
      <c r="AD50" s="1">
        <f t="shared" si="42"/>
        <v>21.276825300036556</v>
      </c>
      <c r="AE50" s="1">
        <f t="shared" si="43"/>
        <v>6.8716952666495246E-2</v>
      </c>
      <c r="AF50">
        <f t="shared" si="44"/>
        <v>21.345542252703051</v>
      </c>
    </row>
    <row r="51" spans="5:32">
      <c r="E51">
        <v>12</v>
      </c>
      <c r="F51" s="13" cm="1">
        <f t="array" ref="F51">_xlfn.IFS(AND(E51&gt;=0,E51&lt;=2),$B$38*(1-$B$21),AND(E51&gt;=3,E51&lt;=5),$B$38*(1-$B$22),AND(E51&gt;=6,E51&lt;=10),$B$38*(1-$B$23),AND(E51&gt;=11,E51&lt;=20),$B$38*(1-$B$24))</f>
        <v>252.42639966520997</v>
      </c>
      <c r="G51">
        <f t="shared" si="54"/>
        <v>12.621319983260499</v>
      </c>
      <c r="H51">
        <f t="shared" si="45"/>
        <v>218</v>
      </c>
      <c r="I51" s="13">
        <f t="shared" si="36"/>
        <v>100000</v>
      </c>
      <c r="J51" s="5">
        <v>0.4</v>
      </c>
      <c r="K51" s="19">
        <f t="shared" si="37"/>
        <v>40</v>
      </c>
      <c r="L51">
        <f t="shared" si="38"/>
        <v>1</v>
      </c>
      <c r="M51">
        <f t="shared" si="46"/>
        <v>4.4513086800000001E-3</v>
      </c>
      <c r="N51" s="2">
        <f t="shared" ref="N51:N54" si="57">$B$15</f>
        <v>0.11899999999999999</v>
      </c>
      <c r="O51">
        <f t="shared" si="47"/>
        <v>0.50871691711485711</v>
      </c>
      <c r="P51">
        <f t="shared" si="48"/>
        <v>2.2644560288162042E-6</v>
      </c>
      <c r="Q51">
        <f t="shared" si="49"/>
        <v>6.0537313136667992E-2</v>
      </c>
      <c r="R51">
        <f t="shared" si="50"/>
        <v>0.44817733952216032</v>
      </c>
      <c r="S51">
        <f t="shared" si="51"/>
        <v>20.348676684594285</v>
      </c>
      <c r="T51">
        <f t="shared" si="52"/>
        <v>0.50871691711485711</v>
      </c>
      <c r="U51">
        <f t="shared" si="31"/>
        <v>17.927093580886414</v>
      </c>
      <c r="V51" s="1">
        <f t="shared" si="32"/>
        <v>0.44817733952216032</v>
      </c>
      <c r="W51" s="1">
        <f t="shared" si="33"/>
        <v>128.41357983608842</v>
      </c>
      <c r="X51" s="1">
        <f t="shared" si="34"/>
        <v>-6.4206789918044205</v>
      </c>
      <c r="Y51" s="1">
        <f t="shared" si="35"/>
        <v>-110.90028793103885</v>
      </c>
      <c r="Z51" s="1">
        <f t="shared" si="39"/>
        <v>-0.22644560288162041</v>
      </c>
      <c r="AA51" s="1">
        <f t="shared" si="40"/>
        <v>10.866167310363528</v>
      </c>
      <c r="AB51" s="1">
        <f t="shared" si="41"/>
        <v>0</v>
      </c>
      <c r="AC51" s="1">
        <f t="shared" si="53"/>
        <v>7.856766194529623</v>
      </c>
      <c r="AD51" s="1">
        <f t="shared" si="42"/>
        <v>18.722933504893149</v>
      </c>
      <c r="AE51" s="1">
        <f t="shared" si="43"/>
        <v>6.0539577592696792E-2</v>
      </c>
      <c r="AF51">
        <f t="shared" si="44"/>
        <v>18.783473082485845</v>
      </c>
    </row>
    <row r="52" spans="5:32">
      <c r="E52">
        <v>13</v>
      </c>
      <c r="F52" s="13" cm="1">
        <f t="array" ref="F52">_xlfn.IFS(AND(E52&gt;=0,E52&lt;=2),$B$38*(1-$B$21),AND(E52&gt;=3,E52&lt;=5),$B$38*(1-$B$22),AND(E52&gt;=6,E52&lt;=10),$B$38*(1-$B$23),AND(E52&gt;=11,E52&lt;=20),$B$38*(1-$B$24))</f>
        <v>252.42639966520997</v>
      </c>
      <c r="G52">
        <f t="shared" si="54"/>
        <v>12.621319983260499</v>
      </c>
      <c r="H52">
        <f t="shared" si="45"/>
        <v>218</v>
      </c>
      <c r="I52" s="13">
        <f t="shared" si="36"/>
        <v>100000</v>
      </c>
      <c r="J52" s="5">
        <v>0.4</v>
      </c>
      <c r="K52" s="19">
        <f t="shared" si="37"/>
        <v>40</v>
      </c>
      <c r="L52">
        <f t="shared" si="38"/>
        <v>1</v>
      </c>
      <c r="M52">
        <f t="shared" si="46"/>
        <v>4.8994036000000003E-3</v>
      </c>
      <c r="N52" s="2">
        <f t="shared" si="57"/>
        <v>0.11899999999999999</v>
      </c>
      <c r="O52">
        <f t="shared" si="47"/>
        <v>0.44817733952216032</v>
      </c>
      <c r="P52">
        <f t="shared" si="48"/>
        <v>2.1958016706932945E-6</v>
      </c>
      <c r="Q52">
        <f t="shared" si="49"/>
        <v>5.3333103403137079E-2</v>
      </c>
      <c r="R52">
        <f t="shared" si="50"/>
        <v>0.39484204031735254</v>
      </c>
      <c r="S52">
        <f t="shared" si="51"/>
        <v>17.927093580886414</v>
      </c>
      <c r="T52">
        <f t="shared" si="52"/>
        <v>0.44817733952216032</v>
      </c>
      <c r="U52">
        <f t="shared" si="31"/>
        <v>15.793681612694101</v>
      </c>
      <c r="V52" s="1">
        <f t="shared" si="32"/>
        <v>0.39484204031735254</v>
      </c>
      <c r="W52" s="1">
        <f t="shared" si="33"/>
        <v>113.13179222711135</v>
      </c>
      <c r="X52" s="1">
        <f t="shared" si="34"/>
        <v>-5.6565896113555674</v>
      </c>
      <c r="Y52" s="1">
        <f t="shared" si="35"/>
        <v>-97.702660015830944</v>
      </c>
      <c r="Z52" s="1">
        <f t="shared" si="39"/>
        <v>-0.21958016706932945</v>
      </c>
      <c r="AA52" s="1">
        <f t="shared" si="40"/>
        <v>9.5529624328555034</v>
      </c>
      <c r="AB52" s="1">
        <f t="shared" si="41"/>
        <v>0</v>
      </c>
      <c r="AC52" s="1">
        <f t="shared" si="53"/>
        <v>6.9217760444890386</v>
      </c>
      <c r="AD52" s="1">
        <f t="shared" si="42"/>
        <v>16.474738477344541</v>
      </c>
      <c r="AE52" s="1">
        <f t="shared" si="43"/>
        <v>5.3335299204807785E-2</v>
      </c>
      <c r="AF52">
        <f t="shared" si="44"/>
        <v>16.528073776549348</v>
      </c>
    </row>
    <row r="53" spans="5:32">
      <c r="E53">
        <v>14</v>
      </c>
      <c r="F53" s="13" cm="1">
        <f t="array" ref="F53">_xlfn.IFS(AND(E53&gt;=0,E53&lt;=2),$B$38*(1-$B$21),AND(E53&gt;=3,E53&lt;=5),$B$38*(1-$B$22),AND(E53&gt;=6,E53&lt;=10),$B$38*(1-$B$23),AND(E53&gt;=11,E53&lt;=20),$B$38*(1-$B$24))</f>
        <v>252.42639966520997</v>
      </c>
      <c r="G53">
        <f t="shared" si="54"/>
        <v>12.621319983260499</v>
      </c>
      <c r="H53">
        <f t="shared" si="45"/>
        <v>218</v>
      </c>
      <c r="I53" s="13">
        <f t="shared" si="36"/>
        <v>100000</v>
      </c>
      <c r="J53" s="5">
        <v>0.4</v>
      </c>
      <c r="K53" s="19">
        <f t="shared" si="37"/>
        <v>40</v>
      </c>
      <c r="L53">
        <f t="shared" si="38"/>
        <v>1</v>
      </c>
      <c r="M53">
        <f t="shared" si="46"/>
        <v>5.3788826E-3</v>
      </c>
      <c r="N53" s="2">
        <f t="shared" si="57"/>
        <v>0.11899999999999999</v>
      </c>
      <c r="O53">
        <f t="shared" si="47"/>
        <v>0.39484204031735254</v>
      </c>
      <c r="P53">
        <f t="shared" si="48"/>
        <v>2.1238089804115058E-6</v>
      </c>
      <c r="Q53">
        <f t="shared" si="49"/>
        <v>4.6986202797764949E-2</v>
      </c>
      <c r="R53">
        <f t="shared" si="50"/>
        <v>0.34785371371060719</v>
      </c>
      <c r="S53">
        <f t="shared" si="51"/>
        <v>15.793681612694101</v>
      </c>
      <c r="T53">
        <f t="shared" si="52"/>
        <v>0.39484204031735254</v>
      </c>
      <c r="U53">
        <f t="shared" si="31"/>
        <v>13.914148548424288</v>
      </c>
      <c r="V53" s="1">
        <f t="shared" si="32"/>
        <v>0.34785371371060719</v>
      </c>
      <c r="W53" s="1">
        <f t="shared" si="33"/>
        <v>99.668554673774977</v>
      </c>
      <c r="X53" s="1">
        <f t="shared" si="34"/>
        <v>-4.9834277336887487</v>
      </c>
      <c r="Y53" s="1">
        <f t="shared" si="35"/>
        <v>-86.075564789182849</v>
      </c>
      <c r="Z53" s="1">
        <f t="shared" si="39"/>
        <v>-0.2123808980411506</v>
      </c>
      <c r="AA53" s="1">
        <f t="shared" si="40"/>
        <v>8.3971812528622358</v>
      </c>
      <c r="AB53" s="1">
        <f t="shared" si="41"/>
        <v>0</v>
      </c>
      <c r="AC53" s="1">
        <f t="shared" si="53"/>
        <v>6.0980507826203736</v>
      </c>
      <c r="AD53" s="1">
        <f t="shared" si="42"/>
        <v>14.495232035482609</v>
      </c>
      <c r="AE53" s="1">
        <f t="shared" si="43"/>
        <v>4.6988326606745345E-2</v>
      </c>
      <c r="AF53">
        <f t="shared" si="44"/>
        <v>14.542220362089354</v>
      </c>
    </row>
    <row r="54" spans="5:32">
      <c r="E54">
        <v>15</v>
      </c>
      <c r="F54" s="13" cm="1">
        <f t="array" ref="F54">_xlfn.IFS(AND(E54&gt;=0,E54&lt;=2),$B$38*(1-$B$21),AND(E54&gt;=3,E54&lt;=5),$B$38*(1-$B$22),AND(E54&gt;=6,E54&lt;=10),$B$38*(1-$B$23),AND(E54&gt;=11,E54&lt;=20),$B$38*(1-$B$24))</f>
        <v>252.42639966520997</v>
      </c>
      <c r="G54">
        <f t="shared" si="54"/>
        <v>12.621319983260499</v>
      </c>
      <c r="H54">
        <f t="shared" si="45"/>
        <v>218</v>
      </c>
      <c r="I54" s="13">
        <f t="shared" si="36"/>
        <v>100000</v>
      </c>
      <c r="J54" s="5">
        <v>0.4</v>
      </c>
      <c r="K54" s="19">
        <f t="shared" si="37"/>
        <v>40</v>
      </c>
      <c r="L54">
        <f t="shared" si="38"/>
        <v>1</v>
      </c>
      <c r="M54">
        <f t="shared" si="46"/>
        <v>5.9071812799999998E-3</v>
      </c>
      <c r="N54" s="2">
        <f t="shared" si="57"/>
        <v>0.11899999999999999</v>
      </c>
      <c r="O54">
        <f t="shared" si="47"/>
        <v>0.34785371371060719</v>
      </c>
      <c r="P54">
        <f t="shared" si="48"/>
        <v>2.0548349458097777E-6</v>
      </c>
      <c r="Q54">
        <f t="shared" si="49"/>
        <v>4.1394591931562252E-2</v>
      </c>
      <c r="R54">
        <f t="shared" si="50"/>
        <v>0.30645706694409913</v>
      </c>
      <c r="S54">
        <f t="shared" si="51"/>
        <v>13.914148548424288</v>
      </c>
      <c r="T54">
        <f t="shared" si="52"/>
        <v>0.34785371371060719</v>
      </c>
      <c r="U54">
        <f t="shared" si="31"/>
        <v>12.258282677763965</v>
      </c>
      <c r="V54" s="1">
        <f t="shared" si="32"/>
        <v>0.30645706694409913</v>
      </c>
      <c r="W54" s="1">
        <f t="shared" si="33"/>
        <v>87.807460562141259</v>
      </c>
      <c r="X54" s="1">
        <f t="shared" si="34"/>
        <v>-4.3903730281070628</v>
      </c>
      <c r="Y54" s="1">
        <f t="shared" si="35"/>
        <v>-75.832109588912374</v>
      </c>
      <c r="Z54" s="1">
        <f t="shared" si="39"/>
        <v>-0.20548349458097778</v>
      </c>
      <c r="AA54" s="1">
        <f t="shared" si="40"/>
        <v>7.3794944505408431</v>
      </c>
      <c r="AB54" s="1">
        <f t="shared" si="41"/>
        <v>0</v>
      </c>
      <c r="AC54" s="1">
        <f t="shared" si="53"/>
        <v>5.3723499387893003</v>
      </c>
      <c r="AD54" s="1">
        <f t="shared" si="42"/>
        <v>12.751844389330143</v>
      </c>
      <c r="AE54" s="1">
        <f t="shared" si="43"/>
        <v>4.1396646766508061E-2</v>
      </c>
      <c r="AF54">
        <f t="shared" si="44"/>
        <v>12.793241036096651</v>
      </c>
    </row>
    <row r="55" spans="5:32">
      <c r="E55">
        <v>16</v>
      </c>
      <c r="F55" s="13" cm="1">
        <f t="array" ref="F55">_xlfn.IFS(AND(E55&gt;=0,E55&lt;=2),$B$38*(1-$B$21),AND(E55&gt;=3,E55&lt;=5),$B$38*(1-$B$22),AND(E55&gt;=6,E55&lt;=10),$B$38*(1-$B$23),AND(E55&gt;=11,E55&lt;=20),$B$38*(1-$B$24))</f>
        <v>252.42639966520997</v>
      </c>
      <c r="G55">
        <f t="shared" si="54"/>
        <v>12.621319983260499</v>
      </c>
      <c r="H55">
        <f t="shared" si="45"/>
        <v>218</v>
      </c>
      <c r="I55" s="13">
        <f t="shared" si="36"/>
        <v>100000</v>
      </c>
      <c r="J55" s="5">
        <v>0.4</v>
      </c>
      <c r="K55" s="19">
        <f t="shared" si="37"/>
        <v>40</v>
      </c>
      <c r="L55">
        <f t="shared" si="38"/>
        <v>1</v>
      </c>
      <c r="M55">
        <f t="shared" si="46"/>
        <v>6.5392217799999999E-3</v>
      </c>
      <c r="N55" s="2">
        <f>$B$16</f>
        <v>0.15620000000000001</v>
      </c>
      <c r="O55">
        <f t="shared" si="47"/>
        <v>0.30645706694409913</v>
      </c>
      <c r="P55">
        <f t="shared" si="48"/>
        <v>2.0039907267957708E-6</v>
      </c>
      <c r="Q55">
        <f t="shared" si="49"/>
        <v>4.7868593856668286E-2</v>
      </c>
      <c r="R55">
        <f t="shared" si="50"/>
        <v>0.25858646909670407</v>
      </c>
      <c r="S55">
        <f t="shared" si="51"/>
        <v>12.258282677763965</v>
      </c>
      <c r="T55">
        <f t="shared" si="52"/>
        <v>0.30645706694409913</v>
      </c>
      <c r="U55">
        <f t="shared" si="31"/>
        <v>10.343458763868163</v>
      </c>
      <c r="V55" s="1">
        <f t="shared" si="32"/>
        <v>0.25858646909670407</v>
      </c>
      <c r="W55" s="1">
        <f t="shared" si="33"/>
        <v>77.357854060659179</v>
      </c>
      <c r="X55" s="1">
        <f t="shared" si="34"/>
        <v>-3.8678927030329588</v>
      </c>
      <c r="Y55" s="1">
        <f t="shared" si="35"/>
        <v>-66.807640593813616</v>
      </c>
      <c r="Z55" s="1">
        <f t="shared" si="39"/>
        <v>-0.20039907267957707</v>
      </c>
      <c r="AA55" s="1">
        <f t="shared" si="40"/>
        <v>6.4819216911330209</v>
      </c>
      <c r="AB55" s="1">
        <f t="shared" si="41"/>
        <v>0</v>
      </c>
      <c r="AC55" s="1">
        <f t="shared" si="53"/>
        <v>4.7330085606283854</v>
      </c>
      <c r="AD55" s="1">
        <f t="shared" si="42"/>
        <v>11.214930251761405</v>
      </c>
      <c r="AE55" s="1">
        <f t="shared" si="43"/>
        <v>4.7870597847395058E-2</v>
      </c>
      <c r="AF55">
        <f t="shared" si="44"/>
        <v>11.2628008496088</v>
      </c>
    </row>
    <row r="56" spans="5:32">
      <c r="E56">
        <v>17</v>
      </c>
      <c r="F56" s="13" cm="1">
        <f t="array" ref="F56">_xlfn.IFS(AND(E56&gt;=0,E56&lt;=2),$B$38*(1-$B$21),AND(E56&gt;=3,E56&lt;=5),$B$38*(1-$B$22),AND(E56&gt;=6,E56&lt;=10),$B$38*(1-$B$23),AND(E56&gt;=11,E56&lt;=20),$B$38*(1-$B$24))</f>
        <v>252.42639966520997</v>
      </c>
      <c r="G56">
        <f t="shared" si="54"/>
        <v>12.621319983260499</v>
      </c>
      <c r="H56">
        <f t="shared" si="45"/>
        <v>218</v>
      </c>
      <c r="I56" s="13">
        <f t="shared" si="36"/>
        <v>100000</v>
      </c>
      <c r="J56" s="5">
        <v>0.3</v>
      </c>
      <c r="K56" s="19">
        <f t="shared" si="37"/>
        <v>30</v>
      </c>
      <c r="L56">
        <f t="shared" si="38"/>
        <v>1</v>
      </c>
      <c r="M56">
        <f t="shared" si="46"/>
        <v>7.2131077200000004E-3</v>
      </c>
      <c r="N56" s="2">
        <f t="shared" ref="N56:N59" si="58">$B$16</f>
        <v>0.15620000000000001</v>
      </c>
      <c r="O56">
        <f t="shared" si="47"/>
        <v>0.25858646909670407</v>
      </c>
      <c r="P56">
        <f t="shared" si="48"/>
        <v>1.8652120565289776E-6</v>
      </c>
      <c r="Q56">
        <f t="shared" si="49"/>
        <v>4.0391206472905179E-2</v>
      </c>
      <c r="R56">
        <f t="shared" si="50"/>
        <v>0.21819339741174237</v>
      </c>
      <c r="S56">
        <f t="shared" si="51"/>
        <v>10.343458763868163</v>
      </c>
      <c r="T56">
        <f t="shared" si="52"/>
        <v>0.25858646909670407</v>
      </c>
      <c r="U56">
        <f t="shared" si="31"/>
        <v>6.545801922352271</v>
      </c>
      <c r="V56" s="1">
        <f t="shared" si="32"/>
        <v>0.21819339741174237</v>
      </c>
      <c r="W56" s="1">
        <f t="shared" si="33"/>
        <v>65.274051396220088</v>
      </c>
      <c r="X56" s="1">
        <f t="shared" si="34"/>
        <v>-3.2637025698110045</v>
      </c>
      <c r="Y56" s="1">
        <f t="shared" si="35"/>
        <v>-56.371850263081491</v>
      </c>
      <c r="Z56" s="1">
        <f t="shared" si="39"/>
        <v>-0.18652120565289776</v>
      </c>
      <c r="AA56" s="1">
        <f t="shared" si="40"/>
        <v>5.4519773576746964</v>
      </c>
      <c r="AB56" s="1">
        <f t="shared" si="41"/>
        <v>3.0645706694409922</v>
      </c>
      <c r="AC56" s="1">
        <f t="shared" si="53"/>
        <v>3.9936816732655673</v>
      </c>
      <c r="AD56" s="1">
        <f t="shared" si="42"/>
        <v>12.510229700381256</v>
      </c>
      <c r="AE56" s="1">
        <f t="shared" si="43"/>
        <v>4.0393071684961701E-2</v>
      </c>
      <c r="AF56">
        <f t="shared" si="44"/>
        <v>12.550622772066218</v>
      </c>
    </row>
    <row r="57" spans="5:32">
      <c r="E57">
        <v>18</v>
      </c>
      <c r="F57" s="13" cm="1">
        <f t="array" ref="F57">_xlfn.IFS(AND(E57&gt;=0,E57&lt;=2),$B$38*(1-$B$21),AND(E57&gt;=3,E57&lt;=5),$B$38*(1-$B$22),AND(E57&gt;=6,E57&lt;=10),$B$38*(1-$B$23),AND(E57&gt;=11,E57&lt;=20),$B$38*(1-$B$24))</f>
        <v>252.42639966520997</v>
      </c>
      <c r="G57">
        <f t="shared" si="54"/>
        <v>12.621319983260499</v>
      </c>
      <c r="H57">
        <f t="shared" si="45"/>
        <v>218</v>
      </c>
      <c r="I57" s="13">
        <f t="shared" si="36"/>
        <v>100000</v>
      </c>
      <c r="J57" s="5">
        <v>0.2</v>
      </c>
      <c r="K57" s="19">
        <f t="shared" si="37"/>
        <v>20</v>
      </c>
      <c r="L57">
        <f t="shared" si="38"/>
        <v>1</v>
      </c>
      <c r="M57">
        <f t="shared" si="46"/>
        <v>7.8843783199999996E-3</v>
      </c>
      <c r="N57" s="2">
        <f t="shared" si="58"/>
        <v>0.15620000000000001</v>
      </c>
      <c r="O57">
        <f t="shared" si="47"/>
        <v>0.21819339741174237</v>
      </c>
      <c r="P57">
        <f t="shared" si="48"/>
        <v>1.7203192921202856E-6</v>
      </c>
      <c r="Q57">
        <f t="shared" si="49"/>
        <v>3.4081808675714163E-2</v>
      </c>
      <c r="R57">
        <f t="shared" si="50"/>
        <v>0.1841098684167361</v>
      </c>
      <c r="S57">
        <f t="shared" si="51"/>
        <v>6.545801922352271</v>
      </c>
      <c r="T57">
        <f t="shared" si="52"/>
        <v>0.21819339741174237</v>
      </c>
      <c r="U57">
        <f t="shared" si="31"/>
        <v>3.6821973683347222</v>
      </c>
      <c r="V57" s="1">
        <f t="shared" si="32"/>
        <v>0.1841098684167361</v>
      </c>
      <c r="W57" s="1">
        <f t="shared" si="33"/>
        <v>55.077773739366471</v>
      </c>
      <c r="X57" s="1">
        <f t="shared" si="34"/>
        <v>-2.7538886869683235</v>
      </c>
      <c r="Y57" s="1">
        <f t="shared" si="35"/>
        <v>-47.566160635759836</v>
      </c>
      <c r="Z57" s="1">
        <f t="shared" si="39"/>
        <v>-0.17203192921202856</v>
      </c>
      <c r="AA57" s="1">
        <f t="shared" si="40"/>
        <v>4.5856924874262823</v>
      </c>
      <c r="AB57" s="1">
        <f t="shared" si="41"/>
        <v>2.58586469096704</v>
      </c>
      <c r="AC57" s="1">
        <f t="shared" si="53"/>
        <v>3.249833420468919</v>
      </c>
      <c r="AD57" s="1">
        <f t="shared" si="42"/>
        <v>10.421390598862242</v>
      </c>
      <c r="AE57" s="1">
        <f t="shared" si="43"/>
        <v>3.4083528995006274E-2</v>
      </c>
      <c r="AF57">
        <f t="shared" si="44"/>
        <v>10.455474127857249</v>
      </c>
    </row>
    <row r="58" spans="5:32">
      <c r="E58">
        <v>19</v>
      </c>
      <c r="F58" s="13" cm="1">
        <f t="array" ref="F58">_xlfn.IFS(AND(E58&gt;=0,E58&lt;=2),$B$38*(1-$B$21),AND(E58&gt;=3,E58&lt;=5),$B$38*(1-$B$22),AND(E58&gt;=6,E58&lt;=10),$B$38*(1-$B$23),AND(E58&gt;=11,E58&lt;=20),$B$38*(1-$B$24))</f>
        <v>252.42639966520997</v>
      </c>
      <c r="G58">
        <f t="shared" si="54"/>
        <v>12.621319983260499</v>
      </c>
      <c r="H58">
        <f t="shared" si="45"/>
        <v>218</v>
      </c>
      <c r="I58" s="13">
        <f t="shared" si="36"/>
        <v>100000</v>
      </c>
      <c r="J58" s="5">
        <v>0.1</v>
      </c>
      <c r="K58" s="19">
        <f t="shared" si="37"/>
        <v>10</v>
      </c>
      <c r="L58">
        <f t="shared" si="38"/>
        <v>1</v>
      </c>
      <c r="M58">
        <f t="shared" si="46"/>
        <v>8.6227759800000005E-3</v>
      </c>
      <c r="N58" s="2">
        <f t="shared" si="58"/>
        <v>0.15620000000000001</v>
      </c>
      <c r="O58">
        <f t="shared" si="47"/>
        <v>0.1841098684167361</v>
      </c>
      <c r="P58">
        <f t="shared" si="48"/>
        <v>1.5875381510647928E-6</v>
      </c>
      <c r="Q58">
        <f t="shared" si="49"/>
        <v>2.875796144669418E-2</v>
      </c>
      <c r="R58">
        <f t="shared" si="50"/>
        <v>0.15535031943189084</v>
      </c>
      <c r="S58">
        <f t="shared" si="51"/>
        <v>3.6821973683347222</v>
      </c>
      <c r="T58">
        <f t="shared" si="52"/>
        <v>0.1841098684167361</v>
      </c>
      <c r="U58">
        <f t="shared" si="31"/>
        <v>1.5535031943189084</v>
      </c>
      <c r="V58" s="1">
        <f t="shared" si="32"/>
        <v>0.15535031943189084</v>
      </c>
      <c r="W58" s="1">
        <f t="shared" si="33"/>
        <v>46.474191227272243</v>
      </c>
      <c r="X58" s="1">
        <f t="shared" si="34"/>
        <v>-2.3237095613636121</v>
      </c>
      <c r="Y58" s="1">
        <f t="shared" si="35"/>
        <v>-40.135951314848469</v>
      </c>
      <c r="Z58" s="1">
        <f t="shared" si="39"/>
        <v>-0.15875381510647929</v>
      </c>
      <c r="AA58" s="1">
        <f t="shared" si="40"/>
        <v>3.8557765359536802</v>
      </c>
      <c r="AB58" s="1">
        <f t="shared" si="41"/>
        <v>2.181933974117424</v>
      </c>
      <c r="AC58" s="1">
        <f t="shared" si="53"/>
        <v>2.6409233896463049</v>
      </c>
      <c r="AD58" s="1">
        <f t="shared" si="42"/>
        <v>8.6786338997174095</v>
      </c>
      <c r="AE58" s="1">
        <f t="shared" si="43"/>
        <v>2.8759548984845257E-2</v>
      </c>
      <c r="AF58">
        <f t="shared" si="44"/>
        <v>8.7073934487022555</v>
      </c>
    </row>
    <row r="59" spans="5:32">
      <c r="E59">
        <v>20</v>
      </c>
      <c r="F59" s="13" cm="1">
        <f t="array" ref="F59">_xlfn.IFS(AND(E59&gt;=0,E59&lt;=2),$B$38*(1-$B$21),AND(E59&gt;=3,E59&lt;=5),$B$38*(1-$B$22),AND(E59&gt;=6,E59&lt;=10),$B$38*(1-$B$23),AND(E59&gt;=11,E59&lt;=20),$B$38*(1-$B$24))</f>
        <v>252.42639966520997</v>
      </c>
      <c r="G59">
        <f t="shared" si="54"/>
        <v>12.621319983260499</v>
      </c>
      <c r="H59">
        <f t="shared" si="45"/>
        <v>218</v>
      </c>
      <c r="I59" s="13">
        <f t="shared" si="36"/>
        <v>100000</v>
      </c>
      <c r="J59" s="5">
        <v>0</v>
      </c>
      <c r="K59" s="19">
        <f t="shared" si="37"/>
        <v>0</v>
      </c>
      <c r="M59">
        <f t="shared" si="46"/>
        <v>9.4082497599999992E-3</v>
      </c>
      <c r="N59" s="2">
        <f t="shared" si="58"/>
        <v>0.15620000000000001</v>
      </c>
      <c r="O59">
        <f t="shared" si="47"/>
        <v>0.15535031943189084</v>
      </c>
      <c r="P59">
        <f t="shared" si="48"/>
        <v>1.4615746055110103E-6</v>
      </c>
      <c r="Q59">
        <f t="shared" si="49"/>
        <v>2.4265719895261349E-2</v>
      </c>
      <c r="R59">
        <f t="shared" si="50"/>
        <v>0.13108313796202398</v>
      </c>
      <c r="S59">
        <f t="shared" si="51"/>
        <v>1.5535031943189084</v>
      </c>
      <c r="T59">
        <f t="shared" si="52"/>
        <v>0.15535031943189084</v>
      </c>
      <c r="U59">
        <f t="shared" si="31"/>
        <v>0</v>
      </c>
      <c r="V59" s="1">
        <f t="shared" si="32"/>
        <v>0</v>
      </c>
      <c r="W59" s="1">
        <f t="shared" si="33"/>
        <v>39.214521821032513</v>
      </c>
      <c r="X59" s="1">
        <f t="shared" si="34"/>
        <v>-1.9607260910516255</v>
      </c>
      <c r="Y59" s="1">
        <f t="shared" si="35"/>
        <v>-33.866369636152207</v>
      </c>
      <c r="Z59" s="1">
        <f t="shared" si="39"/>
        <v>-0.14615746055110104</v>
      </c>
      <c r="AA59" s="1">
        <f t="shared" si="40"/>
        <v>3.2412686332775786</v>
      </c>
      <c r="AB59" s="1">
        <f t="shared" si="41"/>
        <v>1.8410986841673611</v>
      </c>
      <c r="AC59" s="1">
        <f t="shared" si="53"/>
        <v>2.1429457084052426</v>
      </c>
      <c r="AD59" s="1">
        <f t="shared" si="42"/>
        <v>7.2253130258501823</v>
      </c>
      <c r="AE59" s="1">
        <f t="shared" si="43"/>
        <v>0.15535031943189084</v>
      </c>
      <c r="AF59">
        <f t="shared" si="44"/>
        <v>7.3806633452820734</v>
      </c>
    </row>
    <row r="61" spans="5:32">
      <c r="E61" s="3"/>
      <c r="V61" t="s">
        <v>116</v>
      </c>
      <c r="W61">
        <f>SUM(W39:W59)</f>
        <v>3110.5308645657601</v>
      </c>
      <c r="X61">
        <f t="shared" ref="X61:AF61" si="59">SUM(X39:X59)</f>
        <v>-361.67476962154285</v>
      </c>
      <c r="Y61">
        <f t="shared" si="59"/>
        <v>-2685.7985804923887</v>
      </c>
      <c r="Z61">
        <f t="shared" si="59"/>
        <v>-3.9808705642072897</v>
      </c>
      <c r="AA61">
        <f t="shared" si="59"/>
        <v>59.076643887621564</v>
      </c>
      <c r="AB61">
        <f t="shared" si="59"/>
        <v>-30.326531981307188</v>
      </c>
      <c r="AC61">
        <f t="shared" si="59"/>
        <v>175.93631876581063</v>
      </c>
      <c r="AD61">
        <f t="shared" si="59"/>
        <v>204.68643067212497</v>
      </c>
      <c r="AE61">
        <f t="shared" si="59"/>
        <v>0</v>
      </c>
      <c r="AF61">
        <f t="shared" si="59"/>
        <v>204.686430672125</v>
      </c>
    </row>
    <row r="62" spans="5:32">
      <c r="V62" t="str">
        <f>"PV at "&amp;$B$10</f>
        <v>PV at 0.055</v>
      </c>
      <c r="W62">
        <f>W39+NPV($B$10,W40:W59)</f>
        <v>2156.4800847452952</v>
      </c>
      <c r="X62">
        <f t="shared" ref="X62:AF62" si="60">X39+NPV($B$10,X40:X59)</f>
        <v>-313.97223063051956</v>
      </c>
      <c r="Y62">
        <f t="shared" si="60"/>
        <v>-1880.6143804913577</v>
      </c>
      <c r="Z62">
        <f t="shared" si="60"/>
        <v>-2.3817098056565467</v>
      </c>
      <c r="AA62">
        <f t="shared" si="60"/>
        <v>-40.48823618223841</v>
      </c>
      <c r="AB62">
        <f t="shared" si="60"/>
        <v>-37.951474715245674</v>
      </c>
      <c r="AC62">
        <f t="shared" si="60"/>
        <v>117.95332822551894</v>
      </c>
      <c r="AD62">
        <f t="shared" si="60"/>
        <v>39.513617328035025</v>
      </c>
      <c r="AE62">
        <f t="shared" si="60"/>
        <v>-0.44510880659163865</v>
      </c>
      <c r="AF62">
        <f t="shared" si="60"/>
        <v>39.068508521443164</v>
      </c>
    </row>
    <row r="63" spans="5:32">
      <c r="V63" t="str">
        <f>"PV at "&amp;$B$11</f>
        <v>PV at 0.0738</v>
      </c>
      <c r="W63">
        <f>W39+NPV($B$11,W40:W59)</f>
        <v>1939.2014634814234</v>
      </c>
      <c r="X63">
        <f t="shared" ref="X63:AF63" si="61">X39+NPV($B$11,X40:X59)</f>
        <v>-303.10829956732596</v>
      </c>
      <c r="Y63">
        <f t="shared" si="61"/>
        <v>-1697.9980851554083</v>
      </c>
      <c r="Z63">
        <f t="shared" si="61"/>
        <v>-2.0468696730165896</v>
      </c>
      <c r="AA63">
        <f t="shared" si="61"/>
        <v>-63.951790914327631</v>
      </c>
      <c r="AB63">
        <f t="shared" si="61"/>
        <v>-39.470647273847995</v>
      </c>
      <c r="AC63">
        <f t="shared" si="61"/>
        <v>104.7140611365828</v>
      </c>
      <c r="AD63">
        <f t="shared" si="61"/>
        <v>1.2916229484070527</v>
      </c>
      <c r="AE63">
        <f t="shared" si="61"/>
        <v>-0.53420888542697154</v>
      </c>
      <c r="AF63">
        <f t="shared" si="61"/>
        <v>0.7574140629802173</v>
      </c>
    </row>
    <row r="65" spans="1:32">
      <c r="V65" t="s">
        <v>117</v>
      </c>
      <c r="W65">
        <f>AD63</f>
        <v>1.2916229484070527</v>
      </c>
    </row>
    <row r="66" spans="1:32">
      <c r="V66" t="s">
        <v>118</v>
      </c>
      <c r="W66">
        <f>AF63</f>
        <v>0.7574140629802173</v>
      </c>
    </row>
    <row r="68" spans="1:32">
      <c r="A68" s="4" t="str">
        <f>"Base Assumptions for "&amp;B70&amp;" Death benefit (M,NS,44,Moderate)"</f>
        <v>Base Assumptions for 250000 Death benefit (M,NS,44,Moderate)</v>
      </c>
      <c r="E68" s="8" t="s">
        <v>61</v>
      </c>
      <c r="F68" s="8"/>
      <c r="G68" s="8"/>
      <c r="H68" s="8"/>
      <c r="I68" s="8"/>
      <c r="J68" s="8"/>
      <c r="K68" s="8"/>
      <c r="L68" s="8"/>
      <c r="M68" s="9" t="s">
        <v>62</v>
      </c>
      <c r="N68" s="9"/>
      <c r="O68" s="9"/>
      <c r="P68" s="9"/>
      <c r="Q68" s="9"/>
      <c r="R68" s="9"/>
      <c r="S68" s="10" t="s">
        <v>63</v>
      </c>
      <c r="T68" s="10"/>
      <c r="U68" s="10"/>
      <c r="V68" s="11"/>
      <c r="W68" s="48" t="s">
        <v>64</v>
      </c>
      <c r="X68" s="48" t="s">
        <v>65</v>
      </c>
      <c r="Y68" s="48" t="s">
        <v>66</v>
      </c>
      <c r="Z68" s="48" t="s">
        <v>67</v>
      </c>
      <c r="AA68" s="48"/>
      <c r="AB68" s="48" t="s">
        <v>68</v>
      </c>
      <c r="AC68" s="48" t="s">
        <v>69</v>
      </c>
      <c r="AD68" s="48" t="s">
        <v>70</v>
      </c>
      <c r="AE68" s="48" t="s">
        <v>71</v>
      </c>
      <c r="AF68" s="48" t="s">
        <v>72</v>
      </c>
    </row>
    <row r="69" spans="1:32" ht="29.1">
      <c r="A69" t="s">
        <v>60</v>
      </c>
      <c r="B69" s="12">
        <v>286.5912336100061</v>
      </c>
      <c r="E69" t="s">
        <v>73</v>
      </c>
      <c r="F69" s="19" t="s">
        <v>60</v>
      </c>
      <c r="G69" s="19" t="s">
        <v>74</v>
      </c>
      <c r="H69" s="19" t="s">
        <v>46</v>
      </c>
      <c r="I69" s="1" t="s">
        <v>75</v>
      </c>
      <c r="J69" s="1" t="s">
        <v>76</v>
      </c>
      <c r="K69" s="1" t="s">
        <v>77</v>
      </c>
      <c r="L69" s="1" t="s">
        <v>78</v>
      </c>
      <c r="M69" s="1" t="s">
        <v>79</v>
      </c>
      <c r="N69" s="1" t="s">
        <v>80</v>
      </c>
      <c r="O69" s="1" t="s">
        <v>81</v>
      </c>
      <c r="P69" s="1" t="s">
        <v>82</v>
      </c>
      <c r="Q69" s="1" t="s">
        <v>83</v>
      </c>
      <c r="R69" s="1" t="s">
        <v>84</v>
      </c>
      <c r="S69" s="1" t="s">
        <v>85</v>
      </c>
      <c r="T69" s="1" t="s">
        <v>86</v>
      </c>
      <c r="U69" s="1" t="s">
        <v>87</v>
      </c>
      <c r="V69" s="1" t="s">
        <v>88</v>
      </c>
      <c r="W69" s="1" t="s">
        <v>89</v>
      </c>
      <c r="X69" s="1" t="s">
        <v>90</v>
      </c>
      <c r="Y69" s="1" t="s">
        <v>91</v>
      </c>
      <c r="Z69" s="1" t="s">
        <v>92</v>
      </c>
      <c r="AA69" s="1" t="s">
        <v>93</v>
      </c>
      <c r="AB69" s="1" t="s">
        <v>94</v>
      </c>
      <c r="AC69" s="1" t="s">
        <v>95</v>
      </c>
      <c r="AD69" s="1" t="s">
        <v>44</v>
      </c>
      <c r="AE69" s="1" t="s">
        <v>96</v>
      </c>
      <c r="AF69" s="1" t="s">
        <v>97</v>
      </c>
    </row>
    <row r="70" spans="1:32">
      <c r="A70" t="s">
        <v>98</v>
      </c>
      <c r="B70" s="12">
        <v>250000</v>
      </c>
      <c r="E70">
        <v>0</v>
      </c>
      <c r="F70" s="13" cm="1">
        <f t="array" ref="F70">_xlfn.IFS(AND(E70&gt;=0,E70&lt;=2),$B$69*(1-$B$21),AND(E70&gt;=3,E70&lt;=5),$B$69*(1-$B$22),AND(E70&gt;=6,E70&lt;=10),$B$69*(1-$B$23),AND(E70&gt;=11,E70&lt;=20),$B$69*(1-$B$24))</f>
        <v>280.85940893780599</v>
      </c>
      <c r="G70">
        <f>F70*$B$17</f>
        <v>224.68752715024482</v>
      </c>
      <c r="H70">
        <f>$B$19</f>
        <v>323</v>
      </c>
      <c r="I70" s="13">
        <f>$B70</f>
        <v>250000</v>
      </c>
      <c r="J70" s="5">
        <v>0.8</v>
      </c>
      <c r="K70" s="19">
        <f>I70*J70/1000</f>
        <v>200</v>
      </c>
      <c r="L70">
        <f>I70*$B$9/1000</f>
        <v>2.5</v>
      </c>
      <c r="O70">
        <v>1</v>
      </c>
      <c r="R70">
        <f>O70-SUM(P70:Q70)</f>
        <v>1</v>
      </c>
      <c r="U70">
        <f t="shared" ref="U70:U90" si="62">R70*K70</f>
        <v>200</v>
      </c>
      <c r="V70" s="1">
        <f t="shared" ref="V70:V90" si="63">R70*L70</f>
        <v>2.5</v>
      </c>
      <c r="W70" s="1">
        <f t="shared" ref="W70:W90" si="64">$O70*F70</f>
        <v>280.85940893780599</v>
      </c>
      <c r="X70" s="1">
        <f t="shared" ref="X70:X90" si="65">-$O70*G70</f>
        <v>-224.68752715024482</v>
      </c>
      <c r="Y70" s="1">
        <f t="shared" ref="Y70:Y90" si="66">-$O70*H70</f>
        <v>-323</v>
      </c>
      <c r="Z70" s="1"/>
      <c r="AA70" s="1">
        <f>SUM(W70:Z70)</f>
        <v>-266.82811821243882</v>
      </c>
      <c r="AB70" s="1">
        <f>S70-U70</f>
        <v>-200</v>
      </c>
      <c r="AC70" s="1"/>
      <c r="AD70" s="1">
        <f>SUM(AA70:AC70)</f>
        <v>-466.82811821243882</v>
      </c>
      <c r="AE70" s="1">
        <f>T70-V70</f>
        <v>-2.5</v>
      </c>
      <c r="AF70">
        <f>SUM(AD70:AE70)</f>
        <v>-469.32811821243882</v>
      </c>
    </row>
    <row r="71" spans="1:32">
      <c r="E71">
        <v>1</v>
      </c>
      <c r="I71" s="13">
        <f t="shared" ref="I71:I90" si="67">I70</f>
        <v>250000</v>
      </c>
      <c r="J71" s="5">
        <v>0.3</v>
      </c>
      <c r="K71" s="19">
        <f t="shared" ref="K71:K90" si="68">I71*J71/1000</f>
        <v>75</v>
      </c>
      <c r="L71">
        <f t="shared" ref="L71:L89" si="69">I71*$B$9/1000</f>
        <v>2.5</v>
      </c>
      <c r="M71">
        <f>M40</f>
        <v>1.6188954599999999E-3</v>
      </c>
      <c r="N71" s="2">
        <f>$B$12</f>
        <v>1.04E-2</v>
      </c>
      <c r="O71">
        <f>R70</f>
        <v>1</v>
      </c>
      <c r="P71">
        <f>M71*O71/1000</f>
        <v>1.6188954599999999E-6</v>
      </c>
      <c r="Q71">
        <f>MIN(N71*O71,O71-P71)</f>
        <v>1.04E-2</v>
      </c>
      <c r="R71">
        <f>O71-SUM(P71:Q71)</f>
        <v>0.98959838110454001</v>
      </c>
      <c r="S71">
        <f>U70</f>
        <v>200</v>
      </c>
      <c r="T71">
        <f>V70</f>
        <v>2.5</v>
      </c>
      <c r="U71">
        <f t="shared" si="62"/>
        <v>74.219878582840508</v>
      </c>
      <c r="V71" s="1">
        <f t="shared" si="63"/>
        <v>2.4739959527613502</v>
      </c>
      <c r="W71" s="1">
        <f t="shared" si="64"/>
        <v>0</v>
      </c>
      <c r="X71" s="1">
        <f t="shared" si="65"/>
        <v>0</v>
      </c>
      <c r="Y71" s="1">
        <f t="shared" si="66"/>
        <v>0</v>
      </c>
      <c r="Z71" s="1">
        <f t="shared" ref="Z71:Z90" si="70">-P71*I71</f>
        <v>-0.40472386499999996</v>
      </c>
      <c r="AA71" s="1">
        <f t="shared" ref="AA71:AA90" si="71">SUM(W71:Z71)</f>
        <v>-0.40472386499999996</v>
      </c>
      <c r="AB71" s="1">
        <f t="shared" ref="AB71:AB90" si="72">-I71*O70*(J71-J70)/1000</f>
        <v>125</v>
      </c>
      <c r="AC71" s="1">
        <f>$B$10*SUM(S71:T71,W71:X71)</f>
        <v>11.137499999999999</v>
      </c>
      <c r="AD71" s="1">
        <f t="shared" ref="AD71:AD90" si="73">SUM(AA71:AC71)</f>
        <v>135.73277613499999</v>
      </c>
      <c r="AE71" s="1">
        <f t="shared" ref="AE71:AE90" si="74">T71-V71</f>
        <v>2.6004047238649797E-2</v>
      </c>
      <c r="AF71">
        <f t="shared" ref="AF71:AF90" si="75">SUM(AD71:AE71)</f>
        <v>135.75878018223864</v>
      </c>
    </row>
    <row r="72" spans="1:32">
      <c r="E72">
        <v>2</v>
      </c>
      <c r="F72" s="13" cm="1">
        <f t="array" ref="F72">_xlfn.IFS(AND(E72&gt;=0,E72&lt;=2),$B$69*(1-$B$21),AND(E72&gt;=3,E72&lt;=5),$B$69*(1-$B$22),AND(E72&gt;=6,E72&lt;=10),$B$69*(1-$B$23),AND(E72&gt;=11,E72&lt;=20),$B$69*(1-$B$24))</f>
        <v>280.85940893780599</v>
      </c>
      <c r="G72">
        <f>F72*$B$18</f>
        <v>14.042970446890301</v>
      </c>
      <c r="H72">
        <f t="shared" ref="H72:H90" si="76">$B$20</f>
        <v>218</v>
      </c>
      <c r="I72" s="13">
        <f t="shared" si="67"/>
        <v>250000</v>
      </c>
      <c r="J72" s="5">
        <v>0.4</v>
      </c>
      <c r="K72" s="19">
        <f t="shared" si="68"/>
        <v>100</v>
      </c>
      <c r="L72">
        <f t="shared" si="69"/>
        <v>2.5</v>
      </c>
      <c r="M72">
        <f t="shared" ref="M72:M90" si="77">M41</f>
        <v>1.7557649200000002E-3</v>
      </c>
      <c r="N72" s="2">
        <f>$B$13</f>
        <v>3.5099999999999999E-2</v>
      </c>
      <c r="O72">
        <f t="shared" ref="O72:O90" si="78">R71</f>
        <v>0.98959838110454001</v>
      </c>
      <c r="P72">
        <f t="shared" ref="P72:P90" si="79">M72*O72/1000</f>
        <v>1.7375021224321424E-6</v>
      </c>
      <c r="Q72">
        <f t="shared" ref="Q72:Q90" si="80">MIN(N72*O72,O72-P72)</f>
        <v>3.4734903176769354E-2</v>
      </c>
      <c r="R72">
        <f t="shared" ref="R72:R90" si="81">O72-SUM(P72:Q72)</f>
        <v>0.9548617404256482</v>
      </c>
      <c r="S72">
        <f t="shared" ref="S72:S90" si="82">U71</f>
        <v>74.219878582840508</v>
      </c>
      <c r="T72">
        <f t="shared" ref="T72:T90" si="83">V71</f>
        <v>2.4739959527613502</v>
      </c>
      <c r="U72">
        <f t="shared" si="62"/>
        <v>95.486174042564826</v>
      </c>
      <c r="V72" s="1">
        <f t="shared" si="63"/>
        <v>2.3871543510641207</v>
      </c>
      <c r="W72" s="1">
        <f t="shared" si="64"/>
        <v>277.93801640283078</v>
      </c>
      <c r="X72" s="1">
        <f t="shared" si="65"/>
        <v>-13.896900820141541</v>
      </c>
      <c r="Y72" s="1">
        <f t="shared" si="66"/>
        <v>-215.73244708078971</v>
      </c>
      <c r="Z72" s="1">
        <f t="shared" si="70"/>
        <v>-0.43437553060803558</v>
      </c>
      <c r="AA72" s="1">
        <f t="shared" si="71"/>
        <v>47.87429297129151</v>
      </c>
      <c r="AB72" s="1">
        <f t="shared" si="72"/>
        <v>-25.000000000000007</v>
      </c>
      <c r="AC72" s="1">
        <f t="shared" ref="AC72:AC90" si="84">$B$10*SUM(S72:T72,W72:X72)</f>
        <v>18.740424456506013</v>
      </c>
      <c r="AD72" s="1">
        <f t="shared" si="73"/>
        <v>41.614717427797515</v>
      </c>
      <c r="AE72" s="1">
        <f t="shared" si="74"/>
        <v>8.6841601697229542E-2</v>
      </c>
      <c r="AF72">
        <f t="shared" si="75"/>
        <v>41.701559029494746</v>
      </c>
    </row>
    <row r="73" spans="1:32">
      <c r="E73">
        <v>3</v>
      </c>
      <c r="F73" s="13" cm="1">
        <f t="array" ref="F73">_xlfn.IFS(AND(E73&gt;=0,E73&lt;=2),$B$69*(1-$B$21),AND(E73&gt;=3,E73&lt;=5),$B$69*(1-$B$22),AND(E73&gt;=6,E73&lt;=10),$B$69*(1-$B$23),AND(E73&gt;=11,E73&lt;=20),$B$69*(1-$B$24))</f>
        <v>275.12758426560583</v>
      </c>
      <c r="G73">
        <f t="shared" ref="G73:G90" si="85">F73*$B$18</f>
        <v>13.756379213280292</v>
      </c>
      <c r="H73">
        <f t="shared" si="76"/>
        <v>218</v>
      </c>
      <c r="I73" s="13">
        <f t="shared" si="67"/>
        <v>250000</v>
      </c>
      <c r="J73" s="5">
        <v>0.4</v>
      </c>
      <c r="K73" s="19">
        <f t="shared" si="68"/>
        <v>100</v>
      </c>
      <c r="L73">
        <f t="shared" si="69"/>
        <v>2.5</v>
      </c>
      <c r="M73">
        <f t="shared" si="77"/>
        <v>1.9170442199999999E-3</v>
      </c>
      <c r="N73" s="2">
        <f t="shared" ref="N73:N75" si="86">$B$13</f>
        <v>3.5099999999999999E-2</v>
      </c>
      <c r="O73">
        <f t="shared" si="78"/>
        <v>0.9548617404256482</v>
      </c>
      <c r="P73">
        <f t="shared" si="79"/>
        <v>1.8305121803821292E-6</v>
      </c>
      <c r="Q73">
        <f t="shared" si="80"/>
        <v>3.3515647088940254E-2</v>
      </c>
      <c r="R73">
        <f t="shared" si="81"/>
        <v>0.92134426282452753</v>
      </c>
      <c r="S73">
        <f t="shared" si="82"/>
        <v>95.486174042564826</v>
      </c>
      <c r="T73">
        <f t="shared" si="83"/>
        <v>2.3871543510641207</v>
      </c>
      <c r="U73">
        <f t="shared" si="62"/>
        <v>92.13442628245275</v>
      </c>
      <c r="V73" s="1">
        <f t="shared" si="63"/>
        <v>2.3033606570613188</v>
      </c>
      <c r="W73" s="1">
        <f t="shared" si="64"/>
        <v>262.70880395096054</v>
      </c>
      <c r="X73" s="1">
        <f t="shared" si="65"/>
        <v>-13.135440197548029</v>
      </c>
      <c r="Y73" s="1">
        <f t="shared" si="66"/>
        <v>-208.15985941279132</v>
      </c>
      <c r="Z73" s="1">
        <f t="shared" si="70"/>
        <v>-0.45762804509553229</v>
      </c>
      <c r="AA73" s="1">
        <f t="shared" si="71"/>
        <v>40.955876295525655</v>
      </c>
      <c r="AB73" s="1">
        <f t="shared" si="72"/>
        <v>0</v>
      </c>
      <c r="AC73" s="1">
        <f t="shared" si="84"/>
        <v>19.109568068087281</v>
      </c>
      <c r="AD73" s="1">
        <f t="shared" si="73"/>
        <v>60.06544436361294</v>
      </c>
      <c r="AE73" s="1">
        <f t="shared" si="74"/>
        <v>8.37936940028019E-2</v>
      </c>
      <c r="AF73">
        <f t="shared" si="75"/>
        <v>60.14923805761574</v>
      </c>
    </row>
    <row r="74" spans="1:32">
      <c r="E74">
        <v>4</v>
      </c>
      <c r="F74" s="13" cm="1">
        <f t="array" ref="F74">_xlfn.IFS(AND(E74&gt;=0,E74&lt;=2),$B$69*(1-$B$21),AND(E74&gt;=3,E74&lt;=5),$B$69*(1-$B$22),AND(E74&gt;=6,E74&lt;=10),$B$69*(1-$B$23),AND(E74&gt;=11,E74&lt;=20),$B$69*(1-$B$24))</f>
        <v>275.12758426560583</v>
      </c>
      <c r="G74">
        <f t="shared" si="85"/>
        <v>13.756379213280292</v>
      </c>
      <c r="H74">
        <f t="shared" si="76"/>
        <v>218</v>
      </c>
      <c r="I74" s="13">
        <f t="shared" si="67"/>
        <v>250000</v>
      </c>
      <c r="J74" s="5">
        <v>0.4</v>
      </c>
      <c r="K74" s="19">
        <f t="shared" si="68"/>
        <v>100</v>
      </c>
      <c r="L74">
        <f t="shared" si="69"/>
        <v>2.5</v>
      </c>
      <c r="M74">
        <f t="shared" si="77"/>
        <v>2.1018615799999999E-3</v>
      </c>
      <c r="N74" s="2">
        <f t="shared" si="86"/>
        <v>3.5099999999999999E-2</v>
      </c>
      <c r="O74">
        <f t="shared" si="78"/>
        <v>0.92134426282452753</v>
      </c>
      <c r="P74">
        <f t="shared" si="79"/>
        <v>1.9365381079842966E-6</v>
      </c>
      <c r="Q74">
        <f t="shared" si="80"/>
        <v>3.2339183625140919E-2</v>
      </c>
      <c r="R74">
        <f t="shared" si="81"/>
        <v>0.88900314266127867</v>
      </c>
      <c r="S74">
        <f t="shared" si="82"/>
        <v>92.13442628245275</v>
      </c>
      <c r="T74">
        <f t="shared" si="83"/>
        <v>2.3033606570613188</v>
      </c>
      <c r="U74">
        <f t="shared" si="62"/>
        <v>88.900314266127864</v>
      </c>
      <c r="V74" s="1">
        <f t="shared" si="63"/>
        <v>2.2225078566531966</v>
      </c>
      <c r="W74" s="1">
        <f t="shared" si="64"/>
        <v>253.48722130788769</v>
      </c>
      <c r="X74" s="1">
        <f t="shared" si="65"/>
        <v>-12.674361065394384</v>
      </c>
      <c r="Y74" s="1">
        <f t="shared" si="66"/>
        <v>-200.85304929574701</v>
      </c>
      <c r="Z74" s="1">
        <f t="shared" si="70"/>
        <v>-0.48413452699607418</v>
      </c>
      <c r="AA74" s="1">
        <f t="shared" si="71"/>
        <v>39.475676419750229</v>
      </c>
      <c r="AB74" s="1">
        <f t="shared" si="72"/>
        <v>0</v>
      </c>
      <c r="AC74" s="1">
        <f t="shared" si="84"/>
        <v>18.438785595010405</v>
      </c>
      <c r="AD74" s="1">
        <f t="shared" si="73"/>
        <v>57.91446201476063</v>
      </c>
      <c r="AE74" s="1">
        <f t="shared" si="74"/>
        <v>8.085280040812215E-2</v>
      </c>
      <c r="AF74">
        <f t="shared" si="75"/>
        <v>57.995314815168754</v>
      </c>
    </row>
    <row r="75" spans="1:32">
      <c r="E75">
        <v>5</v>
      </c>
      <c r="F75" s="13" cm="1">
        <f t="array" ref="F75">_xlfn.IFS(AND(E75&gt;=0,E75&lt;=2),$B$69*(1-$B$21),AND(E75&gt;=3,E75&lt;=5),$B$69*(1-$B$22),AND(E75&gt;=6,E75&lt;=10),$B$69*(1-$B$23),AND(E75&gt;=11,E75&lt;=20),$B$69*(1-$B$24))</f>
        <v>275.12758426560583</v>
      </c>
      <c r="G75">
        <f t="shared" si="85"/>
        <v>13.756379213280292</v>
      </c>
      <c r="H75">
        <f t="shared" si="76"/>
        <v>218</v>
      </c>
      <c r="I75" s="13">
        <f t="shared" si="67"/>
        <v>250000</v>
      </c>
      <c r="J75" s="5">
        <v>0.4</v>
      </c>
      <c r="K75" s="19">
        <f t="shared" si="68"/>
        <v>100</v>
      </c>
      <c r="L75">
        <f t="shared" si="69"/>
        <v>2.5</v>
      </c>
      <c r="M75">
        <f t="shared" si="77"/>
        <v>2.2971403000000001E-3</v>
      </c>
      <c r="N75" s="2">
        <f t="shared" si="86"/>
        <v>3.5099999999999999E-2</v>
      </c>
      <c r="O75">
        <f t="shared" si="78"/>
        <v>0.88900314266127867</v>
      </c>
      <c r="P75">
        <f t="shared" si="79"/>
        <v>2.0421649458338725E-6</v>
      </c>
      <c r="Q75">
        <f t="shared" si="80"/>
        <v>3.1204010307410882E-2</v>
      </c>
      <c r="R75">
        <f t="shared" si="81"/>
        <v>0.85779709018892192</v>
      </c>
      <c r="S75">
        <f t="shared" si="82"/>
        <v>88.900314266127864</v>
      </c>
      <c r="T75">
        <f t="shared" si="83"/>
        <v>2.2225078566531966</v>
      </c>
      <c r="U75">
        <f t="shared" si="62"/>
        <v>85.779709018892191</v>
      </c>
      <c r="V75" s="1">
        <f t="shared" si="63"/>
        <v>2.144492725472305</v>
      </c>
      <c r="W75" s="1">
        <f t="shared" si="64"/>
        <v>244.58928704492936</v>
      </c>
      <c r="X75" s="1">
        <f t="shared" si="65"/>
        <v>-12.229464352246469</v>
      </c>
      <c r="Y75" s="1">
        <f t="shared" si="66"/>
        <v>-193.80268510015875</v>
      </c>
      <c r="Z75" s="1">
        <f t="shared" si="70"/>
        <v>-0.51054123645846816</v>
      </c>
      <c r="AA75" s="1">
        <f t="shared" si="71"/>
        <v>38.046596356065663</v>
      </c>
      <c r="AB75" s="1">
        <f t="shared" si="72"/>
        <v>0</v>
      </c>
      <c r="AC75" s="1">
        <f t="shared" si="84"/>
        <v>17.791545464850518</v>
      </c>
      <c r="AD75" s="1">
        <f t="shared" si="73"/>
        <v>55.838141820916178</v>
      </c>
      <c r="AE75" s="1">
        <f t="shared" si="74"/>
        <v>7.801513118089165E-2</v>
      </c>
      <c r="AF75">
        <f t="shared" si="75"/>
        <v>55.916156952097069</v>
      </c>
    </row>
    <row r="76" spans="1:32">
      <c r="E76">
        <v>6</v>
      </c>
      <c r="F76" s="13" cm="1">
        <f t="array" ref="F76">_xlfn.IFS(AND(E76&gt;=0,E76&lt;=2),$B$69*(1-$B$21),AND(E76&gt;=3,E76&lt;=5),$B$69*(1-$B$22),AND(E76&gt;=6,E76&lt;=10),$B$69*(1-$B$23),AND(E76&gt;=11,E76&lt;=20),$B$69*(1-$B$24))</f>
        <v>266.52984725730568</v>
      </c>
      <c r="G76">
        <f t="shared" si="85"/>
        <v>13.326492362865284</v>
      </c>
      <c r="H76">
        <f t="shared" si="76"/>
        <v>218</v>
      </c>
      <c r="I76" s="13">
        <f t="shared" si="67"/>
        <v>250000</v>
      </c>
      <c r="J76" s="5">
        <v>0.4</v>
      </c>
      <c r="K76" s="19">
        <f t="shared" si="68"/>
        <v>100</v>
      </c>
      <c r="L76">
        <f t="shared" si="69"/>
        <v>2.5</v>
      </c>
      <c r="M76">
        <f t="shared" si="77"/>
        <v>2.51159818E-3</v>
      </c>
      <c r="N76" s="2">
        <f>$B$14</f>
        <v>7.6100000000000001E-2</v>
      </c>
      <c r="O76">
        <f t="shared" si="78"/>
        <v>0.85779709018892192</v>
      </c>
      <c r="P76">
        <f t="shared" si="79"/>
        <v>2.1544416105277918E-6</v>
      </c>
      <c r="Q76">
        <f t="shared" si="80"/>
        <v>6.5278358563376965E-2</v>
      </c>
      <c r="R76">
        <f t="shared" si="81"/>
        <v>0.79251657718393442</v>
      </c>
      <c r="S76">
        <f t="shared" si="82"/>
        <v>85.779709018892191</v>
      </c>
      <c r="T76">
        <f t="shared" si="83"/>
        <v>2.144492725472305</v>
      </c>
      <c r="U76">
        <f t="shared" si="62"/>
        <v>79.251657718393446</v>
      </c>
      <c r="V76" s="1">
        <f t="shared" si="63"/>
        <v>1.9812914429598361</v>
      </c>
      <c r="W76" s="1">
        <f t="shared" si="64"/>
        <v>228.62852742581461</v>
      </c>
      <c r="X76" s="1">
        <f t="shared" si="65"/>
        <v>-11.431426371290732</v>
      </c>
      <c r="Y76" s="1">
        <f t="shared" si="66"/>
        <v>-186.99976566118497</v>
      </c>
      <c r="Z76" s="1">
        <f t="shared" si="70"/>
        <v>-0.53861040263194793</v>
      </c>
      <c r="AA76" s="1">
        <f t="shared" si="71"/>
        <v>29.658724990706954</v>
      </c>
      <c r="AB76" s="1">
        <f t="shared" si="72"/>
        <v>0</v>
      </c>
      <c r="AC76" s="1">
        <f t="shared" si="84"/>
        <v>16.781671653938858</v>
      </c>
      <c r="AD76" s="1">
        <f t="shared" si="73"/>
        <v>46.440396644645816</v>
      </c>
      <c r="AE76" s="1">
        <f t="shared" si="74"/>
        <v>0.1632012825124689</v>
      </c>
      <c r="AF76">
        <f t="shared" si="75"/>
        <v>46.603597927158283</v>
      </c>
    </row>
    <row r="77" spans="1:32">
      <c r="E77">
        <v>7</v>
      </c>
      <c r="F77" s="13" cm="1">
        <f t="array" ref="F77">_xlfn.IFS(AND(E77&gt;=0,E77&lt;=2),$B$69*(1-$B$21),AND(E77&gt;=3,E77&lt;=5),$B$69*(1-$B$22),AND(E77&gt;=6,E77&lt;=10),$B$69*(1-$B$23),AND(E77&gt;=11,E77&lt;=20),$B$69*(1-$B$24))</f>
        <v>266.52984725730568</v>
      </c>
      <c r="G77">
        <f t="shared" si="85"/>
        <v>13.326492362865284</v>
      </c>
      <c r="H77">
        <f t="shared" si="76"/>
        <v>218</v>
      </c>
      <c r="I77" s="13">
        <f t="shared" si="67"/>
        <v>250000</v>
      </c>
      <c r="J77" s="5">
        <v>0.4</v>
      </c>
      <c r="K77" s="19">
        <f t="shared" si="68"/>
        <v>100</v>
      </c>
      <c r="L77">
        <f t="shared" si="69"/>
        <v>2.5</v>
      </c>
      <c r="M77">
        <f t="shared" si="77"/>
        <v>2.7417480999999996E-3</v>
      </c>
      <c r="N77" s="2">
        <f t="shared" ref="N77:N80" si="87">$B$14</f>
        <v>7.6100000000000001E-2</v>
      </c>
      <c r="O77">
        <f t="shared" si="78"/>
        <v>0.79251657718393442</v>
      </c>
      <c r="P77">
        <f t="shared" si="79"/>
        <v>2.172880819712555E-6</v>
      </c>
      <c r="Q77">
        <f t="shared" si="80"/>
        <v>6.0310511523697409E-2</v>
      </c>
      <c r="R77">
        <f t="shared" si="81"/>
        <v>0.73220389277941733</v>
      </c>
      <c r="S77">
        <f t="shared" si="82"/>
        <v>79.251657718393446</v>
      </c>
      <c r="T77">
        <f t="shared" si="83"/>
        <v>1.9812914429598361</v>
      </c>
      <c r="U77">
        <f t="shared" si="62"/>
        <v>73.220389277941734</v>
      </c>
      <c r="V77" s="1">
        <f t="shared" si="63"/>
        <v>1.8305097319485433</v>
      </c>
      <c r="W77" s="1">
        <f t="shared" si="64"/>
        <v>211.22932226571675</v>
      </c>
      <c r="X77" s="1">
        <f t="shared" si="65"/>
        <v>-10.561466113285839</v>
      </c>
      <c r="Y77" s="1">
        <f t="shared" si="66"/>
        <v>-172.76861382609769</v>
      </c>
      <c r="Z77" s="1">
        <f t="shared" si="70"/>
        <v>-0.54322020492813872</v>
      </c>
      <c r="AA77" s="1">
        <f t="shared" si="71"/>
        <v>27.356022121405083</v>
      </c>
      <c r="AB77" s="1">
        <f t="shared" si="72"/>
        <v>0</v>
      </c>
      <c r="AC77" s="1">
        <f t="shared" si="84"/>
        <v>15.50454429225813</v>
      </c>
      <c r="AD77" s="1">
        <f t="shared" si="73"/>
        <v>42.860566413663214</v>
      </c>
      <c r="AE77" s="1">
        <f t="shared" si="74"/>
        <v>0.15078171101129278</v>
      </c>
      <c r="AF77">
        <f t="shared" si="75"/>
        <v>43.011348124674505</v>
      </c>
    </row>
    <row r="78" spans="1:32">
      <c r="E78">
        <v>8</v>
      </c>
      <c r="F78" s="13" cm="1">
        <f t="array" ref="F78">_xlfn.IFS(AND(E78&gt;=0,E78&lt;=2),$B$69*(1-$B$21),AND(E78&gt;=3,E78&lt;=5),$B$69*(1-$B$22),AND(E78&gt;=6,E78&lt;=10),$B$69*(1-$B$23),AND(E78&gt;=11,E78&lt;=20),$B$69*(1-$B$24))</f>
        <v>266.52984725730568</v>
      </c>
      <c r="G78">
        <f t="shared" si="85"/>
        <v>13.326492362865284</v>
      </c>
      <c r="H78">
        <f t="shared" si="76"/>
        <v>218</v>
      </c>
      <c r="I78" s="13">
        <f t="shared" si="67"/>
        <v>250000</v>
      </c>
      <c r="J78" s="5">
        <v>0.4</v>
      </c>
      <c r="K78" s="19">
        <f t="shared" si="68"/>
        <v>100</v>
      </c>
      <c r="L78">
        <f t="shared" si="69"/>
        <v>2.5</v>
      </c>
      <c r="M78">
        <f t="shared" si="77"/>
        <v>3.0067692199999998E-3</v>
      </c>
      <c r="N78" s="2">
        <f t="shared" si="87"/>
        <v>7.6100000000000001E-2</v>
      </c>
      <c r="O78">
        <f t="shared" si="78"/>
        <v>0.73220389277941733</v>
      </c>
      <c r="P78">
        <f t="shared" si="79"/>
        <v>2.2015681275733324E-6</v>
      </c>
      <c r="Q78">
        <f t="shared" si="80"/>
        <v>5.5720716240513661E-2</v>
      </c>
      <c r="R78">
        <f t="shared" si="81"/>
        <v>0.67648097497077608</v>
      </c>
      <c r="S78">
        <f t="shared" si="82"/>
        <v>73.220389277941734</v>
      </c>
      <c r="T78">
        <f t="shared" si="83"/>
        <v>1.8305097319485433</v>
      </c>
      <c r="U78">
        <f t="shared" si="62"/>
        <v>67.648097497077615</v>
      </c>
      <c r="V78" s="1">
        <f t="shared" si="63"/>
        <v>1.6912024374269401</v>
      </c>
      <c r="W78" s="1">
        <f t="shared" si="64"/>
        <v>195.15419170370274</v>
      </c>
      <c r="X78" s="1">
        <f t="shared" si="65"/>
        <v>-9.7577095851851361</v>
      </c>
      <c r="Y78" s="1">
        <f t="shared" si="66"/>
        <v>-159.62044862591299</v>
      </c>
      <c r="Z78" s="1">
        <f t="shared" si="70"/>
        <v>-0.55039203189333308</v>
      </c>
      <c r="AA78" s="1">
        <f t="shared" si="71"/>
        <v>25.225641460711291</v>
      </c>
      <c r="AB78" s="1">
        <f t="shared" si="72"/>
        <v>0</v>
      </c>
      <c r="AC78" s="1">
        <f t="shared" si="84"/>
        <v>14.324605962062433</v>
      </c>
      <c r="AD78" s="1">
        <f t="shared" si="73"/>
        <v>39.550247422773722</v>
      </c>
      <c r="AE78" s="1">
        <f t="shared" si="74"/>
        <v>0.13930729452160318</v>
      </c>
      <c r="AF78">
        <f t="shared" si="75"/>
        <v>39.689554717295323</v>
      </c>
    </row>
    <row r="79" spans="1:32">
      <c r="E79">
        <v>9</v>
      </c>
      <c r="F79" s="13" cm="1">
        <f t="array" ref="F79">_xlfn.IFS(AND(E79&gt;=0,E79&lt;=2),$B$69*(1-$B$21),AND(E79&gt;=3,E79&lt;=5),$B$69*(1-$B$22),AND(E79&gt;=6,E79&lt;=10),$B$69*(1-$B$23),AND(E79&gt;=11,E79&lt;=20),$B$69*(1-$B$24))</f>
        <v>266.52984725730568</v>
      </c>
      <c r="G79">
        <f t="shared" si="85"/>
        <v>13.326492362865284</v>
      </c>
      <c r="H79">
        <f t="shared" si="76"/>
        <v>218</v>
      </c>
      <c r="I79" s="13">
        <f t="shared" si="67"/>
        <v>250000</v>
      </c>
      <c r="J79" s="5">
        <v>0.4</v>
      </c>
      <c r="K79" s="19">
        <f t="shared" si="68"/>
        <v>100</v>
      </c>
      <c r="L79">
        <f t="shared" si="69"/>
        <v>2.5</v>
      </c>
      <c r="M79">
        <f t="shared" si="77"/>
        <v>3.3084051E-3</v>
      </c>
      <c r="N79" s="2">
        <f t="shared" si="87"/>
        <v>7.6100000000000001E-2</v>
      </c>
      <c r="O79">
        <f t="shared" si="78"/>
        <v>0.67648097497077608</v>
      </c>
      <c r="P79">
        <f t="shared" si="79"/>
        <v>2.238073107646288E-6</v>
      </c>
      <c r="Q79">
        <f t="shared" si="80"/>
        <v>5.1480202195276062E-2</v>
      </c>
      <c r="R79">
        <f t="shared" si="81"/>
        <v>0.62499853470239242</v>
      </c>
      <c r="S79">
        <f t="shared" si="82"/>
        <v>67.648097497077615</v>
      </c>
      <c r="T79">
        <f t="shared" si="83"/>
        <v>1.6912024374269401</v>
      </c>
      <c r="U79">
        <f t="shared" si="62"/>
        <v>62.499853470239245</v>
      </c>
      <c r="V79" s="1">
        <f t="shared" si="63"/>
        <v>1.562496336755981</v>
      </c>
      <c r="W79" s="1">
        <f t="shared" si="64"/>
        <v>180.30237093143418</v>
      </c>
      <c r="X79" s="1">
        <f t="shared" si="65"/>
        <v>-9.0151185465717099</v>
      </c>
      <c r="Y79" s="1">
        <f t="shared" si="66"/>
        <v>-147.47285254362919</v>
      </c>
      <c r="Z79" s="1">
        <f t="shared" si="70"/>
        <v>-0.55951827691157197</v>
      </c>
      <c r="AA79" s="1">
        <f t="shared" si="71"/>
        <v>23.254881564321725</v>
      </c>
      <c r="AB79" s="1">
        <f t="shared" si="72"/>
        <v>0</v>
      </c>
      <c r="AC79" s="1">
        <f t="shared" si="84"/>
        <v>13.234460377565188</v>
      </c>
      <c r="AD79" s="1">
        <f t="shared" si="73"/>
        <v>36.489341941886913</v>
      </c>
      <c r="AE79" s="1">
        <f t="shared" si="74"/>
        <v>0.12870610067095911</v>
      </c>
      <c r="AF79">
        <f t="shared" si="75"/>
        <v>36.618048042557874</v>
      </c>
    </row>
    <row r="80" spans="1:32">
      <c r="E80">
        <v>10</v>
      </c>
      <c r="F80" s="13" cm="1">
        <f t="array" ref="F80">_xlfn.IFS(AND(E80&gt;=0,E80&lt;=2),$B$69*(1-$B$21),AND(E80&gt;=3,E80&lt;=5),$B$69*(1-$B$22),AND(E80&gt;=6,E80&lt;=10),$B$69*(1-$B$23),AND(E80&gt;=11,E80&lt;=20),$B$69*(1-$B$24))</f>
        <v>266.52984725730568</v>
      </c>
      <c r="G80">
        <f t="shared" si="85"/>
        <v>13.326492362865284</v>
      </c>
      <c r="H80">
        <f t="shared" si="76"/>
        <v>218</v>
      </c>
      <c r="I80" s="13">
        <f t="shared" si="67"/>
        <v>250000</v>
      </c>
      <c r="J80" s="5">
        <v>0.4</v>
      </c>
      <c r="K80" s="19">
        <f t="shared" si="68"/>
        <v>100</v>
      </c>
      <c r="L80">
        <f t="shared" si="69"/>
        <v>2.5</v>
      </c>
      <c r="M80">
        <f t="shared" si="77"/>
        <v>3.6422968400000003E-3</v>
      </c>
      <c r="N80" s="2">
        <f t="shared" si="87"/>
        <v>7.6100000000000001E-2</v>
      </c>
      <c r="O80">
        <f t="shared" si="78"/>
        <v>0.62499853470239242</v>
      </c>
      <c r="P80">
        <f t="shared" si="79"/>
        <v>2.2764301879511543E-6</v>
      </c>
      <c r="Q80">
        <f t="shared" si="80"/>
        <v>4.7562388490852064E-2</v>
      </c>
      <c r="R80">
        <f t="shared" si="81"/>
        <v>0.57743386978135236</v>
      </c>
      <c r="S80">
        <f t="shared" si="82"/>
        <v>62.499853470239245</v>
      </c>
      <c r="T80">
        <f t="shared" si="83"/>
        <v>1.562496336755981</v>
      </c>
      <c r="U80">
        <f t="shared" si="62"/>
        <v>57.743386978135234</v>
      </c>
      <c r="V80" s="1">
        <f t="shared" si="63"/>
        <v>1.4435846744533809</v>
      </c>
      <c r="W80" s="1">
        <f t="shared" si="64"/>
        <v>166.58076399026851</v>
      </c>
      <c r="X80" s="1">
        <f t="shared" si="65"/>
        <v>-8.3290381995134268</v>
      </c>
      <c r="Y80" s="1">
        <f t="shared" si="66"/>
        <v>-136.24968056512154</v>
      </c>
      <c r="Z80" s="1">
        <f t="shared" si="70"/>
        <v>-0.56910754698778854</v>
      </c>
      <c r="AA80" s="1">
        <f t="shared" si="71"/>
        <v>21.43293767864575</v>
      </c>
      <c r="AB80" s="1">
        <f t="shared" si="72"/>
        <v>0</v>
      </c>
      <c r="AC80" s="1">
        <f t="shared" si="84"/>
        <v>12.227274157876266</v>
      </c>
      <c r="AD80" s="1">
        <f t="shared" si="73"/>
        <v>33.660211836522016</v>
      </c>
      <c r="AE80" s="1">
        <f t="shared" si="74"/>
        <v>0.11891166230260009</v>
      </c>
      <c r="AF80">
        <f t="shared" si="75"/>
        <v>33.779123498824617</v>
      </c>
    </row>
    <row r="81" spans="5:32">
      <c r="E81">
        <v>11</v>
      </c>
      <c r="F81" s="13" cm="1">
        <f t="array" ref="F81">_xlfn.IFS(AND(E81&gt;=0,E81&lt;=2),$B$69*(1-$B$21),AND(E81&gt;=3,E81&lt;=5),$B$69*(1-$B$22),AND(E81&gt;=6,E81&lt;=10),$B$69*(1-$B$23),AND(E81&gt;=11,E81&lt;=20),$B$69*(1-$B$24))</f>
        <v>257.93211024900552</v>
      </c>
      <c r="G81">
        <f t="shared" si="85"/>
        <v>12.896605512450277</v>
      </c>
      <c r="H81">
        <f t="shared" si="76"/>
        <v>218</v>
      </c>
      <c r="I81" s="13">
        <f t="shared" si="67"/>
        <v>250000</v>
      </c>
      <c r="J81" s="5">
        <v>0.4</v>
      </c>
      <c r="K81" s="19">
        <f t="shared" si="68"/>
        <v>100</v>
      </c>
      <c r="L81">
        <f t="shared" si="69"/>
        <v>2.5</v>
      </c>
      <c r="M81">
        <f t="shared" si="77"/>
        <v>4.0215211399999996E-3</v>
      </c>
      <c r="N81" s="2">
        <f>$B$15</f>
        <v>0.11899999999999999</v>
      </c>
      <c r="O81">
        <f t="shared" si="78"/>
        <v>0.57743386978135236</v>
      </c>
      <c r="P81">
        <f t="shared" si="79"/>
        <v>2.3221625142777156E-6</v>
      </c>
      <c r="Q81">
        <f t="shared" si="80"/>
        <v>6.8714630503980925E-2</v>
      </c>
      <c r="R81">
        <f t="shared" si="81"/>
        <v>0.50871691711485711</v>
      </c>
      <c r="S81">
        <f t="shared" si="82"/>
        <v>57.743386978135234</v>
      </c>
      <c r="T81">
        <f t="shared" si="83"/>
        <v>1.4435846744533809</v>
      </c>
      <c r="U81">
        <f t="shared" si="62"/>
        <v>50.87169171148571</v>
      </c>
      <c r="V81" s="1">
        <f t="shared" si="63"/>
        <v>1.2717922927871428</v>
      </c>
      <c r="W81" s="1">
        <f t="shared" si="64"/>
        <v>148.93873656195368</v>
      </c>
      <c r="X81" s="1">
        <f t="shared" si="65"/>
        <v>-7.4469368280976846</v>
      </c>
      <c r="Y81" s="1">
        <f t="shared" si="66"/>
        <v>-125.88058361233482</v>
      </c>
      <c r="Z81" s="1">
        <f t="shared" si="70"/>
        <v>-0.5805406285694289</v>
      </c>
      <c r="AA81" s="1">
        <f t="shared" si="71"/>
        <v>15.030675492951753</v>
      </c>
      <c r="AB81" s="1">
        <f t="shared" si="72"/>
        <v>0</v>
      </c>
      <c r="AC81" s="1">
        <f t="shared" si="84"/>
        <v>11.037332426254455</v>
      </c>
      <c r="AD81" s="1">
        <f t="shared" si="73"/>
        <v>26.06800791920621</v>
      </c>
      <c r="AE81" s="1">
        <f t="shared" si="74"/>
        <v>0.17179238166623811</v>
      </c>
      <c r="AF81">
        <f t="shared" si="75"/>
        <v>26.239800300872446</v>
      </c>
    </row>
    <row r="82" spans="5:32">
      <c r="E82">
        <v>12</v>
      </c>
      <c r="F82" s="13" cm="1">
        <f t="array" ref="F82">_xlfn.IFS(AND(E82&gt;=0,E82&lt;=2),$B$69*(1-$B$21),AND(E82&gt;=3,E82&lt;=5),$B$69*(1-$B$22),AND(E82&gt;=6,E82&lt;=10),$B$69*(1-$B$23),AND(E82&gt;=11,E82&lt;=20),$B$69*(1-$B$24))</f>
        <v>257.93211024900552</v>
      </c>
      <c r="G82">
        <f t="shared" si="85"/>
        <v>12.896605512450277</v>
      </c>
      <c r="H82">
        <f t="shared" si="76"/>
        <v>218</v>
      </c>
      <c r="I82" s="13">
        <f t="shared" si="67"/>
        <v>250000</v>
      </c>
      <c r="J82" s="5">
        <v>0.4</v>
      </c>
      <c r="K82" s="19">
        <f t="shared" si="68"/>
        <v>100</v>
      </c>
      <c r="L82">
        <f t="shared" si="69"/>
        <v>2.5</v>
      </c>
      <c r="M82">
        <f t="shared" si="77"/>
        <v>4.4513086800000001E-3</v>
      </c>
      <c r="N82" s="2">
        <f t="shared" ref="N82:N85" si="88">$B$15</f>
        <v>0.11899999999999999</v>
      </c>
      <c r="O82">
        <f t="shared" si="78"/>
        <v>0.50871691711485711</v>
      </c>
      <c r="P82">
        <f t="shared" si="79"/>
        <v>2.2644560288162042E-6</v>
      </c>
      <c r="Q82">
        <f t="shared" si="80"/>
        <v>6.0537313136667992E-2</v>
      </c>
      <c r="R82">
        <f t="shared" si="81"/>
        <v>0.44817733952216032</v>
      </c>
      <c r="S82">
        <f t="shared" si="82"/>
        <v>50.87169171148571</v>
      </c>
      <c r="T82">
        <f t="shared" si="83"/>
        <v>1.2717922927871428</v>
      </c>
      <c r="U82">
        <f t="shared" si="62"/>
        <v>44.817733952216031</v>
      </c>
      <c r="V82" s="1">
        <f t="shared" si="63"/>
        <v>1.1204433488054009</v>
      </c>
      <c r="W82" s="1">
        <f t="shared" si="64"/>
        <v>131.21442795080353</v>
      </c>
      <c r="X82" s="1">
        <f t="shared" si="65"/>
        <v>-6.5607213975401768</v>
      </c>
      <c r="Y82" s="1">
        <f t="shared" si="66"/>
        <v>-110.90028793103885</v>
      </c>
      <c r="Z82" s="1">
        <f t="shared" si="70"/>
        <v>-0.56611400720405103</v>
      </c>
      <c r="AA82" s="1">
        <f t="shared" si="71"/>
        <v>13.18730461502045</v>
      </c>
      <c r="AB82" s="1">
        <f t="shared" si="72"/>
        <v>0</v>
      </c>
      <c r="AC82" s="1">
        <f t="shared" si="84"/>
        <v>9.7238454806644903</v>
      </c>
      <c r="AD82" s="1">
        <f t="shared" si="73"/>
        <v>22.911150095684938</v>
      </c>
      <c r="AE82" s="1">
        <f t="shared" si="74"/>
        <v>0.15134894398174192</v>
      </c>
      <c r="AF82">
        <f t="shared" si="75"/>
        <v>23.06249903966668</v>
      </c>
    </row>
    <row r="83" spans="5:32">
      <c r="E83">
        <v>13</v>
      </c>
      <c r="F83" s="13" cm="1">
        <f t="array" ref="F83">_xlfn.IFS(AND(E83&gt;=0,E83&lt;=2),$B$69*(1-$B$21),AND(E83&gt;=3,E83&lt;=5),$B$69*(1-$B$22),AND(E83&gt;=6,E83&lt;=10),$B$69*(1-$B$23),AND(E83&gt;=11,E83&lt;=20),$B$69*(1-$B$24))</f>
        <v>257.93211024900552</v>
      </c>
      <c r="G83">
        <f t="shared" si="85"/>
        <v>12.896605512450277</v>
      </c>
      <c r="H83">
        <f t="shared" si="76"/>
        <v>218</v>
      </c>
      <c r="I83" s="13">
        <f t="shared" si="67"/>
        <v>250000</v>
      </c>
      <c r="J83" s="5">
        <v>0.4</v>
      </c>
      <c r="K83" s="19">
        <f t="shared" si="68"/>
        <v>100</v>
      </c>
      <c r="L83">
        <f t="shared" si="69"/>
        <v>2.5</v>
      </c>
      <c r="M83">
        <f t="shared" si="77"/>
        <v>4.8994036000000003E-3</v>
      </c>
      <c r="N83" s="2">
        <f t="shared" si="88"/>
        <v>0.11899999999999999</v>
      </c>
      <c r="O83">
        <f t="shared" si="78"/>
        <v>0.44817733952216032</v>
      </c>
      <c r="P83">
        <f t="shared" si="79"/>
        <v>2.1958016706932945E-6</v>
      </c>
      <c r="Q83">
        <f t="shared" si="80"/>
        <v>5.3333103403137079E-2</v>
      </c>
      <c r="R83">
        <f t="shared" si="81"/>
        <v>0.39484204031735254</v>
      </c>
      <c r="S83">
        <f t="shared" si="82"/>
        <v>44.817733952216031</v>
      </c>
      <c r="T83">
        <f t="shared" si="83"/>
        <v>1.1204433488054009</v>
      </c>
      <c r="U83">
        <f t="shared" si="62"/>
        <v>39.484204031735253</v>
      </c>
      <c r="V83" s="1">
        <f t="shared" si="63"/>
        <v>0.98710510079338132</v>
      </c>
      <c r="W83" s="1">
        <f t="shared" si="64"/>
        <v>115.59932694873584</v>
      </c>
      <c r="X83" s="1">
        <f t="shared" si="65"/>
        <v>-5.7799663474367922</v>
      </c>
      <c r="Y83" s="1">
        <f t="shared" si="66"/>
        <v>-97.702660015830944</v>
      </c>
      <c r="Z83" s="1">
        <f t="shared" si="70"/>
        <v>-0.54895041767332364</v>
      </c>
      <c r="AA83" s="1">
        <f t="shared" si="71"/>
        <v>11.567750167794772</v>
      </c>
      <c r="AB83" s="1">
        <f t="shared" si="72"/>
        <v>0</v>
      </c>
      <c r="AC83" s="1">
        <f t="shared" si="84"/>
        <v>8.5666645846276257</v>
      </c>
      <c r="AD83" s="1">
        <f t="shared" si="73"/>
        <v>20.134414752422398</v>
      </c>
      <c r="AE83" s="1">
        <f t="shared" si="74"/>
        <v>0.13333824801201954</v>
      </c>
      <c r="AF83">
        <f t="shared" si="75"/>
        <v>20.267753000434418</v>
      </c>
    </row>
    <row r="84" spans="5:32">
      <c r="E84">
        <v>14</v>
      </c>
      <c r="F84" s="13" cm="1">
        <f t="array" ref="F84">_xlfn.IFS(AND(E84&gt;=0,E84&lt;=2),$B$69*(1-$B$21),AND(E84&gt;=3,E84&lt;=5),$B$69*(1-$B$22),AND(E84&gt;=6,E84&lt;=10),$B$69*(1-$B$23),AND(E84&gt;=11,E84&lt;=20),$B$69*(1-$B$24))</f>
        <v>257.93211024900552</v>
      </c>
      <c r="G84">
        <f t="shared" si="85"/>
        <v>12.896605512450277</v>
      </c>
      <c r="H84">
        <f t="shared" si="76"/>
        <v>218</v>
      </c>
      <c r="I84" s="13">
        <f t="shared" si="67"/>
        <v>250000</v>
      </c>
      <c r="J84" s="5">
        <v>0.4</v>
      </c>
      <c r="K84" s="19">
        <f t="shared" si="68"/>
        <v>100</v>
      </c>
      <c r="L84">
        <f t="shared" si="69"/>
        <v>2.5</v>
      </c>
      <c r="M84">
        <f t="shared" si="77"/>
        <v>5.3788826E-3</v>
      </c>
      <c r="N84" s="2">
        <f t="shared" si="88"/>
        <v>0.11899999999999999</v>
      </c>
      <c r="O84">
        <f t="shared" si="78"/>
        <v>0.39484204031735254</v>
      </c>
      <c r="P84">
        <f t="shared" si="79"/>
        <v>2.1238089804115058E-6</v>
      </c>
      <c r="Q84">
        <f t="shared" si="80"/>
        <v>4.6986202797764949E-2</v>
      </c>
      <c r="R84">
        <f t="shared" si="81"/>
        <v>0.34785371371060719</v>
      </c>
      <c r="S84">
        <f t="shared" si="82"/>
        <v>39.484204031735253</v>
      </c>
      <c r="T84">
        <f t="shared" si="83"/>
        <v>0.98710510079338132</v>
      </c>
      <c r="U84">
        <f t="shared" si="62"/>
        <v>34.78537137106072</v>
      </c>
      <c r="V84" s="1">
        <f t="shared" si="63"/>
        <v>0.86963428427651801</v>
      </c>
      <c r="W84" s="1">
        <f t="shared" si="64"/>
        <v>101.84244067407765</v>
      </c>
      <c r="X84" s="1">
        <f t="shared" si="65"/>
        <v>-5.0921220337038831</v>
      </c>
      <c r="Y84" s="1">
        <f t="shared" si="66"/>
        <v>-86.075564789182849</v>
      </c>
      <c r="Z84" s="1">
        <f t="shared" si="70"/>
        <v>-0.53095224510287642</v>
      </c>
      <c r="AA84" s="1">
        <f t="shared" si="71"/>
        <v>10.143801606088038</v>
      </c>
      <c r="AB84" s="1">
        <f t="shared" si="72"/>
        <v>0</v>
      </c>
      <c r="AC84" s="1">
        <f t="shared" si="84"/>
        <v>7.5471895275096319</v>
      </c>
      <c r="AD84" s="1">
        <f t="shared" si="73"/>
        <v>17.69099113359767</v>
      </c>
      <c r="AE84" s="1">
        <f t="shared" si="74"/>
        <v>0.11747081651686331</v>
      </c>
      <c r="AF84">
        <f t="shared" si="75"/>
        <v>17.808461950114534</v>
      </c>
    </row>
    <row r="85" spans="5:32">
      <c r="E85">
        <v>15</v>
      </c>
      <c r="F85" s="13" cm="1">
        <f t="array" ref="F85">_xlfn.IFS(AND(E85&gt;=0,E85&lt;=2),$B$69*(1-$B$21),AND(E85&gt;=3,E85&lt;=5),$B$69*(1-$B$22),AND(E85&gt;=6,E85&lt;=10),$B$69*(1-$B$23),AND(E85&gt;=11,E85&lt;=20),$B$69*(1-$B$24))</f>
        <v>257.93211024900552</v>
      </c>
      <c r="G85">
        <f t="shared" si="85"/>
        <v>12.896605512450277</v>
      </c>
      <c r="H85">
        <f t="shared" si="76"/>
        <v>218</v>
      </c>
      <c r="I85" s="13">
        <f t="shared" si="67"/>
        <v>250000</v>
      </c>
      <c r="J85" s="5">
        <v>0.4</v>
      </c>
      <c r="K85" s="19">
        <f t="shared" si="68"/>
        <v>100</v>
      </c>
      <c r="L85">
        <f t="shared" si="69"/>
        <v>2.5</v>
      </c>
      <c r="M85">
        <f t="shared" si="77"/>
        <v>5.9071812799999998E-3</v>
      </c>
      <c r="N85" s="2">
        <f t="shared" si="88"/>
        <v>0.11899999999999999</v>
      </c>
      <c r="O85">
        <f t="shared" si="78"/>
        <v>0.34785371371060719</v>
      </c>
      <c r="P85">
        <f t="shared" si="79"/>
        <v>2.0548349458097777E-6</v>
      </c>
      <c r="Q85">
        <f t="shared" si="80"/>
        <v>4.1394591931562252E-2</v>
      </c>
      <c r="R85">
        <f t="shared" si="81"/>
        <v>0.30645706694409913</v>
      </c>
      <c r="S85">
        <f t="shared" si="82"/>
        <v>34.78537137106072</v>
      </c>
      <c r="T85">
        <f t="shared" si="83"/>
        <v>0.86963428427651801</v>
      </c>
      <c r="U85">
        <f t="shared" si="62"/>
        <v>30.645706694409913</v>
      </c>
      <c r="V85" s="1">
        <f t="shared" si="63"/>
        <v>0.76614266736024783</v>
      </c>
      <c r="W85" s="1">
        <f t="shared" si="64"/>
        <v>89.722642435330343</v>
      </c>
      <c r="X85" s="1">
        <f t="shared" si="65"/>
        <v>-4.4861321217665173</v>
      </c>
      <c r="Y85" s="1">
        <f t="shared" si="66"/>
        <v>-75.832109588912374</v>
      </c>
      <c r="Z85" s="1">
        <f t="shared" si="70"/>
        <v>-0.51370873645244441</v>
      </c>
      <c r="AA85" s="1">
        <f t="shared" si="71"/>
        <v>8.8906919881990074</v>
      </c>
      <c r="AB85" s="1">
        <f t="shared" si="72"/>
        <v>0</v>
      </c>
      <c r="AC85" s="1">
        <f t="shared" si="84"/>
        <v>6.6490333782895581</v>
      </c>
      <c r="AD85" s="1">
        <f t="shared" si="73"/>
        <v>15.539725366488565</v>
      </c>
      <c r="AE85" s="1">
        <f t="shared" si="74"/>
        <v>0.10349161691627018</v>
      </c>
      <c r="AF85">
        <f t="shared" si="75"/>
        <v>15.643216983404836</v>
      </c>
    </row>
    <row r="86" spans="5:32">
      <c r="E86">
        <v>16</v>
      </c>
      <c r="F86" s="13" cm="1">
        <f t="array" ref="F86">_xlfn.IFS(AND(E86&gt;=0,E86&lt;=2),$B$69*(1-$B$21),AND(E86&gt;=3,E86&lt;=5),$B$69*(1-$B$22),AND(E86&gt;=6,E86&lt;=10),$B$69*(1-$B$23),AND(E86&gt;=11,E86&lt;=20),$B$69*(1-$B$24))</f>
        <v>257.93211024900552</v>
      </c>
      <c r="G86">
        <f t="shared" si="85"/>
        <v>12.896605512450277</v>
      </c>
      <c r="H86">
        <f t="shared" si="76"/>
        <v>218</v>
      </c>
      <c r="I86" s="13">
        <f t="shared" si="67"/>
        <v>250000</v>
      </c>
      <c r="J86" s="5">
        <v>0.4</v>
      </c>
      <c r="K86" s="19">
        <f t="shared" si="68"/>
        <v>100</v>
      </c>
      <c r="L86">
        <f t="shared" si="69"/>
        <v>2.5</v>
      </c>
      <c r="M86">
        <f t="shared" si="77"/>
        <v>6.5392217799999999E-3</v>
      </c>
      <c r="N86" s="2">
        <f>$B$16</f>
        <v>0.15620000000000001</v>
      </c>
      <c r="O86">
        <f t="shared" si="78"/>
        <v>0.30645706694409913</v>
      </c>
      <c r="P86">
        <f t="shared" si="79"/>
        <v>2.0039907267957708E-6</v>
      </c>
      <c r="Q86">
        <f t="shared" si="80"/>
        <v>4.7868593856668286E-2</v>
      </c>
      <c r="R86">
        <f t="shared" si="81"/>
        <v>0.25858646909670407</v>
      </c>
      <c r="S86">
        <f t="shared" si="82"/>
        <v>30.645706694409913</v>
      </c>
      <c r="T86">
        <f t="shared" si="83"/>
        <v>0.76614266736024783</v>
      </c>
      <c r="U86">
        <f t="shared" si="62"/>
        <v>25.858646909670409</v>
      </c>
      <c r="V86" s="1">
        <f t="shared" si="63"/>
        <v>0.64646617274176021</v>
      </c>
      <c r="W86" s="1">
        <f t="shared" si="64"/>
        <v>79.045117977612236</v>
      </c>
      <c r="X86" s="1">
        <f t="shared" si="65"/>
        <v>-3.9522558988806122</v>
      </c>
      <c r="Y86" s="1">
        <f t="shared" si="66"/>
        <v>-66.807640593813616</v>
      </c>
      <c r="Z86" s="1">
        <f t="shared" si="70"/>
        <v>-0.50099768169894265</v>
      </c>
      <c r="AA86" s="1">
        <f t="shared" si="71"/>
        <v>7.7842238032190689</v>
      </c>
      <c r="AB86" s="1">
        <f t="shared" si="72"/>
        <v>0</v>
      </c>
      <c r="AC86" s="1">
        <f t="shared" si="84"/>
        <v>5.857759129227599</v>
      </c>
      <c r="AD86" s="1">
        <f t="shared" si="73"/>
        <v>13.641982932446668</v>
      </c>
      <c r="AE86" s="1">
        <f t="shared" si="74"/>
        <v>0.11967649461848762</v>
      </c>
      <c r="AF86">
        <f t="shared" si="75"/>
        <v>13.761659427065155</v>
      </c>
    </row>
    <row r="87" spans="5:32">
      <c r="E87">
        <v>17</v>
      </c>
      <c r="F87" s="13" cm="1">
        <f t="array" ref="F87">_xlfn.IFS(AND(E87&gt;=0,E87&lt;=2),$B$69*(1-$B$21),AND(E87&gt;=3,E87&lt;=5),$B$69*(1-$B$22),AND(E87&gt;=6,E87&lt;=10),$B$69*(1-$B$23),AND(E87&gt;=11,E87&lt;=20),$B$69*(1-$B$24))</f>
        <v>257.93211024900552</v>
      </c>
      <c r="G87">
        <f t="shared" si="85"/>
        <v>12.896605512450277</v>
      </c>
      <c r="H87">
        <f t="shared" si="76"/>
        <v>218</v>
      </c>
      <c r="I87" s="13">
        <f t="shared" si="67"/>
        <v>250000</v>
      </c>
      <c r="J87" s="5">
        <v>0.3</v>
      </c>
      <c r="K87" s="19">
        <f t="shared" si="68"/>
        <v>75</v>
      </c>
      <c r="L87">
        <f t="shared" si="69"/>
        <v>2.5</v>
      </c>
      <c r="M87">
        <f t="shared" si="77"/>
        <v>7.2131077200000004E-3</v>
      </c>
      <c r="N87" s="2">
        <f t="shared" ref="N87:N90" si="89">$B$16</f>
        <v>0.15620000000000001</v>
      </c>
      <c r="O87">
        <f t="shared" si="78"/>
        <v>0.25858646909670407</v>
      </c>
      <c r="P87">
        <f t="shared" si="79"/>
        <v>1.8652120565289776E-6</v>
      </c>
      <c r="Q87">
        <f t="shared" si="80"/>
        <v>4.0391206472905179E-2</v>
      </c>
      <c r="R87">
        <f t="shared" si="81"/>
        <v>0.21819339741174237</v>
      </c>
      <c r="S87">
        <f t="shared" si="82"/>
        <v>25.858646909670409</v>
      </c>
      <c r="T87">
        <f t="shared" si="83"/>
        <v>0.64646617274176021</v>
      </c>
      <c r="U87">
        <f t="shared" si="62"/>
        <v>16.364504805880678</v>
      </c>
      <c r="V87" s="1">
        <f t="shared" si="63"/>
        <v>0.54548349352935599</v>
      </c>
      <c r="W87" s="1">
        <f t="shared" si="64"/>
        <v>66.697753655952127</v>
      </c>
      <c r="X87" s="1">
        <f t="shared" si="65"/>
        <v>-3.3348876827976071</v>
      </c>
      <c r="Y87" s="1">
        <f t="shared" si="66"/>
        <v>-56.371850263081491</v>
      </c>
      <c r="Z87" s="1">
        <f t="shared" si="70"/>
        <v>-0.4663030141322444</v>
      </c>
      <c r="AA87" s="1">
        <f t="shared" si="71"/>
        <v>6.5247126959407842</v>
      </c>
      <c r="AB87" s="1">
        <f t="shared" si="72"/>
        <v>7.661426673602481</v>
      </c>
      <c r="AC87" s="1">
        <f t="shared" si="84"/>
        <v>4.9427388480561669</v>
      </c>
      <c r="AD87" s="1">
        <f t="shared" si="73"/>
        <v>19.128878217599432</v>
      </c>
      <c r="AE87" s="1">
        <f t="shared" si="74"/>
        <v>0.10098267921240422</v>
      </c>
      <c r="AF87">
        <f t="shared" si="75"/>
        <v>19.229860896811836</v>
      </c>
    </row>
    <row r="88" spans="5:32">
      <c r="E88">
        <v>18</v>
      </c>
      <c r="F88" s="13" cm="1">
        <f t="array" ref="F88">_xlfn.IFS(AND(E88&gt;=0,E88&lt;=2),$B$69*(1-$B$21),AND(E88&gt;=3,E88&lt;=5),$B$69*(1-$B$22),AND(E88&gt;=6,E88&lt;=10),$B$69*(1-$B$23),AND(E88&gt;=11,E88&lt;=20),$B$69*(1-$B$24))</f>
        <v>257.93211024900552</v>
      </c>
      <c r="G88">
        <f t="shared" si="85"/>
        <v>12.896605512450277</v>
      </c>
      <c r="H88">
        <f t="shared" si="76"/>
        <v>218</v>
      </c>
      <c r="I88" s="13">
        <f t="shared" si="67"/>
        <v>250000</v>
      </c>
      <c r="J88" s="5">
        <v>0.2</v>
      </c>
      <c r="K88" s="19">
        <f t="shared" si="68"/>
        <v>50</v>
      </c>
      <c r="L88">
        <f t="shared" si="69"/>
        <v>2.5</v>
      </c>
      <c r="M88">
        <f t="shared" si="77"/>
        <v>7.8843783199999996E-3</v>
      </c>
      <c r="N88" s="2">
        <f t="shared" si="89"/>
        <v>0.15620000000000001</v>
      </c>
      <c r="O88">
        <f t="shared" si="78"/>
        <v>0.21819339741174237</v>
      </c>
      <c r="P88">
        <f t="shared" si="79"/>
        <v>1.7203192921202856E-6</v>
      </c>
      <c r="Q88">
        <f t="shared" si="80"/>
        <v>3.4081808675714163E-2</v>
      </c>
      <c r="R88">
        <f t="shared" si="81"/>
        <v>0.1841098684167361</v>
      </c>
      <c r="S88">
        <f t="shared" si="82"/>
        <v>16.364504805880678</v>
      </c>
      <c r="T88">
        <f t="shared" si="83"/>
        <v>0.54548349352935599</v>
      </c>
      <c r="U88">
        <f t="shared" si="62"/>
        <v>9.2054934208368042</v>
      </c>
      <c r="V88" s="1">
        <f t="shared" si="63"/>
        <v>0.46027467104184028</v>
      </c>
      <c r="W88" s="1">
        <f t="shared" si="64"/>
        <v>56.279083436810609</v>
      </c>
      <c r="X88" s="1">
        <f t="shared" si="65"/>
        <v>-2.8139541718405305</v>
      </c>
      <c r="Y88" s="1">
        <f t="shared" si="66"/>
        <v>-47.566160635759836</v>
      </c>
      <c r="Z88" s="1">
        <f t="shared" si="70"/>
        <v>-0.43007982303007142</v>
      </c>
      <c r="AA88" s="1">
        <f t="shared" si="71"/>
        <v>5.468888806180173</v>
      </c>
      <c r="AB88" s="1">
        <f t="shared" si="72"/>
        <v>6.4646617274176004</v>
      </c>
      <c r="AC88" s="1">
        <f t="shared" si="84"/>
        <v>3.8706314660409058</v>
      </c>
      <c r="AD88" s="1">
        <f t="shared" si="73"/>
        <v>15.804181999638679</v>
      </c>
      <c r="AE88" s="1">
        <f t="shared" si="74"/>
        <v>8.5208822487515712E-2</v>
      </c>
      <c r="AF88">
        <f t="shared" si="75"/>
        <v>15.889390822126195</v>
      </c>
    </row>
    <row r="89" spans="5:32">
      <c r="E89">
        <v>19</v>
      </c>
      <c r="F89" s="13" cm="1">
        <f t="array" ref="F89">_xlfn.IFS(AND(E89&gt;=0,E89&lt;=2),$B$69*(1-$B$21),AND(E89&gt;=3,E89&lt;=5),$B$69*(1-$B$22),AND(E89&gt;=6,E89&lt;=10),$B$69*(1-$B$23),AND(E89&gt;=11,E89&lt;=20),$B$69*(1-$B$24))</f>
        <v>257.93211024900552</v>
      </c>
      <c r="G89">
        <f t="shared" si="85"/>
        <v>12.896605512450277</v>
      </c>
      <c r="H89">
        <f t="shared" si="76"/>
        <v>218</v>
      </c>
      <c r="I89" s="13">
        <f t="shared" si="67"/>
        <v>250000</v>
      </c>
      <c r="J89" s="5">
        <v>0.1</v>
      </c>
      <c r="K89" s="19">
        <f t="shared" si="68"/>
        <v>25</v>
      </c>
      <c r="L89">
        <f t="shared" si="69"/>
        <v>2.5</v>
      </c>
      <c r="M89">
        <f t="shared" si="77"/>
        <v>8.6227759800000005E-3</v>
      </c>
      <c r="N89" s="2">
        <f t="shared" si="89"/>
        <v>0.15620000000000001</v>
      </c>
      <c r="O89">
        <f t="shared" si="78"/>
        <v>0.1841098684167361</v>
      </c>
      <c r="P89">
        <f t="shared" si="79"/>
        <v>1.5875381510647928E-6</v>
      </c>
      <c r="Q89">
        <f t="shared" si="80"/>
        <v>2.875796144669418E-2</v>
      </c>
      <c r="R89">
        <f t="shared" si="81"/>
        <v>0.15535031943189084</v>
      </c>
      <c r="S89">
        <f t="shared" si="82"/>
        <v>9.2054934208368042</v>
      </c>
      <c r="T89">
        <f t="shared" si="83"/>
        <v>0.46027467104184028</v>
      </c>
      <c r="U89">
        <f t="shared" si="62"/>
        <v>3.8837579857972711</v>
      </c>
      <c r="V89" s="1">
        <f t="shared" si="63"/>
        <v>0.38837579857972709</v>
      </c>
      <c r="W89" s="1">
        <f t="shared" si="64"/>
        <v>47.487846878395473</v>
      </c>
      <c r="X89" s="1">
        <f t="shared" si="65"/>
        <v>-2.3743923439197738</v>
      </c>
      <c r="Y89" s="1">
        <f t="shared" si="66"/>
        <v>-40.135951314848469</v>
      </c>
      <c r="Z89" s="1">
        <f t="shared" si="70"/>
        <v>-0.3968845377661982</v>
      </c>
      <c r="AA89" s="1">
        <f t="shared" si="71"/>
        <v>4.5806186818610328</v>
      </c>
      <c r="AB89" s="1">
        <f t="shared" si="72"/>
        <v>5.454834935293559</v>
      </c>
      <c r="AC89" s="1">
        <f t="shared" si="84"/>
        <v>3.012857244449489</v>
      </c>
      <c r="AD89" s="1">
        <f t="shared" si="73"/>
        <v>13.048310861604079</v>
      </c>
      <c r="AE89" s="1">
        <f t="shared" si="74"/>
        <v>7.1898872462113184E-2</v>
      </c>
      <c r="AF89">
        <f t="shared" si="75"/>
        <v>13.120209734066192</v>
      </c>
    </row>
    <row r="90" spans="5:32">
      <c r="E90">
        <v>20</v>
      </c>
      <c r="F90" s="13" cm="1">
        <f t="array" ref="F90">_xlfn.IFS(AND(E90&gt;=0,E90&lt;=2),$B$69*(1-$B$21),AND(E90&gt;=3,E90&lt;=5),$B$69*(1-$B$22),AND(E90&gt;=6,E90&lt;=10),$B$69*(1-$B$23),AND(E90&gt;=11,E90&lt;=20),$B$69*(1-$B$24))</f>
        <v>257.93211024900552</v>
      </c>
      <c r="G90">
        <f t="shared" si="85"/>
        <v>12.896605512450277</v>
      </c>
      <c r="H90">
        <f t="shared" si="76"/>
        <v>218</v>
      </c>
      <c r="I90" s="13">
        <f t="shared" si="67"/>
        <v>250000</v>
      </c>
      <c r="J90" s="5">
        <v>0</v>
      </c>
      <c r="K90" s="19">
        <f t="shared" si="68"/>
        <v>0</v>
      </c>
      <c r="M90">
        <f t="shared" si="77"/>
        <v>9.4082497599999992E-3</v>
      </c>
      <c r="N90" s="2">
        <f t="shared" si="89"/>
        <v>0.15620000000000001</v>
      </c>
      <c r="O90">
        <f t="shared" si="78"/>
        <v>0.15535031943189084</v>
      </c>
      <c r="P90">
        <f t="shared" si="79"/>
        <v>1.4615746055110103E-6</v>
      </c>
      <c r="Q90">
        <f t="shared" si="80"/>
        <v>2.4265719895261349E-2</v>
      </c>
      <c r="R90">
        <f t="shared" si="81"/>
        <v>0.13108313796202398</v>
      </c>
      <c r="S90">
        <f t="shared" si="82"/>
        <v>3.8837579857972711</v>
      </c>
      <c r="T90">
        <f t="shared" si="83"/>
        <v>0.38837579857972709</v>
      </c>
      <c r="U90">
        <f t="shared" si="62"/>
        <v>0</v>
      </c>
      <c r="V90" s="1">
        <f t="shared" si="63"/>
        <v>0</v>
      </c>
      <c r="W90" s="1">
        <f t="shared" si="64"/>
        <v>40.069835718924693</v>
      </c>
      <c r="X90" s="1">
        <f t="shared" si="65"/>
        <v>-2.0034917859462347</v>
      </c>
      <c r="Y90" s="1">
        <f t="shared" si="66"/>
        <v>-33.866369636152207</v>
      </c>
      <c r="Z90" s="1">
        <f t="shared" si="70"/>
        <v>-0.36539365137775259</v>
      </c>
      <c r="AA90" s="1">
        <f t="shared" si="71"/>
        <v>3.8345806454484954</v>
      </c>
      <c r="AB90" s="1">
        <f t="shared" si="72"/>
        <v>4.6027467104184021</v>
      </c>
      <c r="AC90" s="1">
        <f t="shared" si="84"/>
        <v>2.3286162744545504</v>
      </c>
      <c r="AD90" s="1">
        <f t="shared" si="73"/>
        <v>10.765943630321448</v>
      </c>
      <c r="AE90" s="1">
        <f t="shared" si="74"/>
        <v>0.38837579857972709</v>
      </c>
      <c r="AF90">
        <f t="shared" si="75"/>
        <v>11.154319428901175</v>
      </c>
    </row>
    <row r="92" spans="5:32">
      <c r="E92" s="3"/>
      <c r="V92" t="s">
        <v>116</v>
      </c>
      <c r="W92">
        <f>SUM(W70:W90)</f>
        <v>3178.3751261999473</v>
      </c>
      <c r="X92">
        <f t="shared" ref="X92:AF92" si="90">SUM(X70:X90)</f>
        <v>-369.563313013352</v>
      </c>
      <c r="Y92">
        <f t="shared" si="90"/>
        <v>-2685.7985804923887</v>
      </c>
      <c r="Z92">
        <f t="shared" si="90"/>
        <v>-9.9521764105182235</v>
      </c>
      <c r="AA92">
        <f t="shared" si="90"/>
        <v>113.06105628368861</v>
      </c>
      <c r="AB92">
        <f t="shared" si="90"/>
        <v>-75.816329953267953</v>
      </c>
      <c r="AC92">
        <f t="shared" si="90"/>
        <v>220.82704838772958</v>
      </c>
      <c r="AD92">
        <f t="shared" si="90"/>
        <v>258.07177471815021</v>
      </c>
      <c r="AE92">
        <f t="shared" si="90"/>
        <v>0</v>
      </c>
      <c r="AF92">
        <f t="shared" si="90"/>
        <v>258.07177471815015</v>
      </c>
    </row>
    <row r="93" spans="5:32">
      <c r="V93" t="str">
        <f>"PV at "&amp;$B$10</f>
        <v>PV at 0.055</v>
      </c>
      <c r="W93">
        <f>W70+NPV($B$10,W71:W90)</f>
        <v>2203.515399760181</v>
      </c>
      <c r="X93">
        <f t="shared" ref="X93:AF93" si="91">X70+NPV($B$10,X71:X90)</f>
        <v>-320.82032669136356</v>
      </c>
      <c r="Y93">
        <f t="shared" si="91"/>
        <v>-1880.6143804913577</v>
      </c>
      <c r="Z93">
        <f t="shared" si="91"/>
        <v>-5.9542745141413658</v>
      </c>
      <c r="AA93">
        <f t="shared" si="91"/>
        <v>-3.8735819366819442</v>
      </c>
      <c r="AB93">
        <f t="shared" si="91"/>
        <v>-94.87868678811418</v>
      </c>
      <c r="AC93">
        <f t="shared" si="91"/>
        <v>149.55603444457086</v>
      </c>
      <c r="AD93">
        <f t="shared" si="91"/>
        <v>50.803765719774617</v>
      </c>
      <c r="AE93">
        <f t="shared" si="91"/>
        <v>-1.1127720164790964</v>
      </c>
      <c r="AF93">
        <f t="shared" si="91"/>
        <v>49.690993703295533</v>
      </c>
    </row>
    <row r="94" spans="5:32">
      <c r="V94" t="str">
        <f>"PV at "&amp;$B$11</f>
        <v>PV at 0.0738</v>
      </c>
      <c r="W94">
        <f>W70+NPV($B$11,W71:W90)</f>
        <v>1981.4976814513416</v>
      </c>
      <c r="X94">
        <f t="shared" ref="X94:AF94" si="92">X70+NPV($B$11,X71:X90)</f>
        <v>-309.71944077592161</v>
      </c>
      <c r="Y94">
        <f t="shared" si="92"/>
        <v>-1697.9980851554083</v>
      </c>
      <c r="Z94">
        <f t="shared" si="92"/>
        <v>-5.1171741825414747</v>
      </c>
      <c r="AA94">
        <f t="shared" si="92"/>
        <v>-31.337018662529744</v>
      </c>
      <c r="AB94">
        <f t="shared" si="92"/>
        <v>-98.676618184619997</v>
      </c>
      <c r="AC94">
        <f t="shared" si="92"/>
        <v>133.23946084318683</v>
      </c>
      <c r="AD94">
        <f t="shared" si="92"/>
        <v>3.2258239960370361</v>
      </c>
      <c r="AE94">
        <f t="shared" si="92"/>
        <v>-1.3355222135674292</v>
      </c>
      <c r="AF94">
        <f t="shared" si="92"/>
        <v>1.8903017824696917</v>
      </c>
    </row>
    <row r="96" spans="5:32">
      <c r="V96" t="s">
        <v>117</v>
      </c>
      <c r="W96">
        <f>AD94</f>
        <v>3.2258239960370361</v>
      </c>
    </row>
    <row r="97" spans="1:32">
      <c r="V97" t="s">
        <v>118</v>
      </c>
      <c r="W97">
        <f>AF94</f>
        <v>1.8903017824696917</v>
      </c>
    </row>
    <row r="99" spans="1:32">
      <c r="A99" s="4" t="str">
        <f>"Base Assumptions for "&amp;B101&amp;" Death benefit (M,NS,44,Moderate)"</f>
        <v>Base Assumptions for 500000 Death benefit (M,NS,44,Moderate)</v>
      </c>
      <c r="E99" s="8" t="s">
        <v>61</v>
      </c>
      <c r="F99" s="8"/>
      <c r="G99" s="8"/>
      <c r="H99" s="8"/>
      <c r="I99" s="8"/>
      <c r="J99" s="8"/>
      <c r="K99" s="8"/>
      <c r="L99" s="8"/>
      <c r="M99" s="9" t="s">
        <v>62</v>
      </c>
      <c r="N99" s="9"/>
      <c r="O99" s="9"/>
      <c r="P99" s="9"/>
      <c r="Q99" s="9"/>
      <c r="R99" s="9"/>
      <c r="S99" s="10" t="s">
        <v>63</v>
      </c>
      <c r="T99" s="10"/>
      <c r="U99" s="10"/>
      <c r="V99" s="11"/>
      <c r="W99" s="48" t="s">
        <v>64</v>
      </c>
      <c r="X99" s="48" t="s">
        <v>65</v>
      </c>
      <c r="Y99" s="48" t="s">
        <v>66</v>
      </c>
      <c r="Z99" s="48" t="s">
        <v>67</v>
      </c>
      <c r="AA99" s="48"/>
      <c r="AB99" s="48" t="s">
        <v>68</v>
      </c>
      <c r="AC99" s="48" t="s">
        <v>69</v>
      </c>
      <c r="AD99" s="48" t="s">
        <v>70</v>
      </c>
      <c r="AE99" s="48" t="s">
        <v>71</v>
      </c>
      <c r="AF99" s="48" t="s">
        <v>72</v>
      </c>
    </row>
    <row r="100" spans="1:32" ht="29.1">
      <c r="A100" t="s">
        <v>60</v>
      </c>
      <c r="B100" s="12">
        <v>297.22177854688817</v>
      </c>
      <c r="E100" t="s">
        <v>73</v>
      </c>
      <c r="F100" s="19" t="s">
        <v>60</v>
      </c>
      <c r="G100" s="19" t="s">
        <v>74</v>
      </c>
      <c r="H100" s="19" t="s">
        <v>46</v>
      </c>
      <c r="I100" s="1" t="s">
        <v>75</v>
      </c>
      <c r="J100" s="1" t="s">
        <v>76</v>
      </c>
      <c r="K100" s="1" t="s">
        <v>77</v>
      </c>
      <c r="L100" s="1" t="s">
        <v>78</v>
      </c>
      <c r="M100" s="1" t="s">
        <v>79</v>
      </c>
      <c r="N100" s="1" t="s">
        <v>80</v>
      </c>
      <c r="O100" s="1" t="s">
        <v>81</v>
      </c>
      <c r="P100" s="1" t="s">
        <v>82</v>
      </c>
      <c r="Q100" s="1" t="s">
        <v>83</v>
      </c>
      <c r="R100" s="1" t="s">
        <v>84</v>
      </c>
      <c r="S100" s="1" t="s">
        <v>85</v>
      </c>
      <c r="T100" s="1" t="s">
        <v>86</v>
      </c>
      <c r="U100" s="1" t="s">
        <v>87</v>
      </c>
      <c r="V100" s="1" t="s">
        <v>88</v>
      </c>
      <c r="W100" s="1" t="s">
        <v>89</v>
      </c>
      <c r="X100" s="1" t="s">
        <v>90</v>
      </c>
      <c r="Y100" s="1" t="s">
        <v>91</v>
      </c>
      <c r="Z100" s="1" t="s">
        <v>92</v>
      </c>
      <c r="AA100" s="1" t="s">
        <v>93</v>
      </c>
      <c r="AB100" s="1" t="s">
        <v>94</v>
      </c>
      <c r="AC100" s="1" t="s">
        <v>95</v>
      </c>
      <c r="AD100" s="1" t="s">
        <v>44</v>
      </c>
      <c r="AE100" s="1" t="s">
        <v>96</v>
      </c>
      <c r="AF100" s="1" t="s">
        <v>97</v>
      </c>
    </row>
    <row r="101" spans="1:32">
      <c r="A101" t="s">
        <v>98</v>
      </c>
      <c r="B101" s="12">
        <v>500000</v>
      </c>
      <c r="E101">
        <v>0</v>
      </c>
      <c r="F101" s="13" cm="1">
        <f t="array" ref="F101">_xlfn.IFS(AND(E101&gt;=0,E101&lt;=2),$B$100*(1-$B$21),AND(E101&gt;=3,E101&lt;=5),$B$100*(1-$B$22),AND(E101&gt;=6,E101&lt;=10),$B$100*(1-$B$23),AND(E101&gt;=11,E101&lt;=20),$B$100*(1-$B$24))</f>
        <v>291.27734297595043</v>
      </c>
      <c r="G101">
        <f>F101*$B$17</f>
        <v>233.02187438076035</v>
      </c>
      <c r="H101">
        <f>$B$19</f>
        <v>323</v>
      </c>
      <c r="I101" s="13">
        <f>$B101</f>
        <v>500000</v>
      </c>
      <c r="J101" s="5">
        <v>0.8</v>
      </c>
      <c r="K101" s="19">
        <f>I101*J101/1000</f>
        <v>400</v>
      </c>
      <c r="L101">
        <f>I101*$B$9/1000</f>
        <v>5</v>
      </c>
      <c r="O101">
        <v>1</v>
      </c>
      <c r="R101">
        <f>O101-SUM(P101:Q101)</f>
        <v>1</v>
      </c>
      <c r="U101">
        <f t="shared" ref="U101:U121" si="93">R101*K101</f>
        <v>400</v>
      </c>
      <c r="V101" s="1">
        <f t="shared" ref="V101:V121" si="94">R101*L101</f>
        <v>5</v>
      </c>
      <c r="W101" s="1">
        <f t="shared" ref="W101:W121" si="95">$O101*F101</f>
        <v>291.27734297595043</v>
      </c>
      <c r="X101" s="1">
        <f t="shared" ref="X101:X121" si="96">-$O101*G101</f>
        <v>-233.02187438076035</v>
      </c>
      <c r="Y101" s="1">
        <f t="shared" ref="Y101:Y121" si="97">-$O101*H101</f>
        <v>-323</v>
      </c>
      <c r="Z101" s="1"/>
      <c r="AA101" s="1">
        <f>SUM(W101:Z101)</f>
        <v>-264.74453140480989</v>
      </c>
      <c r="AB101" s="1">
        <f>S101-U101</f>
        <v>-400</v>
      </c>
      <c r="AC101" s="1"/>
      <c r="AD101" s="1">
        <f>SUM(AA101:AC101)</f>
        <v>-664.74453140480989</v>
      </c>
      <c r="AE101" s="1">
        <f>T101-V101</f>
        <v>-5</v>
      </c>
      <c r="AF101">
        <f>SUM(AD101:AE101)</f>
        <v>-669.74453140480989</v>
      </c>
    </row>
    <row r="102" spans="1:32">
      <c r="E102">
        <v>1</v>
      </c>
      <c r="I102" s="13">
        <f t="shared" ref="I102:I121" si="98">I101</f>
        <v>500000</v>
      </c>
      <c r="J102" s="5">
        <v>0.3</v>
      </c>
      <c r="K102" s="19">
        <f t="shared" ref="K102:K121" si="99">I102*J102/1000</f>
        <v>150</v>
      </c>
      <c r="L102">
        <f t="shared" ref="L102:L120" si="100">I102*$B$9/1000</f>
        <v>5</v>
      </c>
      <c r="M102">
        <f>M71</f>
        <v>1.6188954599999999E-3</v>
      </c>
      <c r="N102" s="2">
        <f>$B$12</f>
        <v>1.04E-2</v>
      </c>
      <c r="O102">
        <f>R101</f>
        <v>1</v>
      </c>
      <c r="P102">
        <f>M102*O102/1000</f>
        <v>1.6188954599999999E-6</v>
      </c>
      <c r="Q102">
        <f>MIN(N102*O102,O102-P102)</f>
        <v>1.04E-2</v>
      </c>
      <c r="R102">
        <f>O102-SUM(P102:Q102)</f>
        <v>0.98959838110454001</v>
      </c>
      <c r="S102">
        <f>U101</f>
        <v>400</v>
      </c>
      <c r="T102">
        <f>V101</f>
        <v>5</v>
      </c>
      <c r="U102">
        <f t="shared" si="93"/>
        <v>148.43975716568102</v>
      </c>
      <c r="V102" s="1">
        <f t="shared" si="94"/>
        <v>4.9479919055227004</v>
      </c>
      <c r="W102" s="1">
        <f t="shared" si="95"/>
        <v>0</v>
      </c>
      <c r="X102" s="1">
        <f t="shared" si="96"/>
        <v>0</v>
      </c>
      <c r="Y102" s="1">
        <f t="shared" si="97"/>
        <v>0</v>
      </c>
      <c r="Z102" s="1">
        <f t="shared" ref="Z102:Z121" si="101">-P102*I102</f>
        <v>-0.80944772999999992</v>
      </c>
      <c r="AA102" s="1">
        <f t="shared" ref="AA102:AA121" si="102">SUM(W102:Z102)</f>
        <v>-0.80944772999999992</v>
      </c>
      <c r="AB102" s="1">
        <f t="shared" ref="AB102:AB121" si="103">-I102*O101*(J102-J101)/1000</f>
        <v>250</v>
      </c>
      <c r="AC102" s="1">
        <f>$B$10*SUM(S102:T102,W102:X102)</f>
        <v>22.274999999999999</v>
      </c>
      <c r="AD102" s="1">
        <f t="shared" ref="AD102:AD121" si="104">SUM(AA102:AC102)</f>
        <v>271.46555226999999</v>
      </c>
      <c r="AE102" s="1">
        <f t="shared" ref="AE102:AE121" si="105">T102-V102</f>
        <v>5.2008094477299593E-2</v>
      </c>
      <c r="AF102">
        <f t="shared" ref="AF102:AF121" si="106">SUM(AD102:AE102)</f>
        <v>271.51756036447728</v>
      </c>
    </row>
    <row r="103" spans="1:32">
      <c r="E103">
        <v>2</v>
      </c>
      <c r="F103" s="13" cm="1">
        <f t="array" ref="F103">_xlfn.IFS(AND(E103&gt;=0,E103&lt;=2),$B$100*(1-$B$21),AND(E103&gt;=3,E103&lt;=5),$B$100*(1-$B$22),AND(E103&gt;=6,E103&lt;=10),$B$100*(1-$B$23),AND(E103&gt;=11,E103&lt;=20),$B$100*(1-$B$24))</f>
        <v>291.27734297595043</v>
      </c>
      <c r="G103">
        <f>F103*$B$18</f>
        <v>14.563867148797522</v>
      </c>
      <c r="H103">
        <f t="shared" ref="H103:H121" si="107">$B$20</f>
        <v>218</v>
      </c>
      <c r="I103" s="13">
        <f t="shared" si="98"/>
        <v>500000</v>
      </c>
      <c r="J103" s="5">
        <v>0.4</v>
      </c>
      <c r="K103" s="19">
        <f t="shared" si="99"/>
        <v>200</v>
      </c>
      <c r="L103">
        <f t="shared" si="100"/>
        <v>5</v>
      </c>
      <c r="M103">
        <f t="shared" ref="M103:M121" si="108">M72</f>
        <v>1.7557649200000002E-3</v>
      </c>
      <c r="N103" s="2">
        <f>$B$13</f>
        <v>3.5099999999999999E-2</v>
      </c>
      <c r="O103">
        <f t="shared" ref="O103:O121" si="109">R102</f>
        <v>0.98959838110454001</v>
      </c>
      <c r="P103">
        <f t="shared" ref="P103:P121" si="110">M103*O103/1000</f>
        <v>1.7375021224321424E-6</v>
      </c>
      <c r="Q103">
        <f t="shared" ref="Q103:Q121" si="111">MIN(N103*O103,O103-P103)</f>
        <v>3.4734903176769354E-2</v>
      </c>
      <c r="R103">
        <f t="shared" ref="R103:R121" si="112">O103-SUM(P103:Q103)</f>
        <v>0.9548617404256482</v>
      </c>
      <c r="S103">
        <f t="shared" ref="S103:S121" si="113">U102</f>
        <v>148.43975716568102</v>
      </c>
      <c r="T103">
        <f t="shared" ref="T103:T121" si="114">V102</f>
        <v>4.9479919055227004</v>
      </c>
      <c r="U103">
        <f t="shared" si="93"/>
        <v>190.97234808512965</v>
      </c>
      <c r="V103" s="1">
        <f t="shared" si="94"/>
        <v>4.7743087021282413</v>
      </c>
      <c r="W103" s="1">
        <f t="shared" si="95"/>
        <v>288.2475870614324</v>
      </c>
      <c r="X103" s="1">
        <f t="shared" si="96"/>
        <v>-14.412379353071621</v>
      </c>
      <c r="Y103" s="1">
        <f t="shared" si="97"/>
        <v>-215.73244708078971</v>
      </c>
      <c r="Z103" s="1">
        <f t="shared" si="101"/>
        <v>-0.86875106121607115</v>
      </c>
      <c r="AA103" s="1">
        <f t="shared" si="102"/>
        <v>57.234009566354985</v>
      </c>
      <c r="AB103" s="1">
        <f t="shared" si="103"/>
        <v>-50.000000000000014</v>
      </c>
      <c r="AC103" s="1">
        <f t="shared" ref="AC103:AC121" si="115">$B$10*SUM(S103:T103,W103:X103)</f>
        <v>23.497262622876047</v>
      </c>
      <c r="AD103" s="1">
        <f t="shared" si="104"/>
        <v>30.731272189231017</v>
      </c>
      <c r="AE103" s="1">
        <f t="shared" si="105"/>
        <v>0.17368320339445908</v>
      </c>
      <c r="AF103">
        <f t="shared" si="106"/>
        <v>30.904955392625475</v>
      </c>
    </row>
    <row r="104" spans="1:32">
      <c r="E104">
        <v>3</v>
      </c>
      <c r="F104" s="13" cm="1">
        <f t="array" ref="F104">_xlfn.IFS(AND(E104&gt;=0,E104&lt;=2),$B$100*(1-$B$21),AND(E104&gt;=3,E104&lt;=5),$B$100*(1-$B$22),AND(E104&gt;=6,E104&lt;=10),$B$100*(1-$B$23),AND(E104&gt;=11,E104&lt;=20),$B$100*(1-$B$24))</f>
        <v>285.33290740501263</v>
      </c>
      <c r="G104">
        <f t="shared" ref="G104:G121" si="116">F104*$B$18</f>
        <v>14.266645370250632</v>
      </c>
      <c r="H104">
        <f t="shared" si="107"/>
        <v>218</v>
      </c>
      <c r="I104" s="13">
        <f t="shared" si="98"/>
        <v>500000</v>
      </c>
      <c r="J104" s="5">
        <v>0.4</v>
      </c>
      <c r="K104" s="19">
        <f t="shared" si="99"/>
        <v>200</v>
      </c>
      <c r="L104">
        <f t="shared" si="100"/>
        <v>5</v>
      </c>
      <c r="M104">
        <f t="shared" si="108"/>
        <v>1.9170442199999999E-3</v>
      </c>
      <c r="N104" s="2">
        <f t="shared" ref="N104:N106" si="117">$B$13</f>
        <v>3.5099999999999999E-2</v>
      </c>
      <c r="O104">
        <f t="shared" si="109"/>
        <v>0.9548617404256482</v>
      </c>
      <c r="P104">
        <f t="shared" si="110"/>
        <v>1.8305121803821292E-6</v>
      </c>
      <c r="Q104">
        <f t="shared" si="111"/>
        <v>3.3515647088940254E-2</v>
      </c>
      <c r="R104">
        <f t="shared" si="112"/>
        <v>0.92134426282452753</v>
      </c>
      <c r="S104">
        <f t="shared" si="113"/>
        <v>190.97234808512965</v>
      </c>
      <c r="T104">
        <f t="shared" si="114"/>
        <v>4.7743087021282413</v>
      </c>
      <c r="U104">
        <f t="shared" si="93"/>
        <v>184.2688525649055</v>
      </c>
      <c r="V104" s="1">
        <f t="shared" si="94"/>
        <v>4.6067213141226375</v>
      </c>
      <c r="W104" s="1">
        <f t="shared" si="95"/>
        <v>272.45347656546068</v>
      </c>
      <c r="X104" s="1">
        <f t="shared" si="96"/>
        <v>-13.622673828273035</v>
      </c>
      <c r="Y104" s="1">
        <f t="shared" si="97"/>
        <v>-208.15985941279132</v>
      </c>
      <c r="Z104" s="1">
        <f t="shared" si="101"/>
        <v>-0.91525609019106458</v>
      </c>
      <c r="AA104" s="1">
        <f t="shared" si="102"/>
        <v>49.755687234205254</v>
      </c>
      <c r="AB104" s="1">
        <f t="shared" si="103"/>
        <v>0</v>
      </c>
      <c r="AC104" s="1">
        <f t="shared" si="115"/>
        <v>25.001760273844504</v>
      </c>
      <c r="AD104" s="1">
        <f t="shared" si="104"/>
        <v>74.757447508049751</v>
      </c>
      <c r="AE104" s="1">
        <f t="shared" si="105"/>
        <v>0.1675873880056038</v>
      </c>
      <c r="AF104">
        <f t="shared" si="106"/>
        <v>74.925034896055351</v>
      </c>
    </row>
    <row r="105" spans="1:32">
      <c r="E105">
        <v>4</v>
      </c>
      <c r="F105" s="13" cm="1">
        <f t="array" ref="F105">_xlfn.IFS(AND(E105&gt;=0,E105&lt;=2),$B$100*(1-$B$21),AND(E105&gt;=3,E105&lt;=5),$B$100*(1-$B$22),AND(E105&gt;=6,E105&lt;=10),$B$100*(1-$B$23),AND(E105&gt;=11,E105&lt;=20),$B$100*(1-$B$24))</f>
        <v>285.33290740501263</v>
      </c>
      <c r="G105">
        <f t="shared" si="116"/>
        <v>14.266645370250632</v>
      </c>
      <c r="H105">
        <f t="shared" si="107"/>
        <v>218</v>
      </c>
      <c r="I105" s="13">
        <f t="shared" si="98"/>
        <v>500000</v>
      </c>
      <c r="J105" s="5">
        <v>0.4</v>
      </c>
      <c r="K105" s="19">
        <f t="shared" si="99"/>
        <v>200</v>
      </c>
      <c r="L105">
        <f t="shared" si="100"/>
        <v>5</v>
      </c>
      <c r="M105">
        <f t="shared" si="108"/>
        <v>2.1018615799999999E-3</v>
      </c>
      <c r="N105" s="2">
        <f t="shared" si="117"/>
        <v>3.5099999999999999E-2</v>
      </c>
      <c r="O105">
        <f t="shared" si="109"/>
        <v>0.92134426282452753</v>
      </c>
      <c r="P105">
        <f t="shared" si="110"/>
        <v>1.9365381079842966E-6</v>
      </c>
      <c r="Q105">
        <f t="shared" si="111"/>
        <v>3.2339183625140919E-2</v>
      </c>
      <c r="R105">
        <f t="shared" si="112"/>
        <v>0.88900314266127867</v>
      </c>
      <c r="S105">
        <f t="shared" si="113"/>
        <v>184.2688525649055</v>
      </c>
      <c r="T105">
        <f t="shared" si="114"/>
        <v>4.6067213141226375</v>
      </c>
      <c r="U105">
        <f t="shared" si="93"/>
        <v>177.80062853225573</v>
      </c>
      <c r="V105" s="1">
        <f t="shared" si="94"/>
        <v>4.4450157133063932</v>
      </c>
      <c r="W105" s="1">
        <f t="shared" si="95"/>
        <v>262.88983723265056</v>
      </c>
      <c r="X105" s="1">
        <f t="shared" si="96"/>
        <v>-13.144491861632527</v>
      </c>
      <c r="Y105" s="1">
        <f t="shared" si="97"/>
        <v>-200.85304929574701</v>
      </c>
      <c r="Z105" s="1">
        <f t="shared" si="101"/>
        <v>-0.96826905399214835</v>
      </c>
      <c r="AA105" s="1">
        <f t="shared" si="102"/>
        <v>47.924027021278874</v>
      </c>
      <c r="AB105" s="1">
        <f t="shared" si="103"/>
        <v>0</v>
      </c>
      <c r="AC105" s="1">
        <f t="shared" si="115"/>
        <v>24.12415055875254</v>
      </c>
      <c r="AD105" s="1">
        <f t="shared" si="104"/>
        <v>72.048177580031421</v>
      </c>
      <c r="AE105" s="1">
        <f t="shared" si="105"/>
        <v>0.1617056008162443</v>
      </c>
      <c r="AF105">
        <f t="shared" si="106"/>
        <v>72.209883180847669</v>
      </c>
    </row>
    <row r="106" spans="1:32">
      <c r="E106">
        <v>5</v>
      </c>
      <c r="F106" s="13" cm="1">
        <f t="array" ref="F106">_xlfn.IFS(AND(E106&gt;=0,E106&lt;=2),$B$100*(1-$B$21),AND(E106&gt;=3,E106&lt;=5),$B$100*(1-$B$22),AND(E106&gt;=6,E106&lt;=10),$B$100*(1-$B$23),AND(E106&gt;=11,E106&lt;=20),$B$100*(1-$B$24))</f>
        <v>285.33290740501263</v>
      </c>
      <c r="G106">
        <f t="shared" si="116"/>
        <v>14.266645370250632</v>
      </c>
      <c r="H106">
        <f t="shared" si="107"/>
        <v>218</v>
      </c>
      <c r="I106" s="13">
        <f t="shared" si="98"/>
        <v>500000</v>
      </c>
      <c r="J106" s="5">
        <v>0.4</v>
      </c>
      <c r="K106" s="19">
        <f t="shared" si="99"/>
        <v>200</v>
      </c>
      <c r="L106">
        <f t="shared" si="100"/>
        <v>5</v>
      </c>
      <c r="M106">
        <f t="shared" si="108"/>
        <v>2.2971403000000001E-3</v>
      </c>
      <c r="N106" s="2">
        <f t="shared" si="117"/>
        <v>3.5099999999999999E-2</v>
      </c>
      <c r="O106">
        <f t="shared" si="109"/>
        <v>0.88900314266127867</v>
      </c>
      <c r="P106">
        <f t="shared" si="110"/>
        <v>2.0421649458338725E-6</v>
      </c>
      <c r="Q106">
        <f t="shared" si="111"/>
        <v>3.1204010307410882E-2</v>
      </c>
      <c r="R106">
        <f t="shared" si="112"/>
        <v>0.85779709018892192</v>
      </c>
      <c r="S106">
        <f t="shared" si="113"/>
        <v>177.80062853225573</v>
      </c>
      <c r="T106">
        <f t="shared" si="114"/>
        <v>4.4450157133063932</v>
      </c>
      <c r="U106">
        <f t="shared" si="93"/>
        <v>171.55941803778438</v>
      </c>
      <c r="V106" s="1">
        <f t="shared" si="94"/>
        <v>4.2889854509446099</v>
      </c>
      <c r="W106" s="1">
        <f t="shared" si="95"/>
        <v>253.66185138773585</v>
      </c>
      <c r="X106" s="1">
        <f t="shared" si="96"/>
        <v>-12.683092569386794</v>
      </c>
      <c r="Y106" s="1">
        <f t="shared" si="97"/>
        <v>-193.80268510015875</v>
      </c>
      <c r="Z106" s="1">
        <f t="shared" si="101"/>
        <v>-1.0210824729169363</v>
      </c>
      <c r="AA106" s="1">
        <f t="shared" si="102"/>
        <v>46.154991245273372</v>
      </c>
      <c r="AB106" s="1">
        <f t="shared" si="103"/>
        <v>0</v>
      </c>
      <c r="AC106" s="1">
        <f t="shared" si="115"/>
        <v>23.277342168515112</v>
      </c>
      <c r="AD106" s="1">
        <f t="shared" si="104"/>
        <v>69.432333413788484</v>
      </c>
      <c r="AE106" s="1">
        <f t="shared" si="105"/>
        <v>0.1560302623617833</v>
      </c>
      <c r="AF106">
        <f t="shared" si="106"/>
        <v>69.588363676150266</v>
      </c>
    </row>
    <row r="107" spans="1:32">
      <c r="E107">
        <v>6</v>
      </c>
      <c r="F107" s="13" cm="1">
        <f t="array" ref="F107">_xlfn.IFS(AND(E107&gt;=0,E107&lt;=2),$B$100*(1-$B$21),AND(E107&gt;=3,E107&lt;=5),$B$100*(1-$B$22),AND(E107&gt;=6,E107&lt;=10),$B$100*(1-$B$23),AND(E107&gt;=11,E107&lt;=20),$B$100*(1-$B$24))</f>
        <v>276.41625404860599</v>
      </c>
      <c r="G107">
        <f t="shared" si="116"/>
        <v>13.820812702430301</v>
      </c>
      <c r="H107">
        <f t="shared" si="107"/>
        <v>218</v>
      </c>
      <c r="I107" s="13">
        <f t="shared" si="98"/>
        <v>500000</v>
      </c>
      <c r="J107" s="5">
        <v>0.4</v>
      </c>
      <c r="K107" s="19">
        <f t="shared" si="99"/>
        <v>200</v>
      </c>
      <c r="L107">
        <f t="shared" si="100"/>
        <v>5</v>
      </c>
      <c r="M107">
        <f t="shared" si="108"/>
        <v>2.51159818E-3</v>
      </c>
      <c r="N107" s="2">
        <f>$B$14</f>
        <v>7.6100000000000001E-2</v>
      </c>
      <c r="O107">
        <f t="shared" si="109"/>
        <v>0.85779709018892192</v>
      </c>
      <c r="P107">
        <f t="shared" si="110"/>
        <v>2.1544416105277918E-6</v>
      </c>
      <c r="Q107">
        <f t="shared" si="111"/>
        <v>6.5278358563376965E-2</v>
      </c>
      <c r="R107">
        <f t="shared" si="112"/>
        <v>0.79251657718393442</v>
      </c>
      <c r="S107">
        <f t="shared" si="113"/>
        <v>171.55941803778438</v>
      </c>
      <c r="T107">
        <f t="shared" si="114"/>
        <v>4.2889854509446099</v>
      </c>
      <c r="U107">
        <f t="shared" si="93"/>
        <v>158.50331543678689</v>
      </c>
      <c r="V107" s="1">
        <f t="shared" si="94"/>
        <v>3.9625828859196721</v>
      </c>
      <c r="W107" s="1">
        <f t="shared" si="95"/>
        <v>237.10905840381602</v>
      </c>
      <c r="X107" s="1">
        <f t="shared" si="96"/>
        <v>-11.855452920190801</v>
      </c>
      <c r="Y107" s="1">
        <f t="shared" si="97"/>
        <v>-186.99976566118497</v>
      </c>
      <c r="Z107" s="1">
        <f t="shared" si="101"/>
        <v>-1.0772208052638959</v>
      </c>
      <c r="AA107" s="1">
        <f t="shared" si="102"/>
        <v>37.176619017176357</v>
      </c>
      <c r="AB107" s="1">
        <f t="shared" si="103"/>
        <v>0</v>
      </c>
      <c r="AC107" s="1">
        <f t="shared" si="115"/>
        <v>22.06061049347948</v>
      </c>
      <c r="AD107" s="1">
        <f t="shared" si="104"/>
        <v>59.237229510655837</v>
      </c>
      <c r="AE107" s="1">
        <f t="shared" si="105"/>
        <v>0.32640256502493781</v>
      </c>
      <c r="AF107">
        <f t="shared" si="106"/>
        <v>59.563632075680772</v>
      </c>
    </row>
    <row r="108" spans="1:32">
      <c r="E108">
        <v>7</v>
      </c>
      <c r="F108" s="13" cm="1">
        <f t="array" ref="F108">_xlfn.IFS(AND(E108&gt;=0,E108&lt;=2),$B$100*(1-$B$21),AND(E108&gt;=3,E108&lt;=5),$B$100*(1-$B$22),AND(E108&gt;=6,E108&lt;=10),$B$100*(1-$B$23),AND(E108&gt;=11,E108&lt;=20),$B$100*(1-$B$24))</f>
        <v>276.41625404860599</v>
      </c>
      <c r="G108">
        <f t="shared" si="116"/>
        <v>13.820812702430301</v>
      </c>
      <c r="H108">
        <f t="shared" si="107"/>
        <v>218</v>
      </c>
      <c r="I108" s="13">
        <f t="shared" si="98"/>
        <v>500000</v>
      </c>
      <c r="J108" s="5">
        <v>0.4</v>
      </c>
      <c r="K108" s="19">
        <f t="shared" si="99"/>
        <v>200</v>
      </c>
      <c r="L108">
        <f t="shared" si="100"/>
        <v>5</v>
      </c>
      <c r="M108">
        <f t="shared" si="108"/>
        <v>2.7417480999999996E-3</v>
      </c>
      <c r="N108" s="2">
        <f t="shared" ref="N108:N111" si="118">$B$14</f>
        <v>7.6100000000000001E-2</v>
      </c>
      <c r="O108">
        <f t="shared" si="109"/>
        <v>0.79251657718393442</v>
      </c>
      <c r="P108">
        <f t="shared" si="110"/>
        <v>2.172880819712555E-6</v>
      </c>
      <c r="Q108">
        <f t="shared" si="111"/>
        <v>6.0310511523697409E-2</v>
      </c>
      <c r="R108">
        <f t="shared" si="112"/>
        <v>0.73220389277941733</v>
      </c>
      <c r="S108">
        <f t="shared" si="113"/>
        <v>158.50331543678689</v>
      </c>
      <c r="T108">
        <f t="shared" si="114"/>
        <v>3.9625828859196721</v>
      </c>
      <c r="U108">
        <f t="shared" si="93"/>
        <v>146.44077855588347</v>
      </c>
      <c r="V108" s="1">
        <f t="shared" si="94"/>
        <v>3.6610194638970865</v>
      </c>
      <c r="W108" s="1">
        <f t="shared" si="95"/>
        <v>219.06446353660607</v>
      </c>
      <c r="X108" s="1">
        <f t="shared" si="96"/>
        <v>-10.953223176830305</v>
      </c>
      <c r="Y108" s="1">
        <f t="shared" si="97"/>
        <v>-172.76861382609769</v>
      </c>
      <c r="Z108" s="1">
        <f t="shared" si="101"/>
        <v>-1.0864404098562774</v>
      </c>
      <c r="AA108" s="1">
        <f t="shared" si="102"/>
        <v>34.256186123821792</v>
      </c>
      <c r="AB108" s="1">
        <f t="shared" si="103"/>
        <v>0</v>
      </c>
      <c r="AC108" s="1">
        <f t="shared" si="115"/>
        <v>20.381742627536529</v>
      </c>
      <c r="AD108" s="1">
        <f t="shared" si="104"/>
        <v>54.637928751358317</v>
      </c>
      <c r="AE108" s="1">
        <f t="shared" si="105"/>
        <v>0.30156342202258557</v>
      </c>
      <c r="AF108">
        <f t="shared" si="106"/>
        <v>54.939492173380899</v>
      </c>
    </row>
    <row r="109" spans="1:32">
      <c r="E109">
        <v>8</v>
      </c>
      <c r="F109" s="13" cm="1">
        <f t="array" ref="F109">_xlfn.IFS(AND(E109&gt;=0,E109&lt;=2),$B$100*(1-$B$21),AND(E109&gt;=3,E109&lt;=5),$B$100*(1-$B$22),AND(E109&gt;=6,E109&lt;=10),$B$100*(1-$B$23),AND(E109&gt;=11,E109&lt;=20),$B$100*(1-$B$24))</f>
        <v>276.41625404860599</v>
      </c>
      <c r="G109">
        <f t="shared" si="116"/>
        <v>13.820812702430301</v>
      </c>
      <c r="H109">
        <f t="shared" si="107"/>
        <v>218</v>
      </c>
      <c r="I109" s="13">
        <f t="shared" si="98"/>
        <v>500000</v>
      </c>
      <c r="J109" s="5">
        <v>0.4</v>
      </c>
      <c r="K109" s="19">
        <f t="shared" si="99"/>
        <v>200</v>
      </c>
      <c r="L109">
        <f t="shared" si="100"/>
        <v>5</v>
      </c>
      <c r="M109">
        <f t="shared" si="108"/>
        <v>3.0067692199999998E-3</v>
      </c>
      <c r="N109" s="2">
        <f t="shared" si="118"/>
        <v>7.6100000000000001E-2</v>
      </c>
      <c r="O109">
        <f t="shared" si="109"/>
        <v>0.73220389277941733</v>
      </c>
      <c r="P109">
        <f t="shared" si="110"/>
        <v>2.2015681275733324E-6</v>
      </c>
      <c r="Q109">
        <f t="shared" si="111"/>
        <v>5.5720716240513661E-2</v>
      </c>
      <c r="R109">
        <f t="shared" si="112"/>
        <v>0.67648097497077608</v>
      </c>
      <c r="S109">
        <f t="shared" si="113"/>
        <v>146.44077855588347</v>
      </c>
      <c r="T109">
        <f t="shared" si="114"/>
        <v>3.6610194638970865</v>
      </c>
      <c r="U109">
        <f t="shared" si="93"/>
        <v>135.29619499415523</v>
      </c>
      <c r="V109" s="1">
        <f t="shared" si="94"/>
        <v>3.3824048748538802</v>
      </c>
      <c r="W109" s="1">
        <f t="shared" si="95"/>
        <v>202.39305724189367</v>
      </c>
      <c r="X109" s="1">
        <f t="shared" si="96"/>
        <v>-10.119652862094686</v>
      </c>
      <c r="Y109" s="1">
        <f t="shared" si="97"/>
        <v>-159.62044862591299</v>
      </c>
      <c r="Z109" s="1">
        <f t="shared" si="101"/>
        <v>-1.1007840637866662</v>
      </c>
      <c r="AA109" s="1">
        <f t="shared" si="102"/>
        <v>31.552171690099339</v>
      </c>
      <c r="AB109" s="1">
        <f t="shared" si="103"/>
        <v>0</v>
      </c>
      <c r="AC109" s="1">
        <f t="shared" si="115"/>
        <v>18.830636131976874</v>
      </c>
      <c r="AD109" s="1">
        <f t="shared" si="104"/>
        <v>50.382807822076217</v>
      </c>
      <c r="AE109" s="1">
        <f t="shared" si="105"/>
        <v>0.27861458904320635</v>
      </c>
      <c r="AF109">
        <f t="shared" si="106"/>
        <v>50.661422411119425</v>
      </c>
    </row>
    <row r="110" spans="1:32">
      <c r="E110">
        <v>9</v>
      </c>
      <c r="F110" s="13" cm="1">
        <f t="array" ref="F110">_xlfn.IFS(AND(E110&gt;=0,E110&lt;=2),$B$100*(1-$B$21),AND(E110&gt;=3,E110&lt;=5),$B$100*(1-$B$22),AND(E110&gt;=6,E110&lt;=10),$B$100*(1-$B$23),AND(E110&gt;=11,E110&lt;=20),$B$100*(1-$B$24))</f>
        <v>276.41625404860599</v>
      </c>
      <c r="G110">
        <f t="shared" si="116"/>
        <v>13.820812702430301</v>
      </c>
      <c r="H110">
        <f t="shared" si="107"/>
        <v>218</v>
      </c>
      <c r="I110" s="13">
        <f t="shared" si="98"/>
        <v>500000</v>
      </c>
      <c r="J110" s="5">
        <v>0.4</v>
      </c>
      <c r="K110" s="19">
        <f t="shared" si="99"/>
        <v>200</v>
      </c>
      <c r="L110">
        <f t="shared" si="100"/>
        <v>5</v>
      </c>
      <c r="M110">
        <f t="shared" si="108"/>
        <v>3.3084051E-3</v>
      </c>
      <c r="N110" s="2">
        <f t="shared" si="118"/>
        <v>7.6100000000000001E-2</v>
      </c>
      <c r="O110">
        <f t="shared" si="109"/>
        <v>0.67648097497077608</v>
      </c>
      <c r="P110">
        <f t="shared" si="110"/>
        <v>2.238073107646288E-6</v>
      </c>
      <c r="Q110">
        <f t="shared" si="111"/>
        <v>5.1480202195276062E-2</v>
      </c>
      <c r="R110">
        <f t="shared" si="112"/>
        <v>0.62499853470239242</v>
      </c>
      <c r="S110">
        <f t="shared" si="113"/>
        <v>135.29619499415523</v>
      </c>
      <c r="T110">
        <f t="shared" si="114"/>
        <v>3.3824048748538802</v>
      </c>
      <c r="U110">
        <f t="shared" si="93"/>
        <v>124.99970694047849</v>
      </c>
      <c r="V110" s="1">
        <f t="shared" si="94"/>
        <v>3.124992673511962</v>
      </c>
      <c r="W110" s="1">
        <f t="shared" si="95"/>
        <v>186.99033703657071</v>
      </c>
      <c r="X110" s="1">
        <f t="shared" si="96"/>
        <v>-9.3495168518285361</v>
      </c>
      <c r="Y110" s="1">
        <f t="shared" si="97"/>
        <v>-147.47285254362919</v>
      </c>
      <c r="Z110" s="1">
        <f t="shared" si="101"/>
        <v>-1.1190365538231439</v>
      </c>
      <c r="AA110" s="1">
        <f t="shared" si="102"/>
        <v>29.048931087289851</v>
      </c>
      <c r="AB110" s="1">
        <f t="shared" si="103"/>
        <v>0</v>
      </c>
      <c r="AC110" s="1">
        <f t="shared" si="115"/>
        <v>17.397568102956321</v>
      </c>
      <c r="AD110" s="1">
        <f t="shared" si="104"/>
        <v>46.446499190246172</v>
      </c>
      <c r="AE110" s="1">
        <f t="shared" si="105"/>
        <v>0.25741220134191822</v>
      </c>
      <c r="AF110">
        <f t="shared" si="106"/>
        <v>46.703911391588093</v>
      </c>
    </row>
    <row r="111" spans="1:32">
      <c r="E111">
        <v>10</v>
      </c>
      <c r="F111" s="13" cm="1">
        <f t="array" ref="F111">_xlfn.IFS(AND(E111&gt;=0,E111&lt;=2),$B$100*(1-$B$21),AND(E111&gt;=3,E111&lt;=5),$B$100*(1-$B$22),AND(E111&gt;=6,E111&lt;=10),$B$100*(1-$B$23),AND(E111&gt;=11,E111&lt;=20),$B$100*(1-$B$24))</f>
        <v>276.41625404860599</v>
      </c>
      <c r="G111">
        <f t="shared" si="116"/>
        <v>13.820812702430301</v>
      </c>
      <c r="H111">
        <f t="shared" si="107"/>
        <v>218</v>
      </c>
      <c r="I111" s="13">
        <f t="shared" si="98"/>
        <v>500000</v>
      </c>
      <c r="J111" s="5">
        <v>0.4</v>
      </c>
      <c r="K111" s="19">
        <f t="shared" si="99"/>
        <v>200</v>
      </c>
      <c r="L111">
        <f t="shared" si="100"/>
        <v>5</v>
      </c>
      <c r="M111">
        <f t="shared" si="108"/>
        <v>3.6422968400000003E-3</v>
      </c>
      <c r="N111" s="2">
        <f t="shared" si="118"/>
        <v>7.6100000000000001E-2</v>
      </c>
      <c r="O111">
        <f t="shared" si="109"/>
        <v>0.62499853470239242</v>
      </c>
      <c r="P111">
        <f t="shared" si="110"/>
        <v>2.2764301879511543E-6</v>
      </c>
      <c r="Q111">
        <f t="shared" si="111"/>
        <v>4.7562388490852064E-2</v>
      </c>
      <c r="R111">
        <f t="shared" si="112"/>
        <v>0.57743386978135236</v>
      </c>
      <c r="S111">
        <f t="shared" si="113"/>
        <v>124.99970694047849</v>
      </c>
      <c r="T111">
        <f t="shared" si="114"/>
        <v>3.124992673511962</v>
      </c>
      <c r="U111">
        <f t="shared" si="93"/>
        <v>115.48677395627047</v>
      </c>
      <c r="V111" s="1">
        <f t="shared" si="94"/>
        <v>2.8871693489067618</v>
      </c>
      <c r="W111" s="1">
        <f t="shared" si="95"/>
        <v>172.75975374830298</v>
      </c>
      <c r="X111" s="1">
        <f t="shared" si="96"/>
        <v>-8.6379876874151496</v>
      </c>
      <c r="Y111" s="1">
        <f t="shared" si="97"/>
        <v>-136.24968056512154</v>
      </c>
      <c r="Z111" s="1">
        <f t="shared" si="101"/>
        <v>-1.1382150939755771</v>
      </c>
      <c r="AA111" s="1">
        <f t="shared" si="102"/>
        <v>26.733870401790721</v>
      </c>
      <c r="AB111" s="1">
        <f t="shared" si="103"/>
        <v>0</v>
      </c>
      <c r="AC111" s="1">
        <f t="shared" si="115"/>
        <v>16.073555612118309</v>
      </c>
      <c r="AD111" s="1">
        <f t="shared" si="104"/>
        <v>42.80742601390903</v>
      </c>
      <c r="AE111" s="1">
        <f t="shared" si="105"/>
        <v>0.23782332460520017</v>
      </c>
      <c r="AF111">
        <f t="shared" si="106"/>
        <v>43.045249338514232</v>
      </c>
    </row>
    <row r="112" spans="1:32">
      <c r="E112">
        <v>11</v>
      </c>
      <c r="F112" s="13" cm="1">
        <f t="array" ref="F112">_xlfn.IFS(AND(E112&gt;=0,E112&lt;=2),$B$100*(1-$B$21),AND(E112&gt;=3,E112&lt;=5),$B$100*(1-$B$22),AND(E112&gt;=6,E112&lt;=10),$B$100*(1-$B$23),AND(E112&gt;=11,E112&lt;=20),$B$100*(1-$B$24))</f>
        <v>267.49960069219935</v>
      </c>
      <c r="G112">
        <f t="shared" si="116"/>
        <v>13.374980034609969</v>
      </c>
      <c r="H112">
        <f t="shared" si="107"/>
        <v>218</v>
      </c>
      <c r="I112" s="13">
        <f t="shared" si="98"/>
        <v>500000</v>
      </c>
      <c r="J112" s="5">
        <v>0.4</v>
      </c>
      <c r="K112" s="19">
        <f t="shared" si="99"/>
        <v>200</v>
      </c>
      <c r="L112">
        <f t="shared" si="100"/>
        <v>5</v>
      </c>
      <c r="M112">
        <f t="shared" si="108"/>
        <v>4.0215211399999996E-3</v>
      </c>
      <c r="N112" s="2">
        <f>$B$15</f>
        <v>0.11899999999999999</v>
      </c>
      <c r="O112">
        <f t="shared" si="109"/>
        <v>0.57743386978135236</v>
      </c>
      <c r="P112">
        <f t="shared" si="110"/>
        <v>2.3221625142777156E-6</v>
      </c>
      <c r="Q112">
        <f t="shared" si="111"/>
        <v>6.8714630503980925E-2</v>
      </c>
      <c r="R112">
        <f t="shared" si="112"/>
        <v>0.50871691711485711</v>
      </c>
      <c r="S112">
        <f t="shared" si="113"/>
        <v>115.48677395627047</v>
      </c>
      <c r="T112">
        <f t="shared" si="114"/>
        <v>2.8871693489067618</v>
      </c>
      <c r="U112">
        <f t="shared" si="93"/>
        <v>101.74338342297142</v>
      </c>
      <c r="V112" s="1">
        <f t="shared" si="94"/>
        <v>2.5435845855742856</v>
      </c>
      <c r="W112" s="1">
        <f t="shared" si="95"/>
        <v>154.4633295926632</v>
      </c>
      <c r="X112" s="1">
        <f t="shared" si="96"/>
        <v>-7.7231664796331607</v>
      </c>
      <c r="Y112" s="1">
        <f t="shared" si="97"/>
        <v>-125.88058361233482</v>
      </c>
      <c r="Z112" s="1">
        <f t="shared" si="101"/>
        <v>-1.1610812571388578</v>
      </c>
      <c r="AA112" s="1">
        <f t="shared" si="102"/>
        <v>19.698498243556362</v>
      </c>
      <c r="AB112" s="1">
        <f t="shared" si="103"/>
        <v>0</v>
      </c>
      <c r="AC112" s="1">
        <f t="shared" si="115"/>
        <v>14.581275853001399</v>
      </c>
      <c r="AD112" s="1">
        <f t="shared" si="104"/>
        <v>34.279774096557759</v>
      </c>
      <c r="AE112" s="1">
        <f t="shared" si="105"/>
        <v>0.34358476333247623</v>
      </c>
      <c r="AF112">
        <f t="shared" si="106"/>
        <v>34.623358859890232</v>
      </c>
    </row>
    <row r="113" spans="5:32">
      <c r="E113">
        <v>12</v>
      </c>
      <c r="F113" s="13" cm="1">
        <f t="array" ref="F113">_xlfn.IFS(AND(E113&gt;=0,E113&lt;=2),$B$100*(1-$B$21),AND(E113&gt;=3,E113&lt;=5),$B$100*(1-$B$22),AND(E113&gt;=6,E113&lt;=10),$B$100*(1-$B$23),AND(E113&gt;=11,E113&lt;=20),$B$100*(1-$B$24))</f>
        <v>267.49960069219935</v>
      </c>
      <c r="G113">
        <f t="shared" si="116"/>
        <v>13.374980034609969</v>
      </c>
      <c r="H113">
        <f t="shared" si="107"/>
        <v>218</v>
      </c>
      <c r="I113" s="13">
        <f t="shared" si="98"/>
        <v>500000</v>
      </c>
      <c r="J113" s="5">
        <v>0.4</v>
      </c>
      <c r="K113" s="19">
        <f t="shared" si="99"/>
        <v>200</v>
      </c>
      <c r="L113">
        <f t="shared" si="100"/>
        <v>5</v>
      </c>
      <c r="M113">
        <f t="shared" si="108"/>
        <v>4.4513086800000001E-3</v>
      </c>
      <c r="N113" s="2">
        <f t="shared" ref="N113:N116" si="119">$B$15</f>
        <v>0.11899999999999999</v>
      </c>
      <c r="O113">
        <f t="shared" si="109"/>
        <v>0.50871691711485711</v>
      </c>
      <c r="P113">
        <f t="shared" si="110"/>
        <v>2.2644560288162042E-6</v>
      </c>
      <c r="Q113">
        <f t="shared" si="111"/>
        <v>6.0537313136667992E-2</v>
      </c>
      <c r="R113">
        <f t="shared" si="112"/>
        <v>0.44817733952216032</v>
      </c>
      <c r="S113">
        <f t="shared" si="113"/>
        <v>101.74338342297142</v>
      </c>
      <c r="T113">
        <f t="shared" si="114"/>
        <v>2.5435845855742856</v>
      </c>
      <c r="U113">
        <f t="shared" si="93"/>
        <v>89.635467904432062</v>
      </c>
      <c r="V113" s="1">
        <f t="shared" si="94"/>
        <v>2.2408866976108017</v>
      </c>
      <c r="W113" s="1">
        <f t="shared" si="95"/>
        <v>136.08157219359094</v>
      </c>
      <c r="X113" s="1">
        <f t="shared" si="96"/>
        <v>-6.8040786096795483</v>
      </c>
      <c r="Y113" s="1">
        <f t="shared" si="97"/>
        <v>-110.90028793103885</v>
      </c>
      <c r="Z113" s="1">
        <f t="shared" si="101"/>
        <v>-1.1322280144081021</v>
      </c>
      <c r="AA113" s="1">
        <f t="shared" si="102"/>
        <v>17.244977638464444</v>
      </c>
      <c r="AB113" s="1">
        <f t="shared" si="103"/>
        <v>0</v>
      </c>
      <c r="AC113" s="1">
        <f t="shared" si="115"/>
        <v>12.846045387585141</v>
      </c>
      <c r="AD113" s="1">
        <f t="shared" si="104"/>
        <v>30.091023026049584</v>
      </c>
      <c r="AE113" s="1">
        <f t="shared" si="105"/>
        <v>0.30269788796348385</v>
      </c>
      <c r="AF113">
        <f t="shared" si="106"/>
        <v>30.393720914013066</v>
      </c>
    </row>
    <row r="114" spans="5:32">
      <c r="E114">
        <v>13</v>
      </c>
      <c r="F114" s="13" cm="1">
        <f t="array" ref="F114">_xlfn.IFS(AND(E114&gt;=0,E114&lt;=2),$B$100*(1-$B$21),AND(E114&gt;=3,E114&lt;=5),$B$100*(1-$B$22),AND(E114&gt;=6,E114&lt;=10),$B$100*(1-$B$23),AND(E114&gt;=11,E114&lt;=20),$B$100*(1-$B$24))</f>
        <v>267.49960069219935</v>
      </c>
      <c r="G114">
        <f t="shared" si="116"/>
        <v>13.374980034609969</v>
      </c>
      <c r="H114">
        <f t="shared" si="107"/>
        <v>218</v>
      </c>
      <c r="I114" s="13">
        <f t="shared" si="98"/>
        <v>500000</v>
      </c>
      <c r="J114" s="5">
        <v>0.4</v>
      </c>
      <c r="K114" s="19">
        <f t="shared" si="99"/>
        <v>200</v>
      </c>
      <c r="L114">
        <f t="shared" si="100"/>
        <v>5</v>
      </c>
      <c r="M114">
        <f t="shared" si="108"/>
        <v>4.8994036000000003E-3</v>
      </c>
      <c r="N114" s="2">
        <f t="shared" si="119"/>
        <v>0.11899999999999999</v>
      </c>
      <c r="O114">
        <f t="shared" si="109"/>
        <v>0.44817733952216032</v>
      </c>
      <c r="P114">
        <f t="shared" si="110"/>
        <v>2.1958016706932945E-6</v>
      </c>
      <c r="Q114">
        <f t="shared" si="111"/>
        <v>5.3333103403137079E-2</v>
      </c>
      <c r="R114">
        <f t="shared" si="112"/>
        <v>0.39484204031735254</v>
      </c>
      <c r="S114">
        <f t="shared" si="113"/>
        <v>89.635467904432062</v>
      </c>
      <c r="T114">
        <f t="shared" si="114"/>
        <v>2.2408866976108017</v>
      </c>
      <c r="U114">
        <f t="shared" si="93"/>
        <v>78.968408063470505</v>
      </c>
      <c r="V114" s="1">
        <f t="shared" si="94"/>
        <v>1.9742102015867626</v>
      </c>
      <c r="W114" s="1">
        <f t="shared" si="95"/>
        <v>119.88725936147014</v>
      </c>
      <c r="X114" s="1">
        <f t="shared" si="96"/>
        <v>-5.9943629680735073</v>
      </c>
      <c r="Y114" s="1">
        <f t="shared" si="97"/>
        <v>-97.702660015830944</v>
      </c>
      <c r="Z114" s="1">
        <f t="shared" si="101"/>
        <v>-1.0979008353466473</v>
      </c>
      <c r="AA114" s="1">
        <f t="shared" si="102"/>
        <v>15.092335542219049</v>
      </c>
      <c r="AB114" s="1">
        <f t="shared" si="103"/>
        <v>0</v>
      </c>
      <c r="AC114" s="1">
        <f t="shared" si="115"/>
        <v>11.317308804749173</v>
      </c>
      <c r="AD114" s="1">
        <f t="shared" si="104"/>
        <v>26.409644346968221</v>
      </c>
      <c r="AE114" s="1">
        <f t="shared" si="105"/>
        <v>0.26667649602403909</v>
      </c>
      <c r="AF114">
        <f t="shared" si="106"/>
        <v>26.676320842992261</v>
      </c>
    </row>
    <row r="115" spans="5:32">
      <c r="E115">
        <v>14</v>
      </c>
      <c r="F115" s="13" cm="1">
        <f t="array" ref="F115">_xlfn.IFS(AND(E115&gt;=0,E115&lt;=2),$B$100*(1-$B$21),AND(E115&gt;=3,E115&lt;=5),$B$100*(1-$B$22),AND(E115&gt;=6,E115&lt;=10),$B$100*(1-$B$23),AND(E115&gt;=11,E115&lt;=20),$B$100*(1-$B$24))</f>
        <v>267.49960069219935</v>
      </c>
      <c r="G115">
        <f t="shared" si="116"/>
        <v>13.374980034609969</v>
      </c>
      <c r="H115">
        <f t="shared" si="107"/>
        <v>218</v>
      </c>
      <c r="I115" s="13">
        <f t="shared" si="98"/>
        <v>500000</v>
      </c>
      <c r="J115" s="5">
        <v>0.4</v>
      </c>
      <c r="K115" s="19">
        <f t="shared" si="99"/>
        <v>200</v>
      </c>
      <c r="L115">
        <f t="shared" si="100"/>
        <v>5</v>
      </c>
      <c r="M115">
        <f t="shared" si="108"/>
        <v>5.3788826E-3</v>
      </c>
      <c r="N115" s="2">
        <f t="shared" si="119"/>
        <v>0.11899999999999999</v>
      </c>
      <c r="O115">
        <f t="shared" si="109"/>
        <v>0.39484204031735254</v>
      </c>
      <c r="P115">
        <f t="shared" si="110"/>
        <v>2.1238089804115058E-6</v>
      </c>
      <c r="Q115">
        <f t="shared" si="111"/>
        <v>4.6986202797764949E-2</v>
      </c>
      <c r="R115">
        <f t="shared" si="112"/>
        <v>0.34785371371060719</v>
      </c>
      <c r="S115">
        <f t="shared" si="113"/>
        <v>78.968408063470505</v>
      </c>
      <c r="T115">
        <f t="shared" si="114"/>
        <v>1.9742102015867626</v>
      </c>
      <c r="U115">
        <f t="shared" si="93"/>
        <v>69.570742742121439</v>
      </c>
      <c r="V115" s="1">
        <f t="shared" si="94"/>
        <v>1.739268568553036</v>
      </c>
      <c r="W115" s="1">
        <f t="shared" si="95"/>
        <v>105.62008812138508</v>
      </c>
      <c r="X115" s="1">
        <f t="shared" si="96"/>
        <v>-5.2810044060692549</v>
      </c>
      <c r="Y115" s="1">
        <f t="shared" si="97"/>
        <v>-86.075564789182849</v>
      </c>
      <c r="Z115" s="1">
        <f t="shared" si="101"/>
        <v>-1.0619044902057528</v>
      </c>
      <c r="AA115" s="1">
        <f t="shared" si="102"/>
        <v>13.201614435927221</v>
      </c>
      <c r="AB115" s="1">
        <f t="shared" si="103"/>
        <v>0</v>
      </c>
      <c r="AC115" s="1">
        <f t="shared" si="115"/>
        <v>9.9704936089205205</v>
      </c>
      <c r="AD115" s="1">
        <f t="shared" si="104"/>
        <v>23.172108044847739</v>
      </c>
      <c r="AE115" s="1">
        <f t="shared" si="105"/>
        <v>0.23494163303372662</v>
      </c>
      <c r="AF115">
        <f t="shared" si="106"/>
        <v>23.407049677881467</v>
      </c>
    </row>
    <row r="116" spans="5:32">
      <c r="E116">
        <v>15</v>
      </c>
      <c r="F116" s="13" cm="1">
        <f t="array" ref="F116">_xlfn.IFS(AND(E116&gt;=0,E116&lt;=2),$B$100*(1-$B$21),AND(E116&gt;=3,E116&lt;=5),$B$100*(1-$B$22),AND(E116&gt;=6,E116&lt;=10),$B$100*(1-$B$23),AND(E116&gt;=11,E116&lt;=20),$B$100*(1-$B$24))</f>
        <v>267.49960069219935</v>
      </c>
      <c r="G116">
        <f t="shared" si="116"/>
        <v>13.374980034609969</v>
      </c>
      <c r="H116">
        <f t="shared" si="107"/>
        <v>218</v>
      </c>
      <c r="I116" s="13">
        <f t="shared" si="98"/>
        <v>500000</v>
      </c>
      <c r="J116" s="5">
        <v>0.4</v>
      </c>
      <c r="K116" s="19">
        <f t="shared" si="99"/>
        <v>200</v>
      </c>
      <c r="L116">
        <f t="shared" si="100"/>
        <v>5</v>
      </c>
      <c r="M116">
        <f t="shared" si="108"/>
        <v>5.9071812799999998E-3</v>
      </c>
      <c r="N116" s="2">
        <f t="shared" si="119"/>
        <v>0.11899999999999999</v>
      </c>
      <c r="O116">
        <f t="shared" si="109"/>
        <v>0.34785371371060719</v>
      </c>
      <c r="P116">
        <f t="shared" si="110"/>
        <v>2.0548349458097777E-6</v>
      </c>
      <c r="Q116">
        <f t="shared" si="111"/>
        <v>4.1394591931562252E-2</v>
      </c>
      <c r="R116">
        <f t="shared" si="112"/>
        <v>0.30645706694409913</v>
      </c>
      <c r="S116">
        <f t="shared" si="113"/>
        <v>69.570742742121439</v>
      </c>
      <c r="T116">
        <f t="shared" si="114"/>
        <v>1.739268568553036</v>
      </c>
      <c r="U116">
        <f t="shared" si="93"/>
        <v>61.291413388819826</v>
      </c>
      <c r="V116" s="1">
        <f t="shared" si="94"/>
        <v>1.5322853347204957</v>
      </c>
      <c r="W116" s="1">
        <f t="shared" si="95"/>
        <v>93.050729516886051</v>
      </c>
      <c r="X116" s="1">
        <f t="shared" si="96"/>
        <v>-4.6525364758443031</v>
      </c>
      <c r="Y116" s="1">
        <f t="shared" si="97"/>
        <v>-75.832109588912374</v>
      </c>
      <c r="Z116" s="1">
        <f t="shared" si="101"/>
        <v>-1.0274174729048888</v>
      </c>
      <c r="AA116" s="1">
        <f t="shared" si="102"/>
        <v>11.538665979224488</v>
      </c>
      <c r="AB116" s="1">
        <f t="shared" si="103"/>
        <v>0</v>
      </c>
      <c r="AC116" s="1">
        <f t="shared" si="115"/>
        <v>8.7839512393443915</v>
      </c>
      <c r="AD116" s="1">
        <f t="shared" si="104"/>
        <v>20.32261721856888</v>
      </c>
      <c r="AE116" s="1">
        <f t="shared" si="105"/>
        <v>0.20698323383254036</v>
      </c>
      <c r="AF116">
        <f t="shared" si="106"/>
        <v>20.529600452401422</v>
      </c>
    </row>
    <row r="117" spans="5:32">
      <c r="E117">
        <v>16</v>
      </c>
      <c r="F117" s="13" cm="1">
        <f t="array" ref="F117">_xlfn.IFS(AND(E117&gt;=0,E117&lt;=2),$B$100*(1-$B$21),AND(E117&gt;=3,E117&lt;=5),$B$100*(1-$B$22),AND(E117&gt;=6,E117&lt;=10),$B$100*(1-$B$23),AND(E117&gt;=11,E117&lt;=20),$B$100*(1-$B$24))</f>
        <v>267.49960069219935</v>
      </c>
      <c r="G117">
        <f t="shared" si="116"/>
        <v>13.374980034609969</v>
      </c>
      <c r="H117">
        <f t="shared" si="107"/>
        <v>218</v>
      </c>
      <c r="I117" s="13">
        <f t="shared" si="98"/>
        <v>500000</v>
      </c>
      <c r="J117" s="5">
        <v>0.4</v>
      </c>
      <c r="K117" s="19">
        <f t="shared" si="99"/>
        <v>200</v>
      </c>
      <c r="L117">
        <f t="shared" si="100"/>
        <v>5</v>
      </c>
      <c r="M117">
        <f t="shared" si="108"/>
        <v>6.5392217799999999E-3</v>
      </c>
      <c r="N117" s="2">
        <f>$B$16</f>
        <v>0.15620000000000001</v>
      </c>
      <c r="O117">
        <f t="shared" si="109"/>
        <v>0.30645706694409913</v>
      </c>
      <c r="P117">
        <f t="shared" si="110"/>
        <v>2.0039907267957708E-6</v>
      </c>
      <c r="Q117">
        <f t="shared" si="111"/>
        <v>4.7868593856668286E-2</v>
      </c>
      <c r="R117">
        <f t="shared" si="112"/>
        <v>0.25858646909670407</v>
      </c>
      <c r="S117">
        <f t="shared" si="113"/>
        <v>61.291413388819826</v>
      </c>
      <c r="T117">
        <f t="shared" si="114"/>
        <v>1.5322853347204957</v>
      </c>
      <c r="U117">
        <f t="shared" si="93"/>
        <v>51.717293819340817</v>
      </c>
      <c r="V117" s="1">
        <f t="shared" si="94"/>
        <v>1.2929323454835204</v>
      </c>
      <c r="W117" s="1">
        <f t="shared" si="95"/>
        <v>81.977143036849128</v>
      </c>
      <c r="X117" s="1">
        <f t="shared" si="96"/>
        <v>-4.0988571518424566</v>
      </c>
      <c r="Y117" s="1">
        <f t="shared" si="97"/>
        <v>-66.807640593813616</v>
      </c>
      <c r="Z117" s="1">
        <f t="shared" si="101"/>
        <v>-1.0019953633978853</v>
      </c>
      <c r="AA117" s="1">
        <f t="shared" si="102"/>
        <v>10.068649927795175</v>
      </c>
      <c r="AB117" s="1">
        <f t="shared" si="103"/>
        <v>0</v>
      </c>
      <c r="AC117" s="1">
        <f t="shared" si="115"/>
        <v>7.7386091534700858</v>
      </c>
      <c r="AD117" s="1">
        <f t="shared" si="104"/>
        <v>17.807259081265261</v>
      </c>
      <c r="AE117" s="1">
        <f t="shared" si="105"/>
        <v>0.23935298923697523</v>
      </c>
      <c r="AF117">
        <f t="shared" si="106"/>
        <v>18.046612070502235</v>
      </c>
    </row>
    <row r="118" spans="5:32">
      <c r="E118">
        <v>17</v>
      </c>
      <c r="F118" s="13" cm="1">
        <f t="array" ref="F118">_xlfn.IFS(AND(E118&gt;=0,E118&lt;=2),$B$100*(1-$B$21),AND(E118&gt;=3,E118&lt;=5),$B$100*(1-$B$22),AND(E118&gt;=6,E118&lt;=10),$B$100*(1-$B$23),AND(E118&gt;=11,E118&lt;=20),$B$100*(1-$B$24))</f>
        <v>267.49960069219935</v>
      </c>
      <c r="G118">
        <f t="shared" si="116"/>
        <v>13.374980034609969</v>
      </c>
      <c r="H118">
        <f t="shared" si="107"/>
        <v>218</v>
      </c>
      <c r="I118" s="13">
        <f t="shared" si="98"/>
        <v>500000</v>
      </c>
      <c r="J118" s="5">
        <v>0.3</v>
      </c>
      <c r="K118" s="19">
        <f t="shared" si="99"/>
        <v>150</v>
      </c>
      <c r="L118">
        <f t="shared" si="100"/>
        <v>5</v>
      </c>
      <c r="M118">
        <f t="shared" si="108"/>
        <v>7.2131077200000004E-3</v>
      </c>
      <c r="N118" s="2">
        <f t="shared" ref="N118:N121" si="120">$B$16</f>
        <v>0.15620000000000001</v>
      </c>
      <c r="O118">
        <f t="shared" si="109"/>
        <v>0.25858646909670407</v>
      </c>
      <c r="P118">
        <f t="shared" si="110"/>
        <v>1.8652120565289776E-6</v>
      </c>
      <c r="Q118">
        <f t="shared" si="111"/>
        <v>4.0391206472905179E-2</v>
      </c>
      <c r="R118">
        <f t="shared" si="112"/>
        <v>0.21819339741174237</v>
      </c>
      <c r="S118">
        <f t="shared" si="113"/>
        <v>51.717293819340817</v>
      </c>
      <c r="T118">
        <f t="shared" si="114"/>
        <v>1.2929323454835204</v>
      </c>
      <c r="U118">
        <f t="shared" si="93"/>
        <v>32.729009611761356</v>
      </c>
      <c r="V118" s="1">
        <f t="shared" si="94"/>
        <v>1.090966987058712</v>
      </c>
      <c r="W118" s="1">
        <f t="shared" si="95"/>
        <v>69.171777227774086</v>
      </c>
      <c r="X118" s="1">
        <f t="shared" si="96"/>
        <v>-3.4585888613887046</v>
      </c>
      <c r="Y118" s="1">
        <f t="shared" si="97"/>
        <v>-56.371850263081491</v>
      </c>
      <c r="Z118" s="1">
        <f t="shared" si="101"/>
        <v>-0.9326060282644888</v>
      </c>
      <c r="AA118" s="1">
        <f t="shared" si="102"/>
        <v>8.408732075039401</v>
      </c>
      <c r="AB118" s="1">
        <f t="shared" si="103"/>
        <v>15.322853347204962</v>
      </c>
      <c r="AC118" s="1">
        <f t="shared" si="115"/>
        <v>6.5297877992165354</v>
      </c>
      <c r="AD118" s="1">
        <f t="shared" si="104"/>
        <v>30.2613732214609</v>
      </c>
      <c r="AE118" s="1">
        <f t="shared" si="105"/>
        <v>0.20196535842480845</v>
      </c>
      <c r="AF118">
        <f t="shared" si="106"/>
        <v>30.463338579885708</v>
      </c>
    </row>
    <row r="119" spans="5:32">
      <c r="E119">
        <v>18</v>
      </c>
      <c r="F119" s="13" cm="1">
        <f t="array" ref="F119">_xlfn.IFS(AND(E119&gt;=0,E119&lt;=2),$B$100*(1-$B$21),AND(E119&gt;=3,E119&lt;=5),$B$100*(1-$B$22),AND(E119&gt;=6,E119&lt;=10),$B$100*(1-$B$23),AND(E119&gt;=11,E119&lt;=20),$B$100*(1-$B$24))</f>
        <v>267.49960069219935</v>
      </c>
      <c r="G119">
        <f t="shared" si="116"/>
        <v>13.374980034609969</v>
      </c>
      <c r="H119">
        <f t="shared" si="107"/>
        <v>218</v>
      </c>
      <c r="I119" s="13">
        <f t="shared" si="98"/>
        <v>500000</v>
      </c>
      <c r="J119" s="5">
        <v>0.2</v>
      </c>
      <c r="K119" s="19">
        <f t="shared" si="99"/>
        <v>100</v>
      </c>
      <c r="L119">
        <f t="shared" si="100"/>
        <v>5</v>
      </c>
      <c r="M119">
        <f t="shared" si="108"/>
        <v>7.8843783199999996E-3</v>
      </c>
      <c r="N119" s="2">
        <f t="shared" si="120"/>
        <v>0.15620000000000001</v>
      </c>
      <c r="O119">
        <f t="shared" si="109"/>
        <v>0.21819339741174237</v>
      </c>
      <c r="P119">
        <f t="shared" si="110"/>
        <v>1.7203192921202856E-6</v>
      </c>
      <c r="Q119">
        <f t="shared" si="111"/>
        <v>3.4081808675714163E-2</v>
      </c>
      <c r="R119">
        <f t="shared" si="112"/>
        <v>0.1841098684167361</v>
      </c>
      <c r="S119">
        <f t="shared" si="113"/>
        <v>32.729009611761356</v>
      </c>
      <c r="T119">
        <f t="shared" si="114"/>
        <v>1.090966987058712</v>
      </c>
      <c r="U119">
        <f t="shared" si="93"/>
        <v>18.410986841673608</v>
      </c>
      <c r="V119" s="1">
        <f t="shared" si="94"/>
        <v>0.92054934208368056</v>
      </c>
      <c r="W119" s="1">
        <f t="shared" si="95"/>
        <v>58.366646681315451</v>
      </c>
      <c r="X119" s="1">
        <f t="shared" si="96"/>
        <v>-2.9183323340657727</v>
      </c>
      <c r="Y119" s="1">
        <f t="shared" si="97"/>
        <v>-47.566160635759836</v>
      </c>
      <c r="Z119" s="1">
        <f t="shared" si="101"/>
        <v>-0.86015964606014284</v>
      </c>
      <c r="AA119" s="1">
        <f t="shared" si="102"/>
        <v>7.0219940654296993</v>
      </c>
      <c r="AB119" s="1">
        <f t="shared" si="103"/>
        <v>12.929323454835201</v>
      </c>
      <c r="AC119" s="1">
        <f t="shared" si="115"/>
        <v>4.9097560020338369</v>
      </c>
      <c r="AD119" s="1">
        <f t="shared" si="104"/>
        <v>24.861073522298739</v>
      </c>
      <c r="AE119" s="1">
        <f t="shared" si="105"/>
        <v>0.17041764497503142</v>
      </c>
      <c r="AF119">
        <f t="shared" si="106"/>
        <v>25.031491167273771</v>
      </c>
    </row>
    <row r="120" spans="5:32">
      <c r="E120">
        <v>19</v>
      </c>
      <c r="F120" s="13" cm="1">
        <f t="array" ref="F120">_xlfn.IFS(AND(E120&gt;=0,E120&lt;=2),$B$100*(1-$B$21),AND(E120&gt;=3,E120&lt;=5),$B$100*(1-$B$22),AND(E120&gt;=6,E120&lt;=10),$B$100*(1-$B$23),AND(E120&gt;=11,E120&lt;=20),$B$100*(1-$B$24))</f>
        <v>267.49960069219935</v>
      </c>
      <c r="G120">
        <f t="shared" si="116"/>
        <v>13.374980034609969</v>
      </c>
      <c r="H120">
        <f t="shared" si="107"/>
        <v>218</v>
      </c>
      <c r="I120" s="13">
        <f t="shared" si="98"/>
        <v>500000</v>
      </c>
      <c r="J120" s="5">
        <v>0.1</v>
      </c>
      <c r="K120" s="19">
        <f t="shared" si="99"/>
        <v>50</v>
      </c>
      <c r="L120">
        <f t="shared" si="100"/>
        <v>5</v>
      </c>
      <c r="M120">
        <f t="shared" si="108"/>
        <v>8.6227759800000005E-3</v>
      </c>
      <c r="N120" s="2">
        <f t="shared" si="120"/>
        <v>0.15620000000000001</v>
      </c>
      <c r="O120">
        <f t="shared" si="109"/>
        <v>0.1841098684167361</v>
      </c>
      <c r="P120">
        <f t="shared" si="110"/>
        <v>1.5875381510647928E-6</v>
      </c>
      <c r="Q120">
        <f t="shared" si="111"/>
        <v>2.875796144669418E-2</v>
      </c>
      <c r="R120">
        <f t="shared" si="112"/>
        <v>0.15535031943189084</v>
      </c>
      <c r="S120">
        <f t="shared" si="113"/>
        <v>18.410986841673608</v>
      </c>
      <c r="T120">
        <f t="shared" si="114"/>
        <v>0.92054934208368056</v>
      </c>
      <c r="U120">
        <f t="shared" si="93"/>
        <v>7.7675159715945421</v>
      </c>
      <c r="V120" s="1">
        <f t="shared" si="94"/>
        <v>0.77675159715945419</v>
      </c>
      <c r="W120" s="1">
        <f t="shared" si="95"/>
        <v>49.24931628497027</v>
      </c>
      <c r="X120" s="1">
        <f t="shared" si="96"/>
        <v>-2.4624658142485139</v>
      </c>
      <c r="Y120" s="1">
        <f t="shared" si="97"/>
        <v>-40.135951314848469</v>
      </c>
      <c r="Z120" s="1">
        <f t="shared" si="101"/>
        <v>-0.7937690755323964</v>
      </c>
      <c r="AA120" s="1">
        <f t="shared" si="102"/>
        <v>5.8571300803408937</v>
      </c>
      <c r="AB120" s="1">
        <f t="shared" si="103"/>
        <v>10.909669870587118</v>
      </c>
      <c r="AC120" s="1">
        <f t="shared" si="115"/>
        <v>3.6365112659963472</v>
      </c>
      <c r="AD120" s="1">
        <f t="shared" si="104"/>
        <v>20.403311216924358</v>
      </c>
      <c r="AE120" s="1">
        <f t="shared" si="105"/>
        <v>0.14379774492422637</v>
      </c>
      <c r="AF120">
        <f t="shared" si="106"/>
        <v>20.547108961848583</v>
      </c>
    </row>
    <row r="121" spans="5:32">
      <c r="E121">
        <v>20</v>
      </c>
      <c r="F121" s="13" cm="1">
        <f t="array" ref="F121">_xlfn.IFS(AND(E121&gt;=0,E121&lt;=2),$B$100*(1-$B$21),AND(E121&gt;=3,E121&lt;=5),$B$100*(1-$B$22),AND(E121&gt;=6,E121&lt;=10),$B$100*(1-$B$23),AND(E121&gt;=11,E121&lt;=20),$B$100*(1-$B$24))</f>
        <v>267.49960069219935</v>
      </c>
      <c r="G121">
        <f t="shared" si="116"/>
        <v>13.374980034609969</v>
      </c>
      <c r="H121">
        <f t="shared" si="107"/>
        <v>218</v>
      </c>
      <c r="I121" s="13">
        <f t="shared" si="98"/>
        <v>500000</v>
      </c>
      <c r="J121" s="5">
        <v>0</v>
      </c>
      <c r="K121" s="19">
        <f t="shared" si="99"/>
        <v>0</v>
      </c>
      <c r="M121">
        <f t="shared" si="108"/>
        <v>9.4082497599999992E-3</v>
      </c>
      <c r="N121" s="2">
        <f t="shared" si="120"/>
        <v>0.15620000000000001</v>
      </c>
      <c r="O121">
        <f t="shared" si="109"/>
        <v>0.15535031943189084</v>
      </c>
      <c r="P121">
        <f t="shared" si="110"/>
        <v>1.4615746055110103E-6</v>
      </c>
      <c r="Q121">
        <f t="shared" si="111"/>
        <v>2.4265719895261349E-2</v>
      </c>
      <c r="R121">
        <f t="shared" si="112"/>
        <v>0.13108313796202398</v>
      </c>
      <c r="S121">
        <f t="shared" si="113"/>
        <v>7.7675159715945421</v>
      </c>
      <c r="T121">
        <f t="shared" si="114"/>
        <v>0.77675159715945419</v>
      </c>
      <c r="U121">
        <f t="shared" si="93"/>
        <v>0</v>
      </c>
      <c r="V121" s="1">
        <f t="shared" si="94"/>
        <v>0</v>
      </c>
      <c r="W121" s="1">
        <f t="shared" si="95"/>
        <v>41.556148415436418</v>
      </c>
      <c r="X121" s="1">
        <f t="shared" si="96"/>
        <v>-2.0778074207718213</v>
      </c>
      <c r="Y121" s="1">
        <f t="shared" si="97"/>
        <v>-33.866369636152207</v>
      </c>
      <c r="Z121" s="1">
        <f t="shared" si="101"/>
        <v>-0.73078730275550519</v>
      </c>
      <c r="AA121" s="1">
        <f t="shared" si="102"/>
        <v>4.8811840557568864</v>
      </c>
      <c r="AB121" s="1">
        <f t="shared" si="103"/>
        <v>9.2054934208368042</v>
      </c>
      <c r="AC121" s="1">
        <f t="shared" si="115"/>
        <v>2.6412434709880226</v>
      </c>
      <c r="AD121" s="1">
        <f t="shared" si="104"/>
        <v>16.727920947581712</v>
      </c>
      <c r="AE121" s="1">
        <f t="shared" si="105"/>
        <v>0.77675159715945419</v>
      </c>
      <c r="AF121">
        <f t="shared" si="106"/>
        <v>17.504672544741165</v>
      </c>
    </row>
    <row r="123" spans="5:32">
      <c r="E123" s="3"/>
      <c r="V123" t="s">
        <v>116</v>
      </c>
      <c r="W123">
        <f>SUM(W101:W121)</f>
        <v>3296.2707756227596</v>
      </c>
      <c r="X123">
        <f t="shared" ref="X123:AF123" si="121">SUM(X101:X121)</f>
        <v>-383.27154601310093</v>
      </c>
      <c r="Y123">
        <f t="shared" si="121"/>
        <v>-2685.7985804923887</v>
      </c>
      <c r="Z123">
        <f t="shared" si="121"/>
        <v>-19.904352821036447</v>
      </c>
      <c r="AA123">
        <f t="shared" si="121"/>
        <v>207.29629629623426</v>
      </c>
      <c r="AB123">
        <f t="shared" si="121"/>
        <v>-151.63265990653591</v>
      </c>
      <c r="AC123">
        <f t="shared" si="121"/>
        <v>295.87461117736109</v>
      </c>
      <c r="AD123">
        <f t="shared" si="121"/>
        <v>351.53824756705956</v>
      </c>
      <c r="AE123">
        <f t="shared" si="121"/>
        <v>0</v>
      </c>
      <c r="AF123">
        <f t="shared" si="121"/>
        <v>351.5382475670595</v>
      </c>
    </row>
    <row r="124" spans="5:32">
      <c r="V124" t="str">
        <f>"PV at "&amp;$B$10</f>
        <v>PV at 0.055</v>
      </c>
      <c r="W124">
        <f>W101+NPV($B$10,W102:W121)</f>
        <v>2285.2505218753904</v>
      </c>
      <c r="X124">
        <f t="shared" ref="X124:AF124" si="122">X101+NPV($B$10,X102:X121)</f>
        <v>-332.72053332573233</v>
      </c>
      <c r="Y124">
        <f t="shared" si="122"/>
        <v>-1880.6143804913577</v>
      </c>
      <c r="Z124">
        <f t="shared" si="122"/>
        <v>-11.908549028282732</v>
      </c>
      <c r="AA124">
        <f t="shared" si="122"/>
        <v>60.00705903001699</v>
      </c>
      <c r="AB124">
        <f t="shared" si="122"/>
        <v>-189.75737357622836</v>
      </c>
      <c r="AC124">
        <f t="shared" si="122"/>
        <v>202.37961644569918</v>
      </c>
      <c r="AD124">
        <f t="shared" si="122"/>
        <v>72.6293018994877</v>
      </c>
      <c r="AE124">
        <f t="shared" si="122"/>
        <v>-2.2255440329581928</v>
      </c>
      <c r="AF124">
        <f t="shared" si="122"/>
        <v>70.403757866529531</v>
      </c>
    </row>
    <row r="125" spans="5:32">
      <c r="V125" t="str">
        <f>"PV at "&amp;$B$11</f>
        <v>PV at 0.0738</v>
      </c>
      <c r="W125">
        <f>W101+NPV($B$11,W102:W121)</f>
        <v>2054.9974877073155</v>
      </c>
      <c r="X125">
        <f t="shared" ref="X125:AF125" si="123">X101+NPV($B$11,X102:X121)</f>
        <v>-321.20788161732867</v>
      </c>
      <c r="Y125">
        <f t="shared" si="123"/>
        <v>-1697.9980851554083</v>
      </c>
      <c r="Z125">
        <f t="shared" si="123"/>
        <v>-10.234348365082949</v>
      </c>
      <c r="AA125">
        <f t="shared" si="123"/>
        <v>25.557172569496061</v>
      </c>
      <c r="AB125">
        <f t="shared" si="123"/>
        <v>-197.35323636923999</v>
      </c>
      <c r="AC125">
        <f t="shared" si="123"/>
        <v>180.91659977092306</v>
      </c>
      <c r="AD125">
        <f t="shared" si="123"/>
        <v>9.1205359711791516</v>
      </c>
      <c r="AE125">
        <f t="shared" si="123"/>
        <v>-2.6710444271348583</v>
      </c>
      <c r="AF125">
        <f t="shared" si="123"/>
        <v>6.4494915440443492</v>
      </c>
    </row>
    <row r="127" spans="5:32">
      <c r="V127" t="s">
        <v>117</v>
      </c>
      <c r="W127">
        <f>AD125</f>
        <v>9.1205359711791516</v>
      </c>
    </row>
    <row r="128" spans="5:32">
      <c r="V128" t="s">
        <v>118</v>
      </c>
      <c r="W128">
        <f>AF125</f>
        <v>6.4494915440443492</v>
      </c>
    </row>
    <row r="130" spans="1:32">
      <c r="A130" s="4" t="str">
        <f>"Base Assumptions for "&amp;B132&amp;" Death benefit (M,NS,44,Moderate)"</f>
        <v>Base Assumptions for 1000000 Death benefit (M,NS,44,Moderate)</v>
      </c>
      <c r="E130" s="8" t="s">
        <v>61</v>
      </c>
      <c r="F130" s="8"/>
      <c r="G130" s="8"/>
      <c r="H130" s="8"/>
      <c r="I130" s="8"/>
      <c r="J130" s="8"/>
      <c r="K130" s="8"/>
      <c r="L130" s="8"/>
      <c r="M130" s="9" t="s">
        <v>62</v>
      </c>
      <c r="N130" s="9"/>
      <c r="O130" s="9"/>
      <c r="P130" s="9"/>
      <c r="Q130" s="9"/>
      <c r="R130" s="9"/>
      <c r="S130" s="10" t="s">
        <v>63</v>
      </c>
      <c r="T130" s="10"/>
      <c r="U130" s="10"/>
      <c r="V130" s="11"/>
      <c r="W130" s="48" t="s">
        <v>64</v>
      </c>
      <c r="X130" s="48" t="s">
        <v>65</v>
      </c>
      <c r="Y130" s="48" t="s">
        <v>66</v>
      </c>
      <c r="Z130" s="48" t="s">
        <v>67</v>
      </c>
      <c r="AA130" s="48"/>
      <c r="AB130" s="48" t="s">
        <v>68</v>
      </c>
      <c r="AC130" s="48" t="s">
        <v>69</v>
      </c>
      <c r="AD130" s="48" t="s">
        <v>70</v>
      </c>
      <c r="AE130" s="48" t="s">
        <v>71</v>
      </c>
      <c r="AF130" s="48" t="s">
        <v>72</v>
      </c>
    </row>
    <row r="131" spans="1:32" ht="29.1">
      <c r="A131" t="s">
        <v>60</v>
      </c>
      <c r="B131" s="12">
        <v>317.17851381719959</v>
      </c>
      <c r="E131" t="s">
        <v>73</v>
      </c>
      <c r="F131" s="19" t="s">
        <v>60</v>
      </c>
      <c r="G131" s="19" t="s">
        <v>74</v>
      </c>
      <c r="H131" s="19" t="s">
        <v>46</v>
      </c>
      <c r="I131" s="1" t="s">
        <v>75</v>
      </c>
      <c r="J131" s="1" t="s">
        <v>76</v>
      </c>
      <c r="K131" s="1" t="s">
        <v>77</v>
      </c>
      <c r="L131" s="1" t="s">
        <v>78</v>
      </c>
      <c r="M131" s="1" t="s">
        <v>79</v>
      </c>
      <c r="N131" s="1" t="s">
        <v>80</v>
      </c>
      <c r="O131" s="1" t="s">
        <v>81</v>
      </c>
      <c r="P131" s="1" t="s">
        <v>82</v>
      </c>
      <c r="Q131" s="1" t="s">
        <v>83</v>
      </c>
      <c r="R131" s="1" t="s">
        <v>84</v>
      </c>
      <c r="S131" s="1" t="s">
        <v>85</v>
      </c>
      <c r="T131" s="1" t="s">
        <v>86</v>
      </c>
      <c r="U131" s="1" t="s">
        <v>87</v>
      </c>
      <c r="V131" s="1" t="s">
        <v>88</v>
      </c>
      <c r="W131" s="1" t="s">
        <v>89</v>
      </c>
      <c r="X131" s="1" t="s">
        <v>90</v>
      </c>
      <c r="Y131" s="1" t="s">
        <v>91</v>
      </c>
      <c r="Z131" s="1" t="s">
        <v>92</v>
      </c>
      <c r="AA131" s="1" t="s">
        <v>93</v>
      </c>
      <c r="AB131" s="1" t="s">
        <v>94</v>
      </c>
      <c r="AC131" s="1" t="s">
        <v>95</v>
      </c>
      <c r="AD131" s="1" t="s">
        <v>44</v>
      </c>
      <c r="AE131" s="1" t="s">
        <v>96</v>
      </c>
      <c r="AF131" s="1" t="s">
        <v>97</v>
      </c>
    </row>
    <row r="132" spans="1:32">
      <c r="A132" t="s">
        <v>98</v>
      </c>
      <c r="B132" s="12">
        <v>1000000</v>
      </c>
      <c r="E132">
        <v>0</v>
      </c>
      <c r="F132" s="13" cm="1">
        <f t="array" ref="F132">_xlfn.IFS(AND(E132&gt;=0,E132&lt;=2),$B$131*(1-$B$21),AND(E132&gt;=3,E132&lt;=5),$B$131*(1-$B$22),AND(E132&gt;=6,E132&lt;=10),$B$131*(1-$B$23),AND(E132&gt;=11,E132&lt;=20),$B$131*(1-$B$24))</f>
        <v>310.83494354085559</v>
      </c>
      <c r="G132">
        <f>F132*$B$17</f>
        <v>248.66795483268447</v>
      </c>
      <c r="H132">
        <f>$B$19</f>
        <v>323</v>
      </c>
      <c r="I132" s="13">
        <f>$B132</f>
        <v>1000000</v>
      </c>
      <c r="J132" s="5">
        <v>0.8</v>
      </c>
      <c r="K132" s="19">
        <f>I132*J132/1000</f>
        <v>800</v>
      </c>
      <c r="L132">
        <f>I132*$B$9/1000</f>
        <v>10</v>
      </c>
      <c r="O132">
        <v>1</v>
      </c>
      <c r="R132">
        <f>O132-SUM(P132:Q132)</f>
        <v>1</v>
      </c>
      <c r="U132">
        <f t="shared" ref="U132:U152" si="124">R132*K132</f>
        <v>800</v>
      </c>
      <c r="V132" s="1">
        <f t="shared" ref="V132:V152" si="125">R132*L132</f>
        <v>10</v>
      </c>
      <c r="W132" s="1">
        <f t="shared" ref="W132:W152" si="126">$O132*F132</f>
        <v>310.83494354085559</v>
      </c>
      <c r="X132" s="1">
        <f t="shared" ref="X132:X152" si="127">-$O132*G132</f>
        <v>-248.66795483268447</v>
      </c>
      <c r="Y132" s="1">
        <f t="shared" ref="Y132:Y152" si="128">-$O132*H132</f>
        <v>-323</v>
      </c>
      <c r="Z132" s="1"/>
      <c r="AA132" s="1">
        <f>SUM(W132:Z132)</f>
        <v>-260.83301129182888</v>
      </c>
      <c r="AB132" s="1">
        <f>S132-U132</f>
        <v>-800</v>
      </c>
      <c r="AC132" s="1"/>
      <c r="AD132" s="1">
        <f>SUM(AA132:AC132)</f>
        <v>-1060.8330112918288</v>
      </c>
      <c r="AE132" s="1">
        <f>T132-V132</f>
        <v>-10</v>
      </c>
      <c r="AF132">
        <f>SUM(AD132:AE132)</f>
        <v>-1070.8330112918288</v>
      </c>
    </row>
    <row r="133" spans="1:32">
      <c r="E133">
        <v>1</v>
      </c>
      <c r="I133" s="13">
        <f t="shared" ref="I133:I152" si="129">I132</f>
        <v>1000000</v>
      </c>
      <c r="J133" s="5">
        <v>0.3</v>
      </c>
      <c r="K133" s="19">
        <f t="shared" ref="K133:K152" si="130">I133*J133/1000</f>
        <v>300</v>
      </c>
      <c r="L133">
        <f t="shared" ref="L133:L151" si="131">I133*$B$9/1000</f>
        <v>10</v>
      </c>
      <c r="M133">
        <f>M102</f>
        <v>1.6188954599999999E-3</v>
      </c>
      <c r="N133" s="2">
        <f>$B$12</f>
        <v>1.04E-2</v>
      </c>
      <c r="O133">
        <f>R132</f>
        <v>1</v>
      </c>
      <c r="P133">
        <f>M133*O133/1000</f>
        <v>1.6188954599999999E-6</v>
      </c>
      <c r="Q133">
        <f>MIN(N133*O133,O133-P133)</f>
        <v>1.04E-2</v>
      </c>
      <c r="R133">
        <f>O133-SUM(P133:Q133)</f>
        <v>0.98959838110454001</v>
      </c>
      <c r="S133">
        <f>U132</f>
        <v>800</v>
      </c>
      <c r="T133">
        <f>V132</f>
        <v>10</v>
      </c>
      <c r="U133">
        <f t="shared" si="124"/>
        <v>296.87951433136203</v>
      </c>
      <c r="V133" s="1">
        <f t="shared" si="125"/>
        <v>9.8959838110454008</v>
      </c>
      <c r="W133" s="1">
        <f t="shared" si="126"/>
        <v>0</v>
      </c>
      <c r="X133" s="1">
        <f t="shared" si="127"/>
        <v>0</v>
      </c>
      <c r="Y133" s="1">
        <f t="shared" si="128"/>
        <v>0</v>
      </c>
      <c r="Z133" s="1">
        <f t="shared" ref="Z133:Z152" si="132">-P133*I133</f>
        <v>-1.6188954599999998</v>
      </c>
      <c r="AA133" s="1">
        <f t="shared" ref="AA133:AA152" si="133">SUM(W133:Z133)</f>
        <v>-1.6188954599999998</v>
      </c>
      <c r="AB133" s="1">
        <f t="shared" ref="AB133:AB152" si="134">-I133*O132*(J133-J132)/1000</f>
        <v>500</v>
      </c>
      <c r="AC133" s="1">
        <f>$B$10*SUM(S133:T133,W133:X133)</f>
        <v>44.55</v>
      </c>
      <c r="AD133" s="1">
        <f t="shared" ref="AD133:AD152" si="135">SUM(AA133:AC133)</f>
        <v>542.93110453999998</v>
      </c>
      <c r="AE133" s="1">
        <f t="shared" ref="AE133:AE152" si="136">T133-V133</f>
        <v>0.10401618895459919</v>
      </c>
      <c r="AF133">
        <f t="shared" ref="AF133:AF152" si="137">SUM(AD133:AE133)</f>
        <v>543.03512072895455</v>
      </c>
    </row>
    <row r="134" spans="1:32">
      <c r="E134">
        <v>2</v>
      </c>
      <c r="F134" s="13" cm="1">
        <f t="array" ref="F134">_xlfn.IFS(AND(E134&gt;=0,E134&lt;=2),$B$131*(1-$B$21),AND(E134&gt;=3,E134&lt;=5),$B$131*(1-$B$22),AND(E134&gt;=6,E134&lt;=10),$B$131*(1-$B$23),AND(E134&gt;=11,E134&lt;=20),$B$131*(1-$B$24))</f>
        <v>310.83494354085559</v>
      </c>
      <c r="G134">
        <f>F134*$B$18</f>
        <v>15.54174717704278</v>
      </c>
      <c r="H134">
        <f t="shared" ref="H134:H152" si="138">$B$20</f>
        <v>218</v>
      </c>
      <c r="I134" s="13">
        <f t="shared" si="129"/>
        <v>1000000</v>
      </c>
      <c r="J134" s="5">
        <v>0.4</v>
      </c>
      <c r="K134" s="19">
        <f t="shared" si="130"/>
        <v>400</v>
      </c>
      <c r="L134">
        <f t="shared" si="131"/>
        <v>10</v>
      </c>
      <c r="M134">
        <f t="shared" ref="M134:M152" si="139">M103</f>
        <v>1.7557649200000002E-3</v>
      </c>
      <c r="N134" s="2">
        <f>$B$13</f>
        <v>3.5099999999999999E-2</v>
      </c>
      <c r="O134">
        <f t="shared" ref="O134:O152" si="140">R133</f>
        <v>0.98959838110454001</v>
      </c>
      <c r="P134">
        <f t="shared" ref="P134:P152" si="141">M134*O134/1000</f>
        <v>1.7375021224321424E-6</v>
      </c>
      <c r="Q134">
        <f t="shared" ref="Q134:Q152" si="142">MIN(N134*O134,O134-P134)</f>
        <v>3.4734903176769354E-2</v>
      </c>
      <c r="R134">
        <f t="shared" ref="R134:R152" si="143">O134-SUM(P134:Q134)</f>
        <v>0.9548617404256482</v>
      </c>
      <c r="S134">
        <f t="shared" ref="S134:S152" si="144">U133</f>
        <v>296.87951433136203</v>
      </c>
      <c r="T134">
        <f t="shared" ref="T134:T152" si="145">V133</f>
        <v>9.8959838110454008</v>
      </c>
      <c r="U134">
        <f t="shared" si="124"/>
        <v>381.94469617025931</v>
      </c>
      <c r="V134" s="1">
        <f t="shared" si="125"/>
        <v>9.5486174042564826</v>
      </c>
      <c r="W134" s="1">
        <f t="shared" si="126"/>
        <v>307.60175691875179</v>
      </c>
      <c r="X134" s="1">
        <f t="shared" si="127"/>
        <v>-15.38008784593759</v>
      </c>
      <c r="Y134" s="1">
        <f t="shared" si="128"/>
        <v>-215.73244708078971</v>
      </c>
      <c r="Z134" s="1">
        <f t="shared" si="132"/>
        <v>-1.7375021224321423</v>
      </c>
      <c r="AA134" s="1">
        <f t="shared" si="133"/>
        <v>74.751719869592364</v>
      </c>
      <c r="AB134" s="1">
        <f t="shared" si="134"/>
        <v>-100.00000000000003</v>
      </c>
      <c r="AC134" s="1">
        <f t="shared" ref="AC134:AC152" si="146">$B$10*SUM(S134:T134,W134:X134)</f>
        <v>32.944844196837195</v>
      </c>
      <c r="AD134" s="1">
        <f t="shared" si="135"/>
        <v>7.6965640664295307</v>
      </c>
      <c r="AE134" s="1">
        <f t="shared" si="136"/>
        <v>0.34736640678891817</v>
      </c>
      <c r="AF134">
        <f t="shared" si="137"/>
        <v>8.0439304732184489</v>
      </c>
    </row>
    <row r="135" spans="1:32">
      <c r="E135">
        <v>3</v>
      </c>
      <c r="F135" s="13" cm="1">
        <f t="array" ref="F135">_xlfn.IFS(AND(E135&gt;=0,E135&lt;=2),$B$131*(1-$B$21),AND(E135&gt;=3,E135&lt;=5),$B$131*(1-$B$22),AND(E135&gt;=6,E135&lt;=10),$B$131*(1-$B$23),AND(E135&gt;=11,E135&lt;=20),$B$131*(1-$B$24))</f>
        <v>304.49137326451159</v>
      </c>
      <c r="G135">
        <f t="shared" ref="G135:G152" si="147">F135*$B$18</f>
        <v>15.224568663225581</v>
      </c>
      <c r="H135">
        <f t="shared" si="138"/>
        <v>218</v>
      </c>
      <c r="I135" s="13">
        <f t="shared" si="129"/>
        <v>1000000</v>
      </c>
      <c r="J135" s="5">
        <v>0.4</v>
      </c>
      <c r="K135" s="19">
        <f t="shared" si="130"/>
        <v>400</v>
      </c>
      <c r="L135">
        <f t="shared" si="131"/>
        <v>10</v>
      </c>
      <c r="M135">
        <f t="shared" si="139"/>
        <v>1.9170442199999999E-3</v>
      </c>
      <c r="N135" s="2">
        <f t="shared" ref="N135:N137" si="148">$B$13</f>
        <v>3.5099999999999999E-2</v>
      </c>
      <c r="O135">
        <f t="shared" si="140"/>
        <v>0.9548617404256482</v>
      </c>
      <c r="P135">
        <f t="shared" si="141"/>
        <v>1.8305121803821292E-6</v>
      </c>
      <c r="Q135">
        <f t="shared" si="142"/>
        <v>3.3515647088940254E-2</v>
      </c>
      <c r="R135">
        <f t="shared" si="143"/>
        <v>0.92134426282452753</v>
      </c>
      <c r="S135">
        <f t="shared" si="144"/>
        <v>381.94469617025931</v>
      </c>
      <c r="T135">
        <f t="shared" si="145"/>
        <v>9.5486174042564826</v>
      </c>
      <c r="U135">
        <f t="shared" si="124"/>
        <v>368.537705129811</v>
      </c>
      <c r="V135" s="1">
        <f t="shared" si="125"/>
        <v>9.213442628245275</v>
      </c>
      <c r="W135" s="1">
        <f t="shared" si="126"/>
        <v>290.74716261994723</v>
      </c>
      <c r="X135" s="1">
        <f t="shared" si="127"/>
        <v>-14.537358130997362</v>
      </c>
      <c r="Y135" s="1">
        <f t="shared" si="128"/>
        <v>-208.15985941279132</v>
      </c>
      <c r="Z135" s="1">
        <f t="shared" si="132"/>
        <v>-1.8305121803821292</v>
      </c>
      <c r="AA135" s="1">
        <f t="shared" si="133"/>
        <v>66.219432895776436</v>
      </c>
      <c r="AB135" s="1">
        <f t="shared" si="134"/>
        <v>0</v>
      </c>
      <c r="AC135" s="1">
        <f t="shared" si="146"/>
        <v>36.723671493490613</v>
      </c>
      <c r="AD135" s="1">
        <f t="shared" si="135"/>
        <v>102.94310438926705</v>
      </c>
      <c r="AE135" s="1">
        <f t="shared" si="136"/>
        <v>0.3351747760112076</v>
      </c>
      <c r="AF135">
        <f t="shared" si="137"/>
        <v>103.27827916527826</v>
      </c>
    </row>
    <row r="136" spans="1:32">
      <c r="E136">
        <v>4</v>
      </c>
      <c r="F136" s="13" cm="1">
        <f t="array" ref="F136">_xlfn.IFS(AND(E136&gt;=0,E136&lt;=2),$B$131*(1-$B$21),AND(E136&gt;=3,E136&lt;=5),$B$131*(1-$B$22),AND(E136&gt;=6,E136&lt;=10),$B$131*(1-$B$23),AND(E136&gt;=11,E136&lt;=20),$B$131*(1-$B$24))</f>
        <v>304.49137326451159</v>
      </c>
      <c r="G136">
        <f t="shared" si="147"/>
        <v>15.224568663225581</v>
      </c>
      <c r="H136">
        <f t="shared" si="138"/>
        <v>218</v>
      </c>
      <c r="I136" s="13">
        <f t="shared" si="129"/>
        <v>1000000</v>
      </c>
      <c r="J136" s="5">
        <v>0.4</v>
      </c>
      <c r="K136" s="19">
        <f t="shared" si="130"/>
        <v>400</v>
      </c>
      <c r="L136">
        <f t="shared" si="131"/>
        <v>10</v>
      </c>
      <c r="M136">
        <f t="shared" si="139"/>
        <v>2.1018615799999999E-3</v>
      </c>
      <c r="N136" s="2">
        <f t="shared" si="148"/>
        <v>3.5099999999999999E-2</v>
      </c>
      <c r="O136">
        <f t="shared" si="140"/>
        <v>0.92134426282452753</v>
      </c>
      <c r="P136">
        <f t="shared" si="141"/>
        <v>1.9365381079842966E-6</v>
      </c>
      <c r="Q136">
        <f t="shared" si="142"/>
        <v>3.2339183625140919E-2</v>
      </c>
      <c r="R136">
        <f t="shared" si="143"/>
        <v>0.88900314266127867</v>
      </c>
      <c r="S136">
        <f t="shared" si="144"/>
        <v>368.537705129811</v>
      </c>
      <c r="T136">
        <f t="shared" si="145"/>
        <v>9.213442628245275</v>
      </c>
      <c r="U136">
        <f t="shared" si="124"/>
        <v>355.60125706451146</v>
      </c>
      <c r="V136" s="1">
        <f t="shared" si="125"/>
        <v>8.8900314266127864</v>
      </c>
      <c r="W136" s="1">
        <f t="shared" si="126"/>
        <v>280.54137983681949</v>
      </c>
      <c r="X136" s="1">
        <f t="shared" si="127"/>
        <v>-14.027068991840975</v>
      </c>
      <c r="Y136" s="1">
        <f t="shared" si="128"/>
        <v>-200.85304929574701</v>
      </c>
      <c r="Z136" s="1">
        <f t="shared" si="132"/>
        <v>-1.9365381079842967</v>
      </c>
      <c r="AA136" s="1">
        <f t="shared" si="133"/>
        <v>63.724723441247214</v>
      </c>
      <c r="AB136" s="1">
        <f t="shared" si="134"/>
        <v>0</v>
      </c>
      <c r="AC136" s="1">
        <f t="shared" si="146"/>
        <v>35.43460022316691</v>
      </c>
      <c r="AD136" s="1">
        <f t="shared" si="135"/>
        <v>99.159323664414131</v>
      </c>
      <c r="AE136" s="1">
        <f t="shared" si="136"/>
        <v>0.3234112016324886</v>
      </c>
      <c r="AF136">
        <f t="shared" si="137"/>
        <v>99.482734866046627</v>
      </c>
    </row>
    <row r="137" spans="1:32">
      <c r="E137">
        <v>5</v>
      </c>
      <c r="F137" s="13" cm="1">
        <f t="array" ref="F137">_xlfn.IFS(AND(E137&gt;=0,E137&lt;=2),$B$131*(1-$B$21),AND(E137&gt;=3,E137&lt;=5),$B$131*(1-$B$22),AND(E137&gt;=6,E137&lt;=10),$B$131*(1-$B$23),AND(E137&gt;=11,E137&lt;=20),$B$131*(1-$B$24))</f>
        <v>304.49137326451159</v>
      </c>
      <c r="G137">
        <f t="shared" si="147"/>
        <v>15.224568663225581</v>
      </c>
      <c r="H137">
        <f t="shared" si="138"/>
        <v>218</v>
      </c>
      <c r="I137" s="13">
        <f t="shared" si="129"/>
        <v>1000000</v>
      </c>
      <c r="J137" s="5">
        <v>0.4</v>
      </c>
      <c r="K137" s="19">
        <f t="shared" si="130"/>
        <v>400</v>
      </c>
      <c r="L137">
        <f t="shared" si="131"/>
        <v>10</v>
      </c>
      <c r="M137">
        <f t="shared" si="139"/>
        <v>2.2971403000000001E-3</v>
      </c>
      <c r="N137" s="2">
        <f t="shared" si="148"/>
        <v>3.5099999999999999E-2</v>
      </c>
      <c r="O137">
        <f t="shared" si="140"/>
        <v>0.88900314266127867</v>
      </c>
      <c r="P137">
        <f t="shared" si="141"/>
        <v>2.0421649458338725E-6</v>
      </c>
      <c r="Q137">
        <f t="shared" si="142"/>
        <v>3.1204010307410882E-2</v>
      </c>
      <c r="R137">
        <f t="shared" si="143"/>
        <v>0.85779709018892192</v>
      </c>
      <c r="S137">
        <f t="shared" si="144"/>
        <v>355.60125706451146</v>
      </c>
      <c r="T137">
        <f t="shared" si="145"/>
        <v>8.8900314266127864</v>
      </c>
      <c r="U137">
        <f t="shared" si="124"/>
        <v>343.11883607556877</v>
      </c>
      <c r="V137" s="1">
        <f t="shared" si="125"/>
        <v>8.5779709018892198</v>
      </c>
      <c r="W137" s="1">
        <f t="shared" si="126"/>
        <v>270.69378774539928</v>
      </c>
      <c r="X137" s="1">
        <f t="shared" si="127"/>
        <v>-13.534689387269964</v>
      </c>
      <c r="Y137" s="1">
        <f t="shared" si="128"/>
        <v>-193.80268510015875</v>
      </c>
      <c r="Z137" s="1">
        <f t="shared" si="132"/>
        <v>-2.0421649458338726</v>
      </c>
      <c r="AA137" s="1">
        <f t="shared" si="133"/>
        <v>61.314248312136684</v>
      </c>
      <c r="AB137" s="1">
        <f t="shared" si="134"/>
        <v>0</v>
      </c>
      <c r="AC137" s="1">
        <f t="shared" si="146"/>
        <v>34.190771276708944</v>
      </c>
      <c r="AD137" s="1">
        <f t="shared" si="135"/>
        <v>95.505019588845627</v>
      </c>
      <c r="AE137" s="1">
        <f t="shared" si="136"/>
        <v>0.3120605247235666</v>
      </c>
      <c r="AF137">
        <f t="shared" si="137"/>
        <v>95.81708011356919</v>
      </c>
    </row>
    <row r="138" spans="1:32">
      <c r="E138">
        <v>6</v>
      </c>
      <c r="F138" s="13" cm="1">
        <f t="array" ref="F138">_xlfn.IFS(AND(E138&gt;=0,E138&lt;=2),$B$131*(1-$B$21),AND(E138&gt;=3,E138&lt;=5),$B$131*(1-$B$22),AND(E138&gt;=6,E138&lt;=10),$B$131*(1-$B$23),AND(E138&gt;=11,E138&lt;=20),$B$131*(1-$B$24))</f>
        <v>294.97601784999557</v>
      </c>
      <c r="G138">
        <f t="shared" si="147"/>
        <v>14.74880089249978</v>
      </c>
      <c r="H138">
        <f t="shared" si="138"/>
        <v>218</v>
      </c>
      <c r="I138" s="13">
        <f t="shared" si="129"/>
        <v>1000000</v>
      </c>
      <c r="J138" s="5">
        <v>0.4</v>
      </c>
      <c r="K138" s="19">
        <f t="shared" si="130"/>
        <v>400</v>
      </c>
      <c r="L138">
        <f t="shared" si="131"/>
        <v>10</v>
      </c>
      <c r="M138">
        <f t="shared" si="139"/>
        <v>2.51159818E-3</v>
      </c>
      <c r="N138" s="2">
        <f>$B$14</f>
        <v>7.6100000000000001E-2</v>
      </c>
      <c r="O138">
        <f t="shared" si="140"/>
        <v>0.85779709018892192</v>
      </c>
      <c r="P138">
        <f t="shared" si="141"/>
        <v>2.1544416105277918E-6</v>
      </c>
      <c r="Q138">
        <f t="shared" si="142"/>
        <v>6.5278358563376965E-2</v>
      </c>
      <c r="R138">
        <f t="shared" si="143"/>
        <v>0.79251657718393442</v>
      </c>
      <c r="S138">
        <f t="shared" si="144"/>
        <v>343.11883607556877</v>
      </c>
      <c r="T138">
        <f t="shared" si="145"/>
        <v>8.5779709018892198</v>
      </c>
      <c r="U138">
        <f t="shared" si="124"/>
        <v>317.00663087357378</v>
      </c>
      <c r="V138" s="1">
        <f t="shared" si="125"/>
        <v>7.9251657718393442</v>
      </c>
      <c r="W138" s="1">
        <f t="shared" si="126"/>
        <v>253.02956978724168</v>
      </c>
      <c r="X138" s="1">
        <f t="shared" si="127"/>
        <v>-12.651478489362086</v>
      </c>
      <c r="Y138" s="1">
        <f t="shared" si="128"/>
        <v>-186.99976566118497</v>
      </c>
      <c r="Z138" s="1">
        <f t="shared" si="132"/>
        <v>-2.1544416105277917</v>
      </c>
      <c r="AA138" s="1">
        <f t="shared" si="133"/>
        <v>51.223884026166836</v>
      </c>
      <c r="AB138" s="1">
        <f t="shared" si="134"/>
        <v>0</v>
      </c>
      <c r="AC138" s="1">
        <f t="shared" si="146"/>
        <v>32.564119405143572</v>
      </c>
      <c r="AD138" s="1">
        <f t="shared" si="135"/>
        <v>83.788003431310415</v>
      </c>
      <c r="AE138" s="1">
        <f t="shared" si="136"/>
        <v>0.65280513004987561</v>
      </c>
      <c r="AF138">
        <f t="shared" si="137"/>
        <v>84.440808561360285</v>
      </c>
    </row>
    <row r="139" spans="1:32">
      <c r="E139">
        <v>7</v>
      </c>
      <c r="F139" s="13" cm="1">
        <f t="array" ref="F139">_xlfn.IFS(AND(E139&gt;=0,E139&lt;=2),$B$131*(1-$B$21),AND(E139&gt;=3,E139&lt;=5),$B$131*(1-$B$22),AND(E139&gt;=6,E139&lt;=10),$B$131*(1-$B$23),AND(E139&gt;=11,E139&lt;=20),$B$131*(1-$B$24))</f>
        <v>294.97601784999557</v>
      </c>
      <c r="G139">
        <f t="shared" si="147"/>
        <v>14.74880089249978</v>
      </c>
      <c r="H139">
        <f t="shared" si="138"/>
        <v>218</v>
      </c>
      <c r="I139" s="13">
        <f t="shared" si="129"/>
        <v>1000000</v>
      </c>
      <c r="J139" s="5">
        <v>0.4</v>
      </c>
      <c r="K139" s="19">
        <f t="shared" si="130"/>
        <v>400</v>
      </c>
      <c r="L139">
        <f t="shared" si="131"/>
        <v>10</v>
      </c>
      <c r="M139">
        <f t="shared" si="139"/>
        <v>2.7417480999999996E-3</v>
      </c>
      <c r="N139" s="2">
        <f t="shared" ref="N139:N142" si="149">$B$14</f>
        <v>7.6100000000000001E-2</v>
      </c>
      <c r="O139">
        <f t="shared" si="140"/>
        <v>0.79251657718393442</v>
      </c>
      <c r="P139">
        <f t="shared" si="141"/>
        <v>2.172880819712555E-6</v>
      </c>
      <c r="Q139">
        <f t="shared" si="142"/>
        <v>6.0310511523697409E-2</v>
      </c>
      <c r="R139">
        <f t="shared" si="143"/>
        <v>0.73220389277941733</v>
      </c>
      <c r="S139">
        <f t="shared" si="144"/>
        <v>317.00663087357378</v>
      </c>
      <c r="T139">
        <f t="shared" si="145"/>
        <v>7.9251657718393442</v>
      </c>
      <c r="U139">
        <f t="shared" si="124"/>
        <v>292.88155711176694</v>
      </c>
      <c r="V139" s="1">
        <f t="shared" si="125"/>
        <v>7.3220389277941731</v>
      </c>
      <c r="W139" s="1">
        <f t="shared" si="126"/>
        <v>233.77338401782563</v>
      </c>
      <c r="X139" s="1">
        <f t="shared" si="127"/>
        <v>-11.688669200891283</v>
      </c>
      <c r="Y139" s="1">
        <f t="shared" si="128"/>
        <v>-172.76861382609769</v>
      </c>
      <c r="Z139" s="1">
        <f t="shared" si="132"/>
        <v>-2.1728808197125549</v>
      </c>
      <c r="AA139" s="1">
        <f t="shared" si="133"/>
        <v>47.143220171124121</v>
      </c>
      <c r="AB139" s="1">
        <f t="shared" si="134"/>
        <v>0</v>
      </c>
      <c r="AC139" s="1">
        <f t="shared" si="146"/>
        <v>30.085908130429111</v>
      </c>
      <c r="AD139" s="1">
        <f t="shared" si="135"/>
        <v>77.229128301553231</v>
      </c>
      <c r="AE139" s="1">
        <f t="shared" si="136"/>
        <v>0.60312684404517114</v>
      </c>
      <c r="AF139">
        <f t="shared" si="137"/>
        <v>77.832255145598396</v>
      </c>
    </row>
    <row r="140" spans="1:32">
      <c r="E140">
        <v>8</v>
      </c>
      <c r="F140" s="13" cm="1">
        <f t="array" ref="F140">_xlfn.IFS(AND(E140&gt;=0,E140&lt;=2),$B$131*(1-$B$21),AND(E140&gt;=3,E140&lt;=5),$B$131*(1-$B$22),AND(E140&gt;=6,E140&lt;=10),$B$131*(1-$B$23),AND(E140&gt;=11,E140&lt;=20),$B$131*(1-$B$24))</f>
        <v>294.97601784999557</v>
      </c>
      <c r="G140">
        <f t="shared" si="147"/>
        <v>14.74880089249978</v>
      </c>
      <c r="H140">
        <f t="shared" si="138"/>
        <v>218</v>
      </c>
      <c r="I140" s="13">
        <f t="shared" si="129"/>
        <v>1000000</v>
      </c>
      <c r="J140" s="5">
        <v>0.4</v>
      </c>
      <c r="K140" s="19">
        <f t="shared" si="130"/>
        <v>400</v>
      </c>
      <c r="L140">
        <f t="shared" si="131"/>
        <v>10</v>
      </c>
      <c r="M140">
        <f t="shared" si="139"/>
        <v>3.0067692199999998E-3</v>
      </c>
      <c r="N140" s="2">
        <f t="shared" si="149"/>
        <v>7.6100000000000001E-2</v>
      </c>
      <c r="O140">
        <f t="shared" si="140"/>
        <v>0.73220389277941733</v>
      </c>
      <c r="P140">
        <f t="shared" si="141"/>
        <v>2.2015681275733324E-6</v>
      </c>
      <c r="Q140">
        <f t="shared" si="142"/>
        <v>5.5720716240513661E-2</v>
      </c>
      <c r="R140">
        <f t="shared" si="143"/>
        <v>0.67648097497077608</v>
      </c>
      <c r="S140">
        <f t="shared" si="144"/>
        <v>292.88155711176694</v>
      </c>
      <c r="T140">
        <f t="shared" si="145"/>
        <v>7.3220389277941731</v>
      </c>
      <c r="U140">
        <f t="shared" si="124"/>
        <v>270.59238998831046</v>
      </c>
      <c r="V140" s="1">
        <f t="shared" si="125"/>
        <v>6.7648097497077604</v>
      </c>
      <c r="W140" s="1">
        <f t="shared" si="126"/>
        <v>215.98258854633764</v>
      </c>
      <c r="X140" s="1">
        <f t="shared" si="127"/>
        <v>-10.799129427316883</v>
      </c>
      <c r="Y140" s="1">
        <f t="shared" si="128"/>
        <v>-159.62044862591299</v>
      </c>
      <c r="Z140" s="1">
        <f t="shared" si="132"/>
        <v>-2.2015681275733323</v>
      </c>
      <c r="AA140" s="1">
        <f t="shared" si="133"/>
        <v>43.361442365534451</v>
      </c>
      <c r="AB140" s="1">
        <f t="shared" si="134"/>
        <v>0</v>
      </c>
      <c r="AC140" s="1">
        <f t="shared" si="146"/>
        <v>27.796288033722</v>
      </c>
      <c r="AD140" s="1">
        <f t="shared" si="135"/>
        <v>71.157730399256451</v>
      </c>
      <c r="AE140" s="1">
        <f t="shared" si="136"/>
        <v>0.5572291780864127</v>
      </c>
      <c r="AF140">
        <f t="shared" si="137"/>
        <v>71.714959577342867</v>
      </c>
    </row>
    <row r="141" spans="1:32">
      <c r="E141">
        <v>9</v>
      </c>
      <c r="F141" s="13" cm="1">
        <f t="array" ref="F141">_xlfn.IFS(AND(E141&gt;=0,E141&lt;=2),$B$131*(1-$B$21),AND(E141&gt;=3,E141&lt;=5),$B$131*(1-$B$22),AND(E141&gt;=6,E141&lt;=10),$B$131*(1-$B$23),AND(E141&gt;=11,E141&lt;=20),$B$131*(1-$B$24))</f>
        <v>294.97601784999557</v>
      </c>
      <c r="G141">
        <f t="shared" si="147"/>
        <v>14.74880089249978</v>
      </c>
      <c r="H141">
        <f t="shared" si="138"/>
        <v>218</v>
      </c>
      <c r="I141" s="13">
        <f t="shared" si="129"/>
        <v>1000000</v>
      </c>
      <c r="J141" s="5">
        <v>0.4</v>
      </c>
      <c r="K141" s="19">
        <f t="shared" si="130"/>
        <v>400</v>
      </c>
      <c r="L141">
        <f t="shared" si="131"/>
        <v>10</v>
      </c>
      <c r="M141">
        <f t="shared" si="139"/>
        <v>3.3084051E-3</v>
      </c>
      <c r="N141" s="2">
        <f t="shared" si="149"/>
        <v>7.6100000000000001E-2</v>
      </c>
      <c r="O141">
        <f t="shared" si="140"/>
        <v>0.67648097497077608</v>
      </c>
      <c r="P141">
        <f t="shared" si="141"/>
        <v>2.238073107646288E-6</v>
      </c>
      <c r="Q141">
        <f t="shared" si="142"/>
        <v>5.1480202195276062E-2</v>
      </c>
      <c r="R141">
        <f t="shared" si="143"/>
        <v>0.62499853470239242</v>
      </c>
      <c r="S141">
        <f t="shared" si="144"/>
        <v>270.59238998831046</v>
      </c>
      <c r="T141">
        <f t="shared" si="145"/>
        <v>6.7648097497077604</v>
      </c>
      <c r="U141">
        <f t="shared" si="124"/>
        <v>249.99941388095698</v>
      </c>
      <c r="V141" s="1">
        <f t="shared" si="125"/>
        <v>6.2499853470239239</v>
      </c>
      <c r="W141" s="1">
        <f t="shared" si="126"/>
        <v>199.54566414816205</v>
      </c>
      <c r="X141" s="1">
        <f t="shared" si="127"/>
        <v>-9.977283207408103</v>
      </c>
      <c r="Y141" s="1">
        <f t="shared" si="128"/>
        <v>-147.47285254362919</v>
      </c>
      <c r="Z141" s="1">
        <f t="shared" si="132"/>
        <v>-2.2380731076462879</v>
      </c>
      <c r="AA141" s="1">
        <f t="shared" si="133"/>
        <v>39.857455289478466</v>
      </c>
      <c r="AB141" s="1">
        <f t="shared" si="134"/>
        <v>0</v>
      </c>
      <c r="AC141" s="1">
        <f t="shared" si="146"/>
        <v>25.68090693733247</v>
      </c>
      <c r="AD141" s="1">
        <f t="shared" si="135"/>
        <v>65.538362226810932</v>
      </c>
      <c r="AE141" s="1">
        <f t="shared" si="136"/>
        <v>0.51482440268383645</v>
      </c>
      <c r="AF141">
        <f t="shared" si="137"/>
        <v>66.053186629494775</v>
      </c>
    </row>
    <row r="142" spans="1:32">
      <c r="E142">
        <v>10</v>
      </c>
      <c r="F142" s="13" cm="1">
        <f t="array" ref="F142">_xlfn.IFS(AND(E142&gt;=0,E142&lt;=2),$B$131*(1-$B$21),AND(E142&gt;=3,E142&lt;=5),$B$131*(1-$B$22),AND(E142&gt;=6,E142&lt;=10),$B$131*(1-$B$23),AND(E142&gt;=11,E142&lt;=20),$B$131*(1-$B$24))</f>
        <v>294.97601784999557</v>
      </c>
      <c r="G142">
        <f t="shared" si="147"/>
        <v>14.74880089249978</v>
      </c>
      <c r="H142">
        <f t="shared" si="138"/>
        <v>218</v>
      </c>
      <c r="I142" s="13">
        <f t="shared" si="129"/>
        <v>1000000</v>
      </c>
      <c r="J142" s="5">
        <v>0.4</v>
      </c>
      <c r="K142" s="19">
        <f t="shared" si="130"/>
        <v>400</v>
      </c>
      <c r="L142">
        <f t="shared" si="131"/>
        <v>10</v>
      </c>
      <c r="M142">
        <f t="shared" si="139"/>
        <v>3.6422968400000003E-3</v>
      </c>
      <c r="N142" s="2">
        <f t="shared" si="149"/>
        <v>7.6100000000000001E-2</v>
      </c>
      <c r="O142">
        <f t="shared" si="140"/>
        <v>0.62499853470239242</v>
      </c>
      <c r="P142">
        <f t="shared" si="141"/>
        <v>2.2764301879511543E-6</v>
      </c>
      <c r="Q142">
        <f t="shared" si="142"/>
        <v>4.7562388490852064E-2</v>
      </c>
      <c r="R142">
        <f t="shared" si="143"/>
        <v>0.57743386978135236</v>
      </c>
      <c r="S142">
        <f t="shared" si="144"/>
        <v>249.99941388095698</v>
      </c>
      <c r="T142">
        <f t="shared" si="145"/>
        <v>6.2499853470239239</v>
      </c>
      <c r="U142">
        <f t="shared" si="124"/>
        <v>230.97354791254094</v>
      </c>
      <c r="V142" s="1">
        <f t="shared" si="125"/>
        <v>5.7743386978135236</v>
      </c>
      <c r="W142" s="1">
        <f t="shared" si="126"/>
        <v>184.35957892859398</v>
      </c>
      <c r="X142" s="1">
        <f t="shared" si="127"/>
        <v>-9.2179789464296995</v>
      </c>
      <c r="Y142" s="1">
        <f t="shared" si="128"/>
        <v>-136.24968056512154</v>
      </c>
      <c r="Z142" s="1">
        <f t="shared" si="132"/>
        <v>-2.2764301879511541</v>
      </c>
      <c r="AA142" s="1">
        <f t="shared" si="133"/>
        <v>36.615489229091587</v>
      </c>
      <c r="AB142" s="1">
        <f t="shared" si="134"/>
        <v>0</v>
      </c>
      <c r="AC142" s="1">
        <f t="shared" si="146"/>
        <v>23.726504956557985</v>
      </c>
      <c r="AD142" s="1">
        <f t="shared" si="135"/>
        <v>60.341994185649568</v>
      </c>
      <c r="AE142" s="1">
        <f t="shared" si="136"/>
        <v>0.47564664921040034</v>
      </c>
      <c r="AF142">
        <f t="shared" si="137"/>
        <v>60.817640834859972</v>
      </c>
    </row>
    <row r="143" spans="1:32">
      <c r="E143">
        <v>11</v>
      </c>
      <c r="F143" s="13" cm="1">
        <f t="array" ref="F143">_xlfn.IFS(AND(E143&gt;=0,E143&lt;=2),$B$131*(1-$B$21),AND(E143&gt;=3,E143&lt;=5),$B$131*(1-$B$22),AND(E143&gt;=6,E143&lt;=10),$B$131*(1-$B$23),AND(E143&gt;=11,E143&lt;=20),$B$131*(1-$B$24))</f>
        <v>285.46066243547966</v>
      </c>
      <c r="G143">
        <f t="shared" si="147"/>
        <v>14.273033121773985</v>
      </c>
      <c r="H143">
        <f t="shared" si="138"/>
        <v>218</v>
      </c>
      <c r="I143" s="13">
        <f t="shared" si="129"/>
        <v>1000000</v>
      </c>
      <c r="J143" s="5">
        <v>0.4</v>
      </c>
      <c r="K143" s="19">
        <f t="shared" si="130"/>
        <v>400</v>
      </c>
      <c r="L143">
        <f t="shared" si="131"/>
        <v>10</v>
      </c>
      <c r="M143">
        <f t="shared" si="139"/>
        <v>4.0215211399999996E-3</v>
      </c>
      <c r="N143" s="2">
        <f>$B$15</f>
        <v>0.11899999999999999</v>
      </c>
      <c r="O143">
        <f t="shared" si="140"/>
        <v>0.57743386978135236</v>
      </c>
      <c r="P143">
        <f t="shared" si="141"/>
        <v>2.3221625142777156E-6</v>
      </c>
      <c r="Q143">
        <f t="shared" si="142"/>
        <v>6.8714630503980925E-2</v>
      </c>
      <c r="R143">
        <f t="shared" si="143"/>
        <v>0.50871691711485711</v>
      </c>
      <c r="S143">
        <f t="shared" si="144"/>
        <v>230.97354791254094</v>
      </c>
      <c r="T143">
        <f t="shared" si="145"/>
        <v>5.7743386978135236</v>
      </c>
      <c r="U143">
        <f t="shared" si="124"/>
        <v>203.48676684594284</v>
      </c>
      <c r="V143" s="1">
        <f t="shared" si="125"/>
        <v>5.0871691711485711</v>
      </c>
      <c r="W143" s="1">
        <f t="shared" si="126"/>
        <v>164.83465498046735</v>
      </c>
      <c r="X143" s="1">
        <f t="shared" si="127"/>
        <v>-8.2417327490233685</v>
      </c>
      <c r="Y143" s="1">
        <f t="shared" si="128"/>
        <v>-125.88058361233482</v>
      </c>
      <c r="Z143" s="1">
        <f t="shared" si="132"/>
        <v>-2.3221625142777156</v>
      </c>
      <c r="AA143" s="1">
        <f t="shared" si="133"/>
        <v>28.390176104831461</v>
      </c>
      <c r="AB143" s="1">
        <f t="shared" si="134"/>
        <v>0</v>
      </c>
      <c r="AC143" s="1">
        <f t="shared" si="146"/>
        <v>21.633744486298916</v>
      </c>
      <c r="AD143" s="1">
        <f t="shared" si="135"/>
        <v>50.023920591130377</v>
      </c>
      <c r="AE143" s="1">
        <f t="shared" si="136"/>
        <v>0.68716952666495246</v>
      </c>
      <c r="AF143">
        <f t="shared" si="137"/>
        <v>50.711090117795329</v>
      </c>
    </row>
    <row r="144" spans="1:32">
      <c r="E144">
        <v>12</v>
      </c>
      <c r="F144" s="13" cm="1">
        <f t="array" ref="F144">_xlfn.IFS(AND(E144&gt;=0,E144&lt;=2),$B$131*(1-$B$21),AND(E144&gt;=3,E144&lt;=5),$B$131*(1-$B$22),AND(E144&gt;=6,E144&lt;=10),$B$131*(1-$B$23),AND(E144&gt;=11,E144&lt;=20),$B$131*(1-$B$24))</f>
        <v>285.46066243547966</v>
      </c>
      <c r="G144">
        <f t="shared" si="147"/>
        <v>14.273033121773985</v>
      </c>
      <c r="H144">
        <f t="shared" si="138"/>
        <v>218</v>
      </c>
      <c r="I144" s="13">
        <f t="shared" si="129"/>
        <v>1000000</v>
      </c>
      <c r="J144" s="5">
        <v>0.4</v>
      </c>
      <c r="K144" s="19">
        <f t="shared" si="130"/>
        <v>400</v>
      </c>
      <c r="L144">
        <f t="shared" si="131"/>
        <v>10</v>
      </c>
      <c r="M144">
        <f t="shared" si="139"/>
        <v>4.4513086800000001E-3</v>
      </c>
      <c r="N144" s="2">
        <f t="shared" ref="N144:N147" si="150">$B$15</f>
        <v>0.11899999999999999</v>
      </c>
      <c r="O144">
        <f t="shared" si="140"/>
        <v>0.50871691711485711</v>
      </c>
      <c r="P144">
        <f t="shared" si="141"/>
        <v>2.2644560288162042E-6</v>
      </c>
      <c r="Q144">
        <f t="shared" si="142"/>
        <v>6.0537313136667992E-2</v>
      </c>
      <c r="R144">
        <f t="shared" si="143"/>
        <v>0.44817733952216032</v>
      </c>
      <c r="S144">
        <f t="shared" si="144"/>
        <v>203.48676684594284</v>
      </c>
      <c r="T144">
        <f t="shared" si="145"/>
        <v>5.0871691711485711</v>
      </c>
      <c r="U144">
        <f t="shared" si="124"/>
        <v>179.27093580886412</v>
      </c>
      <c r="V144" s="1">
        <f t="shared" si="125"/>
        <v>4.4817733952216035</v>
      </c>
      <c r="W144" s="1">
        <f t="shared" si="126"/>
        <v>145.21866815174212</v>
      </c>
      <c r="X144" s="1">
        <f t="shared" si="127"/>
        <v>-7.2609334075871068</v>
      </c>
      <c r="Y144" s="1">
        <f t="shared" si="128"/>
        <v>-110.90028793103885</v>
      </c>
      <c r="Z144" s="1">
        <f t="shared" si="132"/>
        <v>-2.2644560288162041</v>
      </c>
      <c r="AA144" s="1">
        <f t="shared" si="133"/>
        <v>24.792990784299953</v>
      </c>
      <c r="AB144" s="1">
        <f t="shared" si="134"/>
        <v>0</v>
      </c>
      <c r="AC144" s="1">
        <f t="shared" si="146"/>
        <v>19.059241891868552</v>
      </c>
      <c r="AD144" s="1">
        <f t="shared" si="135"/>
        <v>43.852232676168505</v>
      </c>
      <c r="AE144" s="1">
        <f t="shared" si="136"/>
        <v>0.60539577592696769</v>
      </c>
      <c r="AF144">
        <f t="shared" si="137"/>
        <v>44.45762845209547</v>
      </c>
    </row>
    <row r="145" spans="5:32">
      <c r="E145">
        <v>13</v>
      </c>
      <c r="F145" s="13" cm="1">
        <f t="array" ref="F145">_xlfn.IFS(AND(E145&gt;=0,E145&lt;=2),$B$131*(1-$B$21),AND(E145&gt;=3,E145&lt;=5),$B$131*(1-$B$22),AND(E145&gt;=6,E145&lt;=10),$B$131*(1-$B$23),AND(E145&gt;=11,E145&lt;=20),$B$131*(1-$B$24))</f>
        <v>285.46066243547966</v>
      </c>
      <c r="G145">
        <f t="shared" si="147"/>
        <v>14.273033121773985</v>
      </c>
      <c r="H145">
        <f t="shared" si="138"/>
        <v>218</v>
      </c>
      <c r="I145" s="13">
        <f t="shared" si="129"/>
        <v>1000000</v>
      </c>
      <c r="J145" s="5">
        <v>0.4</v>
      </c>
      <c r="K145" s="19">
        <f t="shared" si="130"/>
        <v>400</v>
      </c>
      <c r="L145">
        <f t="shared" si="131"/>
        <v>10</v>
      </c>
      <c r="M145">
        <f t="shared" si="139"/>
        <v>4.8994036000000003E-3</v>
      </c>
      <c r="N145" s="2">
        <f t="shared" si="150"/>
        <v>0.11899999999999999</v>
      </c>
      <c r="O145">
        <f t="shared" si="140"/>
        <v>0.44817733952216032</v>
      </c>
      <c r="P145">
        <f t="shared" si="141"/>
        <v>2.1958016706932945E-6</v>
      </c>
      <c r="Q145">
        <f t="shared" si="142"/>
        <v>5.3333103403137079E-2</v>
      </c>
      <c r="R145">
        <f t="shared" si="143"/>
        <v>0.39484204031735254</v>
      </c>
      <c r="S145">
        <f t="shared" si="144"/>
        <v>179.27093580886412</v>
      </c>
      <c r="T145">
        <f t="shared" si="145"/>
        <v>4.4817733952216035</v>
      </c>
      <c r="U145">
        <f t="shared" si="124"/>
        <v>157.93681612694101</v>
      </c>
      <c r="V145" s="1">
        <f t="shared" si="125"/>
        <v>3.9484204031735253</v>
      </c>
      <c r="W145" s="1">
        <f t="shared" si="126"/>
        <v>127.93700022856676</v>
      </c>
      <c r="X145" s="1">
        <f t="shared" si="127"/>
        <v>-6.3968500114283389</v>
      </c>
      <c r="Y145" s="1">
        <f t="shared" si="128"/>
        <v>-97.702660015830944</v>
      </c>
      <c r="Z145" s="1">
        <f t="shared" si="132"/>
        <v>-2.1958016706932946</v>
      </c>
      <c r="AA145" s="1">
        <f t="shared" si="133"/>
        <v>21.641688530614179</v>
      </c>
      <c r="AB145" s="1">
        <f t="shared" si="134"/>
        <v>0</v>
      </c>
      <c r="AC145" s="1">
        <f t="shared" si="146"/>
        <v>16.791107268167327</v>
      </c>
      <c r="AD145" s="1">
        <f t="shared" si="135"/>
        <v>38.432795798781505</v>
      </c>
      <c r="AE145" s="1">
        <f t="shared" si="136"/>
        <v>0.53335299204807818</v>
      </c>
      <c r="AF145">
        <f t="shared" si="137"/>
        <v>38.966148790829585</v>
      </c>
    </row>
    <row r="146" spans="5:32">
      <c r="E146">
        <v>14</v>
      </c>
      <c r="F146" s="13" cm="1">
        <f t="array" ref="F146">_xlfn.IFS(AND(E146&gt;=0,E146&lt;=2),$B$131*(1-$B$21),AND(E146&gt;=3,E146&lt;=5),$B$131*(1-$B$22),AND(E146&gt;=6,E146&lt;=10),$B$131*(1-$B$23),AND(E146&gt;=11,E146&lt;=20),$B$131*(1-$B$24))</f>
        <v>285.46066243547966</v>
      </c>
      <c r="G146">
        <f t="shared" si="147"/>
        <v>14.273033121773985</v>
      </c>
      <c r="H146">
        <f t="shared" si="138"/>
        <v>218</v>
      </c>
      <c r="I146" s="13">
        <f t="shared" si="129"/>
        <v>1000000</v>
      </c>
      <c r="J146" s="5">
        <v>0.4</v>
      </c>
      <c r="K146" s="19">
        <f t="shared" si="130"/>
        <v>400</v>
      </c>
      <c r="L146">
        <f t="shared" si="131"/>
        <v>10</v>
      </c>
      <c r="M146">
        <f t="shared" si="139"/>
        <v>5.3788826E-3</v>
      </c>
      <c r="N146" s="2">
        <f t="shared" si="150"/>
        <v>0.11899999999999999</v>
      </c>
      <c r="O146">
        <f t="shared" si="140"/>
        <v>0.39484204031735254</v>
      </c>
      <c r="P146">
        <f t="shared" si="141"/>
        <v>2.1238089804115058E-6</v>
      </c>
      <c r="Q146">
        <f t="shared" si="142"/>
        <v>4.6986202797764949E-2</v>
      </c>
      <c r="R146">
        <f t="shared" si="143"/>
        <v>0.34785371371060719</v>
      </c>
      <c r="S146">
        <f t="shared" si="144"/>
        <v>157.93681612694101</v>
      </c>
      <c r="T146">
        <f t="shared" si="145"/>
        <v>3.9484204031735253</v>
      </c>
      <c r="U146">
        <f t="shared" si="124"/>
        <v>139.14148548424288</v>
      </c>
      <c r="V146" s="1">
        <f t="shared" si="125"/>
        <v>3.478537137106072</v>
      </c>
      <c r="W146" s="1">
        <f t="shared" si="126"/>
        <v>112.71187038636782</v>
      </c>
      <c r="X146" s="1">
        <f t="shared" si="127"/>
        <v>-5.6355935193183919</v>
      </c>
      <c r="Y146" s="1">
        <f t="shared" si="128"/>
        <v>-86.075564789182849</v>
      </c>
      <c r="Z146" s="1">
        <f t="shared" si="132"/>
        <v>-2.1238089804115057</v>
      </c>
      <c r="AA146" s="1">
        <f t="shared" si="133"/>
        <v>18.876903097455074</v>
      </c>
      <c r="AB146" s="1">
        <f t="shared" si="134"/>
        <v>0</v>
      </c>
      <c r="AC146" s="1">
        <f t="shared" si="146"/>
        <v>14.792883236844018</v>
      </c>
      <c r="AD146" s="1">
        <f t="shared" si="135"/>
        <v>33.66978633429909</v>
      </c>
      <c r="AE146" s="1">
        <f t="shared" si="136"/>
        <v>0.46988326606745323</v>
      </c>
      <c r="AF146">
        <f t="shared" si="137"/>
        <v>34.139669600366545</v>
      </c>
    </row>
    <row r="147" spans="5:32">
      <c r="E147">
        <v>15</v>
      </c>
      <c r="F147" s="13" cm="1">
        <f t="array" ref="F147">_xlfn.IFS(AND(E147&gt;=0,E147&lt;=2),$B$131*(1-$B$21),AND(E147&gt;=3,E147&lt;=5),$B$131*(1-$B$22),AND(E147&gt;=6,E147&lt;=10),$B$131*(1-$B$23),AND(E147&gt;=11,E147&lt;=20),$B$131*(1-$B$24))</f>
        <v>285.46066243547966</v>
      </c>
      <c r="G147">
        <f t="shared" si="147"/>
        <v>14.273033121773985</v>
      </c>
      <c r="H147">
        <f t="shared" si="138"/>
        <v>218</v>
      </c>
      <c r="I147" s="13">
        <f t="shared" si="129"/>
        <v>1000000</v>
      </c>
      <c r="J147" s="5">
        <v>0.4</v>
      </c>
      <c r="K147" s="19">
        <f t="shared" si="130"/>
        <v>400</v>
      </c>
      <c r="L147">
        <f t="shared" si="131"/>
        <v>10</v>
      </c>
      <c r="M147">
        <f t="shared" si="139"/>
        <v>5.9071812799999998E-3</v>
      </c>
      <c r="N147" s="2">
        <f t="shared" si="150"/>
        <v>0.11899999999999999</v>
      </c>
      <c r="O147">
        <f t="shared" si="140"/>
        <v>0.34785371371060719</v>
      </c>
      <c r="P147">
        <f t="shared" si="141"/>
        <v>2.0548349458097777E-6</v>
      </c>
      <c r="Q147">
        <f t="shared" si="142"/>
        <v>4.1394591931562252E-2</v>
      </c>
      <c r="R147">
        <f t="shared" si="143"/>
        <v>0.30645706694409913</v>
      </c>
      <c r="S147">
        <f t="shared" si="144"/>
        <v>139.14148548424288</v>
      </c>
      <c r="T147">
        <f t="shared" si="145"/>
        <v>3.478537137106072</v>
      </c>
      <c r="U147">
        <f t="shared" si="124"/>
        <v>122.58282677763965</v>
      </c>
      <c r="V147" s="1">
        <f t="shared" si="125"/>
        <v>3.0645706694409913</v>
      </c>
      <c r="W147" s="1">
        <f t="shared" si="126"/>
        <v>99.298551546471629</v>
      </c>
      <c r="X147" s="1">
        <f t="shared" si="127"/>
        <v>-4.9649275773235813</v>
      </c>
      <c r="Y147" s="1">
        <f t="shared" si="128"/>
        <v>-75.832109588912374</v>
      </c>
      <c r="Z147" s="1">
        <f t="shared" si="132"/>
        <v>-2.0548349458097777</v>
      </c>
      <c r="AA147" s="1">
        <f t="shared" si="133"/>
        <v>16.446679434425899</v>
      </c>
      <c r="AB147" s="1">
        <f t="shared" si="134"/>
        <v>0</v>
      </c>
      <c r="AC147" s="1">
        <f t="shared" si="146"/>
        <v>13.032450562477335</v>
      </c>
      <c r="AD147" s="1">
        <f t="shared" si="135"/>
        <v>29.479129996903232</v>
      </c>
      <c r="AE147" s="1">
        <f t="shared" si="136"/>
        <v>0.41396646766508072</v>
      </c>
      <c r="AF147">
        <f t="shared" si="137"/>
        <v>29.893096464568313</v>
      </c>
    </row>
    <row r="148" spans="5:32">
      <c r="E148">
        <v>16</v>
      </c>
      <c r="F148" s="13" cm="1">
        <f t="array" ref="F148">_xlfn.IFS(AND(E148&gt;=0,E148&lt;=2),$B$131*(1-$B$21),AND(E148&gt;=3,E148&lt;=5),$B$131*(1-$B$22),AND(E148&gt;=6,E148&lt;=10),$B$131*(1-$B$23),AND(E148&gt;=11,E148&lt;=20),$B$131*(1-$B$24))</f>
        <v>285.46066243547966</v>
      </c>
      <c r="G148">
        <f t="shared" si="147"/>
        <v>14.273033121773985</v>
      </c>
      <c r="H148">
        <f t="shared" si="138"/>
        <v>218</v>
      </c>
      <c r="I148" s="13">
        <f t="shared" si="129"/>
        <v>1000000</v>
      </c>
      <c r="J148" s="5">
        <v>0.4</v>
      </c>
      <c r="K148" s="19">
        <f t="shared" si="130"/>
        <v>400</v>
      </c>
      <c r="L148">
        <f t="shared" si="131"/>
        <v>10</v>
      </c>
      <c r="M148">
        <f t="shared" si="139"/>
        <v>6.5392217799999999E-3</v>
      </c>
      <c r="N148" s="2">
        <f>$B$16</f>
        <v>0.15620000000000001</v>
      </c>
      <c r="O148">
        <f t="shared" si="140"/>
        <v>0.30645706694409913</v>
      </c>
      <c r="P148">
        <f t="shared" si="141"/>
        <v>2.0039907267957708E-6</v>
      </c>
      <c r="Q148">
        <f t="shared" si="142"/>
        <v>4.7868593856668286E-2</v>
      </c>
      <c r="R148">
        <f t="shared" si="143"/>
        <v>0.25858646909670407</v>
      </c>
      <c r="S148">
        <f t="shared" si="144"/>
        <v>122.58282677763965</v>
      </c>
      <c r="T148">
        <f t="shared" si="145"/>
        <v>3.0645706694409913</v>
      </c>
      <c r="U148">
        <f t="shared" si="124"/>
        <v>103.43458763868163</v>
      </c>
      <c r="V148" s="1">
        <f t="shared" si="125"/>
        <v>2.5858646909670409</v>
      </c>
      <c r="W148" s="1">
        <f t="shared" si="126"/>
        <v>87.481437337896679</v>
      </c>
      <c r="X148" s="1">
        <f t="shared" si="127"/>
        <v>-4.374071866894834</v>
      </c>
      <c r="Y148" s="1">
        <f t="shared" si="128"/>
        <v>-66.807640593813616</v>
      </c>
      <c r="Z148" s="1">
        <f t="shared" si="132"/>
        <v>-2.0039907267957706</v>
      </c>
      <c r="AA148" s="1">
        <f t="shared" si="133"/>
        <v>14.295734150392455</v>
      </c>
      <c r="AB148" s="1">
        <f t="shared" si="134"/>
        <v>0</v>
      </c>
      <c r="AC148" s="1">
        <f t="shared" si="146"/>
        <v>11.481511960494537</v>
      </c>
      <c r="AD148" s="1">
        <f t="shared" si="135"/>
        <v>25.777246110886992</v>
      </c>
      <c r="AE148" s="1">
        <f t="shared" si="136"/>
        <v>0.47870597847395047</v>
      </c>
      <c r="AF148">
        <f t="shared" si="137"/>
        <v>26.255952089360942</v>
      </c>
    </row>
    <row r="149" spans="5:32">
      <c r="E149">
        <v>17</v>
      </c>
      <c r="F149" s="13" cm="1">
        <f t="array" ref="F149">_xlfn.IFS(AND(E149&gt;=0,E149&lt;=2),$B$131*(1-$B$21),AND(E149&gt;=3,E149&lt;=5),$B$131*(1-$B$22),AND(E149&gt;=6,E149&lt;=10),$B$131*(1-$B$23),AND(E149&gt;=11,E149&lt;=20),$B$131*(1-$B$24))</f>
        <v>285.46066243547966</v>
      </c>
      <c r="G149">
        <f t="shared" si="147"/>
        <v>14.273033121773985</v>
      </c>
      <c r="H149">
        <f t="shared" si="138"/>
        <v>218</v>
      </c>
      <c r="I149" s="13">
        <f t="shared" si="129"/>
        <v>1000000</v>
      </c>
      <c r="J149" s="5">
        <v>0.3</v>
      </c>
      <c r="K149" s="19">
        <f t="shared" si="130"/>
        <v>300</v>
      </c>
      <c r="L149">
        <f t="shared" si="131"/>
        <v>10</v>
      </c>
      <c r="M149">
        <f t="shared" si="139"/>
        <v>7.2131077200000004E-3</v>
      </c>
      <c r="N149" s="2">
        <f t="shared" ref="N149:N152" si="151">$B$16</f>
        <v>0.15620000000000001</v>
      </c>
      <c r="O149">
        <f t="shared" si="140"/>
        <v>0.25858646909670407</v>
      </c>
      <c r="P149">
        <f t="shared" si="141"/>
        <v>1.8652120565289776E-6</v>
      </c>
      <c r="Q149">
        <f t="shared" si="142"/>
        <v>4.0391206472905179E-2</v>
      </c>
      <c r="R149">
        <f t="shared" si="143"/>
        <v>0.21819339741174237</v>
      </c>
      <c r="S149">
        <f t="shared" si="144"/>
        <v>103.43458763868163</v>
      </c>
      <c r="T149">
        <f t="shared" si="145"/>
        <v>2.5858646909670409</v>
      </c>
      <c r="U149">
        <f t="shared" si="124"/>
        <v>65.458019223522712</v>
      </c>
      <c r="V149" s="1">
        <f t="shared" si="125"/>
        <v>2.181933974117424</v>
      </c>
      <c r="W149" s="1">
        <f t="shared" si="126"/>
        <v>73.816264765196834</v>
      </c>
      <c r="X149" s="1">
        <f t="shared" si="127"/>
        <v>-3.690813238259842</v>
      </c>
      <c r="Y149" s="1">
        <f t="shared" si="128"/>
        <v>-56.371850263081491</v>
      </c>
      <c r="Z149" s="1">
        <f t="shared" si="132"/>
        <v>-1.8652120565289776</v>
      </c>
      <c r="AA149" s="1">
        <f t="shared" si="133"/>
        <v>11.888389207326529</v>
      </c>
      <c r="AB149" s="1">
        <f t="shared" si="134"/>
        <v>30.645706694409924</v>
      </c>
      <c r="AC149" s="1">
        <f t="shared" si="146"/>
        <v>9.6880247121122114</v>
      </c>
      <c r="AD149" s="1">
        <f t="shared" si="135"/>
        <v>52.222120613848659</v>
      </c>
      <c r="AE149" s="1">
        <f t="shared" si="136"/>
        <v>0.4039307168496169</v>
      </c>
      <c r="AF149">
        <f t="shared" si="137"/>
        <v>52.626051330698274</v>
      </c>
    </row>
    <row r="150" spans="5:32">
      <c r="E150">
        <v>18</v>
      </c>
      <c r="F150" s="13" cm="1">
        <f t="array" ref="F150">_xlfn.IFS(AND(E150&gt;=0,E150&lt;=2),$B$131*(1-$B$21),AND(E150&gt;=3,E150&lt;=5),$B$131*(1-$B$22),AND(E150&gt;=6,E150&lt;=10),$B$131*(1-$B$23),AND(E150&gt;=11,E150&lt;=20),$B$131*(1-$B$24))</f>
        <v>285.46066243547966</v>
      </c>
      <c r="G150">
        <f t="shared" si="147"/>
        <v>14.273033121773985</v>
      </c>
      <c r="H150">
        <f t="shared" si="138"/>
        <v>218</v>
      </c>
      <c r="I150" s="13">
        <f t="shared" si="129"/>
        <v>1000000</v>
      </c>
      <c r="J150" s="5">
        <v>0.2</v>
      </c>
      <c r="K150" s="19">
        <f t="shared" si="130"/>
        <v>200</v>
      </c>
      <c r="L150">
        <f t="shared" si="131"/>
        <v>10</v>
      </c>
      <c r="M150">
        <f t="shared" si="139"/>
        <v>7.8843783199999996E-3</v>
      </c>
      <c r="N150" s="2">
        <f t="shared" si="151"/>
        <v>0.15620000000000001</v>
      </c>
      <c r="O150">
        <f t="shared" si="140"/>
        <v>0.21819339741174237</v>
      </c>
      <c r="P150">
        <f t="shared" si="141"/>
        <v>1.7203192921202856E-6</v>
      </c>
      <c r="Q150">
        <f t="shared" si="142"/>
        <v>3.4081808675714163E-2</v>
      </c>
      <c r="R150">
        <f t="shared" si="143"/>
        <v>0.1841098684167361</v>
      </c>
      <c r="S150">
        <f t="shared" si="144"/>
        <v>65.458019223522712</v>
      </c>
      <c r="T150">
        <f t="shared" si="145"/>
        <v>2.181933974117424</v>
      </c>
      <c r="U150">
        <f t="shared" si="124"/>
        <v>36.821973683347217</v>
      </c>
      <c r="V150" s="1">
        <f t="shared" si="125"/>
        <v>1.8410986841673611</v>
      </c>
      <c r="W150" s="1">
        <f t="shared" si="126"/>
        <v>62.285631764203849</v>
      </c>
      <c r="X150" s="1">
        <f t="shared" si="127"/>
        <v>-3.1142815882101931</v>
      </c>
      <c r="Y150" s="1">
        <f t="shared" si="128"/>
        <v>-47.566160635759836</v>
      </c>
      <c r="Z150" s="1">
        <f t="shared" si="132"/>
        <v>-1.7203192921202857</v>
      </c>
      <c r="AA150" s="1">
        <f t="shared" si="133"/>
        <v>9.884870248113538</v>
      </c>
      <c r="AB150" s="1">
        <f t="shared" si="134"/>
        <v>25.858646909670401</v>
      </c>
      <c r="AC150" s="1">
        <f t="shared" si="146"/>
        <v>6.9746216855498586</v>
      </c>
      <c r="AD150" s="1">
        <f t="shared" si="135"/>
        <v>42.718138843333797</v>
      </c>
      <c r="AE150" s="1">
        <f t="shared" si="136"/>
        <v>0.34083528995006285</v>
      </c>
      <c r="AF150">
        <f t="shared" si="137"/>
        <v>43.058974133283861</v>
      </c>
    </row>
    <row r="151" spans="5:32">
      <c r="E151">
        <v>19</v>
      </c>
      <c r="F151" s="13" cm="1">
        <f t="array" ref="F151">_xlfn.IFS(AND(E151&gt;=0,E151&lt;=2),$B$131*(1-$B$21),AND(E151&gt;=3,E151&lt;=5),$B$131*(1-$B$22),AND(E151&gt;=6,E151&lt;=10),$B$131*(1-$B$23),AND(E151&gt;=11,E151&lt;=20),$B$131*(1-$B$24))</f>
        <v>285.46066243547966</v>
      </c>
      <c r="G151">
        <f t="shared" si="147"/>
        <v>14.273033121773985</v>
      </c>
      <c r="H151">
        <f t="shared" si="138"/>
        <v>218</v>
      </c>
      <c r="I151" s="13">
        <f t="shared" si="129"/>
        <v>1000000</v>
      </c>
      <c r="J151" s="5">
        <v>0.1</v>
      </c>
      <c r="K151" s="19">
        <f t="shared" si="130"/>
        <v>100</v>
      </c>
      <c r="L151">
        <f t="shared" si="131"/>
        <v>10</v>
      </c>
      <c r="M151">
        <f t="shared" si="139"/>
        <v>8.6227759800000005E-3</v>
      </c>
      <c r="N151" s="2">
        <f t="shared" si="151"/>
        <v>0.15620000000000001</v>
      </c>
      <c r="O151">
        <f t="shared" si="140"/>
        <v>0.1841098684167361</v>
      </c>
      <c r="P151">
        <f t="shared" si="141"/>
        <v>1.5875381510647928E-6</v>
      </c>
      <c r="Q151">
        <f t="shared" si="142"/>
        <v>2.875796144669418E-2</v>
      </c>
      <c r="R151">
        <f t="shared" si="143"/>
        <v>0.15535031943189084</v>
      </c>
      <c r="S151">
        <f t="shared" si="144"/>
        <v>36.821973683347217</v>
      </c>
      <c r="T151">
        <f t="shared" si="145"/>
        <v>1.8410986841673611</v>
      </c>
      <c r="U151">
        <f t="shared" si="124"/>
        <v>15.535031943189084</v>
      </c>
      <c r="V151" s="1">
        <f t="shared" si="125"/>
        <v>1.5535031943189084</v>
      </c>
      <c r="W151" s="1">
        <f t="shared" si="126"/>
        <v>52.556124999150484</v>
      </c>
      <c r="X151" s="1">
        <f t="shared" si="127"/>
        <v>-2.6278062499575245</v>
      </c>
      <c r="Y151" s="1">
        <f t="shared" si="128"/>
        <v>-40.135951314848469</v>
      </c>
      <c r="Z151" s="1">
        <f t="shared" si="132"/>
        <v>-1.5875381510647928</v>
      </c>
      <c r="AA151" s="1">
        <f t="shared" si="133"/>
        <v>8.2048292832796985</v>
      </c>
      <c r="AB151" s="1">
        <f t="shared" si="134"/>
        <v>21.819339741174236</v>
      </c>
      <c r="AC151" s="1">
        <f t="shared" si="146"/>
        <v>4.8725265114189149</v>
      </c>
      <c r="AD151" s="1">
        <f t="shared" si="135"/>
        <v>34.896695535872851</v>
      </c>
      <c r="AE151" s="1">
        <f t="shared" si="136"/>
        <v>0.28759548984845273</v>
      </c>
      <c r="AF151">
        <f t="shared" si="137"/>
        <v>35.184291025721301</v>
      </c>
    </row>
    <row r="152" spans="5:32">
      <c r="E152">
        <v>20</v>
      </c>
      <c r="F152" s="13" cm="1">
        <f t="array" ref="F152">_xlfn.IFS(AND(E152&gt;=0,E152&lt;=2),$B$131*(1-$B$21),AND(E152&gt;=3,E152&lt;=5),$B$131*(1-$B$22),AND(E152&gt;=6,E152&lt;=10),$B$131*(1-$B$23),AND(E152&gt;=11,E152&lt;=20),$B$131*(1-$B$24))</f>
        <v>285.46066243547966</v>
      </c>
      <c r="G152">
        <f t="shared" si="147"/>
        <v>14.273033121773985</v>
      </c>
      <c r="H152">
        <f t="shared" si="138"/>
        <v>218</v>
      </c>
      <c r="I152" s="13">
        <f t="shared" si="129"/>
        <v>1000000</v>
      </c>
      <c r="J152" s="5">
        <v>0</v>
      </c>
      <c r="K152" s="19">
        <f t="shared" si="130"/>
        <v>0</v>
      </c>
      <c r="M152">
        <f t="shared" si="139"/>
        <v>9.4082497599999992E-3</v>
      </c>
      <c r="N152" s="2">
        <f t="shared" si="151"/>
        <v>0.15620000000000001</v>
      </c>
      <c r="O152">
        <f t="shared" si="140"/>
        <v>0.15535031943189084</v>
      </c>
      <c r="P152">
        <f t="shared" si="141"/>
        <v>1.4615746055110103E-6</v>
      </c>
      <c r="Q152">
        <f t="shared" si="142"/>
        <v>2.4265719895261349E-2</v>
      </c>
      <c r="R152">
        <f t="shared" si="143"/>
        <v>0.13108313796202398</v>
      </c>
      <c r="S152">
        <f t="shared" si="144"/>
        <v>15.535031943189084</v>
      </c>
      <c r="T152">
        <f t="shared" si="145"/>
        <v>1.5535031943189084</v>
      </c>
      <c r="U152">
        <f t="shared" si="124"/>
        <v>0</v>
      </c>
      <c r="V152" s="1">
        <f t="shared" si="125"/>
        <v>0</v>
      </c>
      <c r="W152" s="1">
        <f t="shared" si="126"/>
        <v>44.346405094590928</v>
      </c>
      <c r="X152" s="1">
        <f t="shared" si="127"/>
        <v>-2.2173202547295467</v>
      </c>
      <c r="Y152" s="1">
        <f t="shared" si="128"/>
        <v>-33.866369636152207</v>
      </c>
      <c r="Z152" s="1">
        <f t="shared" si="132"/>
        <v>-1.4615746055110104</v>
      </c>
      <c r="AA152" s="1">
        <f t="shared" si="133"/>
        <v>6.8011405981981596</v>
      </c>
      <c r="AB152" s="1">
        <f t="shared" si="134"/>
        <v>18.410986841673608</v>
      </c>
      <c r="AC152" s="1">
        <f t="shared" si="146"/>
        <v>3.2569690987553161</v>
      </c>
      <c r="AD152" s="1">
        <f t="shared" si="135"/>
        <v>28.469096538627085</v>
      </c>
      <c r="AE152" s="1">
        <f t="shared" si="136"/>
        <v>1.5535031943189084</v>
      </c>
      <c r="AF152">
        <f t="shared" si="137"/>
        <v>30.022599732945991</v>
      </c>
    </row>
    <row r="154" spans="5:32">
      <c r="E154" s="3"/>
      <c r="V154" t="s">
        <v>116</v>
      </c>
      <c r="W154">
        <f>SUM(W132:W152)</f>
        <v>3517.59642534459</v>
      </c>
      <c r="X154">
        <f t="shared" ref="X154:AF154" si="152">SUM(X132:X152)</f>
        <v>-409.00602892287111</v>
      </c>
      <c r="Y154">
        <f t="shared" si="152"/>
        <v>-2685.7985804923887</v>
      </c>
      <c r="Z154">
        <f t="shared" si="152"/>
        <v>-39.808705642072894</v>
      </c>
      <c r="AA154">
        <f t="shared" si="152"/>
        <v>382.9831102872563</v>
      </c>
      <c r="AB154">
        <f t="shared" si="152"/>
        <v>-303.26531981307181</v>
      </c>
      <c r="AC154">
        <f t="shared" si="152"/>
        <v>445.28069606737569</v>
      </c>
      <c r="AD154">
        <f t="shared" si="152"/>
        <v>524.99848654156028</v>
      </c>
      <c r="AE154">
        <f t="shared" si="152"/>
        <v>0</v>
      </c>
      <c r="AF154">
        <f t="shared" si="152"/>
        <v>524.99848654156017</v>
      </c>
    </row>
    <row r="155" spans="5:32">
      <c r="V155" t="str">
        <f>"PV at "&amp;$B$10</f>
        <v>PV at 0.055</v>
      </c>
      <c r="W155">
        <f>W132+NPV($B$10,W133:W152)</f>
        <v>2438.6919685768257</v>
      </c>
      <c r="X155">
        <f t="shared" ref="X155:AF155" si="153">X132+NPV($B$10,X133:X152)</f>
        <v>-355.06080608448298</v>
      </c>
      <c r="Y155">
        <f t="shared" si="153"/>
        <v>-1880.6143804913577</v>
      </c>
      <c r="Z155">
        <f t="shared" si="153"/>
        <v>-23.817098056565463</v>
      </c>
      <c r="AA155">
        <f t="shared" si="153"/>
        <v>179.19968394441884</v>
      </c>
      <c r="AB155">
        <f t="shared" si="153"/>
        <v>-379.51474715245672</v>
      </c>
      <c r="AC155">
        <f t="shared" si="153"/>
        <v>307.56956525453643</v>
      </c>
      <c r="AD155">
        <f t="shared" si="153"/>
        <v>107.2545020464986</v>
      </c>
      <c r="AE155">
        <f t="shared" si="153"/>
        <v>-4.4510880659163856</v>
      </c>
      <c r="AF155">
        <f t="shared" si="153"/>
        <v>102.80341398058249</v>
      </c>
    </row>
    <row r="156" spans="5:32">
      <c r="V156" t="str">
        <f>"PV at "&amp;$B$11</f>
        <v>PV at 0.0738</v>
      </c>
      <c r="W156">
        <f>W132+NPV($B$11,W133:W152)</f>
        <v>2192.9787656736617</v>
      </c>
      <c r="X156">
        <f t="shared" ref="X156:AF156" si="154">X132+NPV($B$11,X133:X152)</f>
        <v>-342.77514593932477</v>
      </c>
      <c r="Y156">
        <f t="shared" si="154"/>
        <v>-1697.9980851554083</v>
      </c>
      <c r="Z156">
        <f t="shared" si="154"/>
        <v>-20.468696730165899</v>
      </c>
      <c r="AA156">
        <f t="shared" si="154"/>
        <v>131.73683784876295</v>
      </c>
      <c r="AB156">
        <f t="shared" si="154"/>
        <v>-394.70647273847999</v>
      </c>
      <c r="AC156">
        <f t="shared" si="154"/>
        <v>275.86645912385762</v>
      </c>
      <c r="AD156">
        <f t="shared" si="154"/>
        <v>12.896824234140695</v>
      </c>
      <c r="AE156">
        <f t="shared" si="154"/>
        <v>-5.3420888542697167</v>
      </c>
      <c r="AF156">
        <f t="shared" si="154"/>
        <v>7.5547353798708627</v>
      </c>
    </row>
    <row r="158" spans="5:32">
      <c r="V158" t="s">
        <v>117</v>
      </c>
      <c r="W158">
        <f>AD156</f>
        <v>12.896824234140695</v>
      </c>
    </row>
    <row r="159" spans="5:32">
      <c r="V159" t="s">
        <v>118</v>
      </c>
      <c r="W159">
        <f>AF156</f>
        <v>7.5547353798708627</v>
      </c>
    </row>
    <row r="161" spans="1:32">
      <c r="A161" s="4" t="str">
        <f>"Base Assumptions for "&amp;B163&amp;" Death benefit (M,NS,44,Moderate)"</f>
        <v>Base Assumptions for 2000000 Death benefit (M,NS,44,Moderate)</v>
      </c>
      <c r="E161" s="8" t="s">
        <v>61</v>
      </c>
      <c r="F161" s="8"/>
      <c r="G161" s="8"/>
      <c r="H161" s="8"/>
      <c r="I161" s="8"/>
      <c r="J161" s="8"/>
      <c r="K161" s="8"/>
      <c r="L161" s="8"/>
      <c r="M161" s="9" t="s">
        <v>62</v>
      </c>
      <c r="N161" s="9"/>
      <c r="O161" s="9"/>
      <c r="P161" s="9"/>
      <c r="Q161" s="9"/>
      <c r="R161" s="9"/>
      <c r="S161" s="10" t="s">
        <v>63</v>
      </c>
      <c r="T161" s="10"/>
      <c r="U161" s="10"/>
      <c r="V161" s="11"/>
      <c r="W161" s="48" t="s">
        <v>64</v>
      </c>
      <c r="X161" s="48" t="s">
        <v>65</v>
      </c>
      <c r="Y161" s="48" t="s">
        <v>66</v>
      </c>
      <c r="Z161" s="48" t="s">
        <v>67</v>
      </c>
      <c r="AA161" s="48"/>
      <c r="AB161" s="48" t="s">
        <v>68</v>
      </c>
      <c r="AC161" s="48" t="s">
        <v>69</v>
      </c>
      <c r="AD161" s="48" t="s">
        <v>70</v>
      </c>
      <c r="AE161" s="48" t="s">
        <v>71</v>
      </c>
      <c r="AF161" s="48" t="s">
        <v>72</v>
      </c>
    </row>
    <row r="162" spans="1:32" ht="29.1">
      <c r="A162" t="s">
        <v>60</v>
      </c>
      <c r="B162" s="12">
        <v>357.96155409345749</v>
      </c>
      <c r="E162" t="s">
        <v>73</v>
      </c>
      <c r="F162" s="19" t="s">
        <v>60</v>
      </c>
      <c r="G162" s="19" t="s">
        <v>74</v>
      </c>
      <c r="H162" s="19" t="s">
        <v>46</v>
      </c>
      <c r="I162" s="1" t="s">
        <v>75</v>
      </c>
      <c r="J162" s="1" t="s">
        <v>76</v>
      </c>
      <c r="K162" s="1" t="s">
        <v>77</v>
      </c>
      <c r="L162" s="1" t="s">
        <v>78</v>
      </c>
      <c r="M162" s="1" t="s">
        <v>79</v>
      </c>
      <c r="N162" s="1" t="s">
        <v>80</v>
      </c>
      <c r="O162" s="1" t="s">
        <v>81</v>
      </c>
      <c r="P162" s="1" t="s">
        <v>82</v>
      </c>
      <c r="Q162" s="1" t="s">
        <v>83</v>
      </c>
      <c r="R162" s="1" t="s">
        <v>84</v>
      </c>
      <c r="S162" s="1" t="s">
        <v>85</v>
      </c>
      <c r="T162" s="1" t="s">
        <v>86</v>
      </c>
      <c r="U162" s="1" t="s">
        <v>87</v>
      </c>
      <c r="V162" s="1" t="s">
        <v>88</v>
      </c>
      <c r="W162" s="1" t="s">
        <v>89</v>
      </c>
      <c r="X162" s="1" t="s">
        <v>90</v>
      </c>
      <c r="Y162" s="1" t="s">
        <v>91</v>
      </c>
      <c r="Z162" s="1" t="s">
        <v>92</v>
      </c>
      <c r="AA162" s="1" t="s">
        <v>93</v>
      </c>
      <c r="AB162" s="1" t="s">
        <v>94</v>
      </c>
      <c r="AC162" s="1" t="s">
        <v>95</v>
      </c>
      <c r="AD162" s="1" t="s">
        <v>44</v>
      </c>
      <c r="AE162" s="1" t="s">
        <v>96</v>
      </c>
      <c r="AF162" s="1" t="s">
        <v>97</v>
      </c>
    </row>
    <row r="163" spans="1:32">
      <c r="A163" t="s">
        <v>98</v>
      </c>
      <c r="B163" s="12">
        <v>2000000</v>
      </c>
      <c r="E163">
        <v>0</v>
      </c>
      <c r="F163" s="13" cm="1">
        <f t="array" ref="F163">_xlfn.IFS(AND(E163&gt;=0,E163&lt;=2),$B$162*(1-$B$21),AND(E163&gt;=3,E163&lt;=5),$B$162*(1-$B$22),AND(E163&gt;=6,E163&lt;=10),$B$162*(1-$B$23),AND(E163&gt;=11,E163&lt;=20),$B$162*(1-$B$24))</f>
        <v>350.80232301158833</v>
      </c>
      <c r="G163">
        <f>F163*$B$17</f>
        <v>280.6418584092707</v>
      </c>
      <c r="H163">
        <f>$B$19</f>
        <v>323</v>
      </c>
      <c r="I163" s="13">
        <f>$B163</f>
        <v>2000000</v>
      </c>
      <c r="J163" s="5">
        <v>0.8</v>
      </c>
      <c r="K163" s="19">
        <f>I163*J163/1000</f>
        <v>1600</v>
      </c>
      <c r="L163">
        <f>I163*$B$9/1000</f>
        <v>20</v>
      </c>
      <c r="O163">
        <v>1</v>
      </c>
      <c r="R163">
        <f>O163-SUM(P163:Q163)</f>
        <v>1</v>
      </c>
      <c r="U163">
        <f t="shared" ref="U163:U183" si="155">R163*K163</f>
        <v>1600</v>
      </c>
      <c r="V163" s="1">
        <f t="shared" ref="V163:V183" si="156">R163*L163</f>
        <v>20</v>
      </c>
      <c r="W163" s="1">
        <f t="shared" ref="W163:W183" si="157">$O163*F163</f>
        <v>350.80232301158833</v>
      </c>
      <c r="X163" s="1">
        <f t="shared" ref="X163:X183" si="158">-$O163*G163</f>
        <v>-280.6418584092707</v>
      </c>
      <c r="Y163" s="1">
        <f t="shared" ref="Y163:Y183" si="159">-$O163*H163</f>
        <v>-323</v>
      </c>
      <c r="Z163" s="1"/>
      <c r="AA163" s="1">
        <f>SUM(W163:Z163)</f>
        <v>-252.83953539768237</v>
      </c>
      <c r="AB163" s="1">
        <f>S163-U163</f>
        <v>-1600</v>
      </c>
      <c r="AC163" s="1"/>
      <c r="AD163" s="1">
        <f>SUM(AA163:AC163)</f>
        <v>-1852.8395353976823</v>
      </c>
      <c r="AE163" s="1">
        <f>T163-V163</f>
        <v>-20</v>
      </c>
      <c r="AF163">
        <f>SUM(AD163:AE163)</f>
        <v>-1872.8395353976823</v>
      </c>
    </row>
    <row r="164" spans="1:32">
      <c r="E164">
        <v>1</v>
      </c>
      <c r="I164" s="13">
        <f t="shared" ref="I164:I183" si="160">I163</f>
        <v>2000000</v>
      </c>
      <c r="J164" s="5">
        <v>0.3</v>
      </c>
      <c r="K164" s="19">
        <f t="shared" ref="K164:K183" si="161">I164*J164/1000</f>
        <v>600</v>
      </c>
      <c r="L164">
        <f t="shared" ref="L164:L182" si="162">I164*$B$9/1000</f>
        <v>20</v>
      </c>
      <c r="M164">
        <f>M133</f>
        <v>1.6188954599999999E-3</v>
      </c>
      <c r="N164" s="2">
        <f>$B$12</f>
        <v>1.04E-2</v>
      </c>
      <c r="O164">
        <f>R163</f>
        <v>1</v>
      </c>
      <c r="P164">
        <f>M164*O164/1000</f>
        <v>1.6188954599999999E-6</v>
      </c>
      <c r="Q164">
        <f>MIN(N164*O164,O164-P164)</f>
        <v>1.04E-2</v>
      </c>
      <c r="R164">
        <f>O164-SUM(P164:Q164)</f>
        <v>0.98959838110454001</v>
      </c>
      <c r="S164">
        <f>U163</f>
        <v>1600</v>
      </c>
      <c r="T164">
        <f>V163</f>
        <v>20</v>
      </c>
      <c r="U164">
        <f t="shared" si="155"/>
        <v>593.75902866272406</v>
      </c>
      <c r="V164" s="1">
        <f t="shared" si="156"/>
        <v>19.791967622090802</v>
      </c>
      <c r="W164" s="1">
        <f t="shared" si="157"/>
        <v>0</v>
      </c>
      <c r="X164" s="1">
        <f t="shared" si="158"/>
        <v>0</v>
      </c>
      <c r="Y164" s="1">
        <f t="shared" si="159"/>
        <v>0</v>
      </c>
      <c r="Z164" s="1">
        <f t="shared" ref="Z164:Z183" si="163">-P164*I164</f>
        <v>-3.2377909199999997</v>
      </c>
      <c r="AA164" s="1">
        <f t="shared" ref="AA164:AA183" si="164">SUM(W164:Z164)</f>
        <v>-3.2377909199999997</v>
      </c>
      <c r="AB164" s="1">
        <f t="shared" ref="AB164:AB183" si="165">-I164*O163*(J164-J163)/1000</f>
        <v>1000</v>
      </c>
      <c r="AC164" s="1">
        <f>$B$10*SUM(S164:T164,W164:X164)</f>
        <v>89.1</v>
      </c>
      <c r="AD164" s="1">
        <f t="shared" ref="AD164:AD183" si="166">SUM(AA164:AC164)</f>
        <v>1085.86220908</v>
      </c>
      <c r="AE164" s="1">
        <f t="shared" ref="AE164:AE183" si="167">T164-V164</f>
        <v>0.20803237790919837</v>
      </c>
      <c r="AF164">
        <f t="shared" ref="AF164:AF183" si="168">SUM(AD164:AE164)</f>
        <v>1086.0702414579091</v>
      </c>
    </row>
    <row r="165" spans="1:32">
      <c r="E165">
        <v>2</v>
      </c>
      <c r="F165" s="13" cm="1">
        <f t="array" ref="F165">_xlfn.IFS(AND(E165&gt;=0,E165&lt;=2),$B$162*(1-$B$21),AND(E165&gt;=3,E165&lt;=5),$B$162*(1-$B$22),AND(E165&gt;=6,E165&lt;=10),$B$162*(1-$B$23),AND(E165&gt;=11,E165&lt;=20),$B$162*(1-$B$24))</f>
        <v>350.80232301158833</v>
      </c>
      <c r="G165">
        <f>F165*$B$18</f>
        <v>17.540116150579419</v>
      </c>
      <c r="H165">
        <f t="shared" ref="H165:H183" si="169">$B$20</f>
        <v>218</v>
      </c>
      <c r="I165" s="13">
        <f t="shared" si="160"/>
        <v>2000000</v>
      </c>
      <c r="J165" s="5">
        <v>0.4</v>
      </c>
      <c r="K165" s="19">
        <f t="shared" si="161"/>
        <v>800</v>
      </c>
      <c r="L165">
        <f t="shared" si="162"/>
        <v>20</v>
      </c>
      <c r="M165">
        <f t="shared" ref="M165:M183" si="170">M134</f>
        <v>1.7557649200000002E-3</v>
      </c>
      <c r="N165" s="2">
        <f>$B$13</f>
        <v>3.5099999999999999E-2</v>
      </c>
      <c r="O165">
        <f t="shared" ref="O165:O183" si="171">R164</f>
        <v>0.98959838110454001</v>
      </c>
      <c r="P165">
        <f t="shared" ref="P165:P183" si="172">M165*O165/1000</f>
        <v>1.7375021224321424E-6</v>
      </c>
      <c r="Q165">
        <f t="shared" ref="Q165:Q183" si="173">MIN(N165*O165,O165-P165)</f>
        <v>3.4734903176769354E-2</v>
      </c>
      <c r="R165">
        <f t="shared" ref="R165:R183" si="174">O165-SUM(P165:Q165)</f>
        <v>0.9548617404256482</v>
      </c>
      <c r="S165">
        <f t="shared" ref="S165:S183" si="175">U164</f>
        <v>593.75902866272406</v>
      </c>
      <c r="T165">
        <f t="shared" ref="T165:T183" si="176">V164</f>
        <v>19.791967622090802</v>
      </c>
      <c r="U165">
        <f t="shared" si="155"/>
        <v>763.88939234051861</v>
      </c>
      <c r="V165" s="1">
        <f t="shared" si="156"/>
        <v>19.097234808512965</v>
      </c>
      <c r="W165" s="1">
        <f t="shared" si="157"/>
        <v>347.15341093997972</v>
      </c>
      <c r="X165" s="1">
        <f t="shared" si="158"/>
        <v>-17.357670546998989</v>
      </c>
      <c r="Y165" s="1">
        <f t="shared" si="159"/>
        <v>-215.73244708078971</v>
      </c>
      <c r="Z165" s="1">
        <f t="shared" si="163"/>
        <v>-3.4750042448642846</v>
      </c>
      <c r="AA165" s="1">
        <f t="shared" si="164"/>
        <v>110.58828906732676</v>
      </c>
      <c r="AB165" s="1">
        <f t="shared" si="165"/>
        <v>-200.00000000000006</v>
      </c>
      <c r="AC165" s="1">
        <f t="shared" ref="AC165:AC183" si="177">$B$10*SUM(S165:T165,W165:X165)</f>
        <v>51.884070517278765</v>
      </c>
      <c r="AD165" s="1">
        <f t="shared" si="166"/>
        <v>-37.527640415394536</v>
      </c>
      <c r="AE165" s="1">
        <f t="shared" si="167"/>
        <v>0.69473281357783634</v>
      </c>
      <c r="AF165">
        <f t="shared" si="168"/>
        <v>-36.8329076018167</v>
      </c>
    </row>
    <row r="166" spans="1:32">
      <c r="E166">
        <v>3</v>
      </c>
      <c r="F166" s="13" cm="1">
        <f t="array" ref="F166">_xlfn.IFS(AND(E166&gt;=0,E166&lt;=2),$B$162*(1-$B$21),AND(E166&gt;=3,E166&lt;=5),$B$162*(1-$B$22),AND(E166&gt;=6,E166&lt;=10),$B$162*(1-$B$23),AND(E166&gt;=11,E166&lt;=20),$B$162*(1-$B$24))</f>
        <v>343.64309192971916</v>
      </c>
      <c r="G166">
        <f t="shared" ref="G166:G183" si="178">F166*$B$18</f>
        <v>17.182154596485958</v>
      </c>
      <c r="H166">
        <f t="shared" si="169"/>
        <v>218</v>
      </c>
      <c r="I166" s="13">
        <f t="shared" si="160"/>
        <v>2000000</v>
      </c>
      <c r="J166" s="5">
        <v>0.4</v>
      </c>
      <c r="K166" s="19">
        <f t="shared" si="161"/>
        <v>800</v>
      </c>
      <c r="L166">
        <f t="shared" si="162"/>
        <v>20</v>
      </c>
      <c r="M166">
        <f t="shared" si="170"/>
        <v>1.9170442199999999E-3</v>
      </c>
      <c r="N166" s="2">
        <f t="shared" ref="N166:N168" si="179">$B$13</f>
        <v>3.5099999999999999E-2</v>
      </c>
      <c r="O166">
        <f t="shared" si="171"/>
        <v>0.9548617404256482</v>
      </c>
      <c r="P166">
        <f t="shared" si="172"/>
        <v>1.8305121803821292E-6</v>
      </c>
      <c r="Q166">
        <f t="shared" si="173"/>
        <v>3.3515647088940254E-2</v>
      </c>
      <c r="R166">
        <f t="shared" si="174"/>
        <v>0.92134426282452753</v>
      </c>
      <c r="S166">
        <f t="shared" si="175"/>
        <v>763.88939234051861</v>
      </c>
      <c r="T166">
        <f t="shared" si="176"/>
        <v>19.097234808512965</v>
      </c>
      <c r="U166">
        <f t="shared" si="155"/>
        <v>737.075410259622</v>
      </c>
      <c r="V166" s="1">
        <f t="shared" si="156"/>
        <v>18.42688525649055</v>
      </c>
      <c r="W166" s="1">
        <f t="shared" si="157"/>
        <v>328.13164084526267</v>
      </c>
      <c r="X166" s="1">
        <f t="shared" si="158"/>
        <v>-16.406582042263132</v>
      </c>
      <c r="Y166" s="1">
        <f t="shared" si="159"/>
        <v>-208.15985941279132</v>
      </c>
      <c r="Z166" s="1">
        <f t="shared" si="163"/>
        <v>-3.6610243607642583</v>
      </c>
      <c r="AA166" s="1">
        <f t="shared" si="164"/>
        <v>99.904175029443934</v>
      </c>
      <c r="AB166" s="1">
        <f t="shared" si="165"/>
        <v>0</v>
      </c>
      <c r="AC166" s="1">
        <f t="shared" si="177"/>
        <v>60.209142727361709</v>
      </c>
      <c r="AD166" s="1">
        <f t="shared" si="166"/>
        <v>160.11331775680566</v>
      </c>
      <c r="AE166" s="1">
        <f t="shared" si="167"/>
        <v>0.6703495520224152</v>
      </c>
      <c r="AF166">
        <f t="shared" si="168"/>
        <v>160.78366730882806</v>
      </c>
    </row>
    <row r="167" spans="1:32">
      <c r="E167">
        <v>4</v>
      </c>
      <c r="F167" s="13" cm="1">
        <f t="array" ref="F167">_xlfn.IFS(AND(E167&gt;=0,E167&lt;=2),$B$162*(1-$B$21),AND(E167&gt;=3,E167&lt;=5),$B$162*(1-$B$22),AND(E167&gt;=6,E167&lt;=10),$B$162*(1-$B$23),AND(E167&gt;=11,E167&lt;=20),$B$162*(1-$B$24))</f>
        <v>343.64309192971916</v>
      </c>
      <c r="G167">
        <f t="shared" si="178"/>
        <v>17.182154596485958</v>
      </c>
      <c r="H167">
        <f t="shared" si="169"/>
        <v>218</v>
      </c>
      <c r="I167" s="13">
        <f t="shared" si="160"/>
        <v>2000000</v>
      </c>
      <c r="J167" s="5">
        <v>0.4</v>
      </c>
      <c r="K167" s="19">
        <f t="shared" si="161"/>
        <v>800</v>
      </c>
      <c r="L167">
        <f t="shared" si="162"/>
        <v>20</v>
      </c>
      <c r="M167">
        <f t="shared" si="170"/>
        <v>2.1018615799999999E-3</v>
      </c>
      <c r="N167" s="2">
        <f t="shared" si="179"/>
        <v>3.5099999999999999E-2</v>
      </c>
      <c r="O167">
        <f t="shared" si="171"/>
        <v>0.92134426282452753</v>
      </c>
      <c r="P167">
        <f t="shared" si="172"/>
        <v>1.9365381079842966E-6</v>
      </c>
      <c r="Q167">
        <f t="shared" si="173"/>
        <v>3.2339183625140919E-2</v>
      </c>
      <c r="R167">
        <f t="shared" si="174"/>
        <v>0.88900314266127867</v>
      </c>
      <c r="S167">
        <f t="shared" si="175"/>
        <v>737.075410259622</v>
      </c>
      <c r="T167">
        <f t="shared" si="176"/>
        <v>18.42688525649055</v>
      </c>
      <c r="U167">
        <f t="shared" si="155"/>
        <v>711.20251412902292</v>
      </c>
      <c r="V167" s="1">
        <f t="shared" si="156"/>
        <v>17.780062853225573</v>
      </c>
      <c r="W167" s="1">
        <f t="shared" si="157"/>
        <v>316.61359120872845</v>
      </c>
      <c r="X167" s="1">
        <f t="shared" si="158"/>
        <v>-15.830679560436423</v>
      </c>
      <c r="Y167" s="1">
        <f t="shared" si="159"/>
        <v>-200.85304929574701</v>
      </c>
      <c r="Z167" s="1">
        <f t="shared" si="163"/>
        <v>-3.8730762159685934</v>
      </c>
      <c r="AA167" s="1">
        <f t="shared" si="164"/>
        <v>96.056786136576434</v>
      </c>
      <c r="AB167" s="1">
        <f t="shared" si="165"/>
        <v>0</v>
      </c>
      <c r="AC167" s="1">
        <f t="shared" si="177"/>
        <v>58.095686394042247</v>
      </c>
      <c r="AD167" s="1">
        <f t="shared" si="166"/>
        <v>154.1524725306187</v>
      </c>
      <c r="AE167" s="1">
        <f t="shared" si="167"/>
        <v>0.6468224032649772</v>
      </c>
      <c r="AF167">
        <f t="shared" si="168"/>
        <v>154.79929493388369</v>
      </c>
    </row>
    <row r="168" spans="1:32">
      <c r="E168">
        <v>5</v>
      </c>
      <c r="F168" s="13" cm="1">
        <f t="array" ref="F168">_xlfn.IFS(AND(E168&gt;=0,E168&lt;=2),$B$162*(1-$B$21),AND(E168&gt;=3,E168&lt;=5),$B$162*(1-$B$22),AND(E168&gt;=6,E168&lt;=10),$B$162*(1-$B$23),AND(E168&gt;=11,E168&lt;=20),$B$162*(1-$B$24))</f>
        <v>343.64309192971916</v>
      </c>
      <c r="G168">
        <f t="shared" si="178"/>
        <v>17.182154596485958</v>
      </c>
      <c r="H168">
        <f t="shared" si="169"/>
        <v>218</v>
      </c>
      <c r="I168" s="13">
        <f t="shared" si="160"/>
        <v>2000000</v>
      </c>
      <c r="J168" s="5">
        <v>0.4</v>
      </c>
      <c r="K168" s="19">
        <f t="shared" si="161"/>
        <v>800</v>
      </c>
      <c r="L168">
        <f t="shared" si="162"/>
        <v>20</v>
      </c>
      <c r="M168">
        <f t="shared" si="170"/>
        <v>2.2971403000000001E-3</v>
      </c>
      <c r="N168" s="2">
        <f t="shared" si="179"/>
        <v>3.5099999999999999E-2</v>
      </c>
      <c r="O168">
        <f t="shared" si="171"/>
        <v>0.88900314266127867</v>
      </c>
      <c r="P168">
        <f t="shared" si="172"/>
        <v>2.0421649458338725E-6</v>
      </c>
      <c r="Q168">
        <f t="shared" si="173"/>
        <v>3.1204010307410882E-2</v>
      </c>
      <c r="R168">
        <f t="shared" si="174"/>
        <v>0.85779709018892192</v>
      </c>
      <c r="S168">
        <f t="shared" si="175"/>
        <v>711.20251412902292</v>
      </c>
      <c r="T168">
        <f t="shared" si="176"/>
        <v>17.780062853225573</v>
      </c>
      <c r="U168">
        <f t="shared" si="155"/>
        <v>686.23767215113753</v>
      </c>
      <c r="V168" s="1">
        <f t="shared" si="156"/>
        <v>17.15594180377844</v>
      </c>
      <c r="W168" s="1">
        <f t="shared" si="157"/>
        <v>305.49978867935903</v>
      </c>
      <c r="X168" s="1">
        <f t="shared" si="158"/>
        <v>-15.274989433967951</v>
      </c>
      <c r="Y168" s="1">
        <f t="shared" si="159"/>
        <v>-193.80268510015875</v>
      </c>
      <c r="Z168" s="1">
        <f t="shared" si="163"/>
        <v>-4.0843298916677453</v>
      </c>
      <c r="AA168" s="1">
        <f t="shared" si="164"/>
        <v>92.337784253564564</v>
      </c>
      <c r="AB168" s="1">
        <f t="shared" si="165"/>
        <v>0</v>
      </c>
      <c r="AC168" s="1">
        <f t="shared" si="177"/>
        <v>56.056405692520173</v>
      </c>
      <c r="AD168" s="1">
        <f t="shared" si="166"/>
        <v>148.39418994608474</v>
      </c>
      <c r="AE168" s="1">
        <f t="shared" si="167"/>
        <v>0.6241210494471332</v>
      </c>
      <c r="AF168">
        <f t="shared" si="168"/>
        <v>149.01831099553186</v>
      </c>
    </row>
    <row r="169" spans="1:32">
      <c r="E169">
        <v>6</v>
      </c>
      <c r="F169" s="13" cm="1">
        <f t="array" ref="F169">_xlfn.IFS(AND(E169&gt;=0,E169&lt;=2),$B$162*(1-$B$21),AND(E169&gt;=3,E169&lt;=5),$B$162*(1-$B$22),AND(E169&gt;=6,E169&lt;=10),$B$162*(1-$B$23),AND(E169&gt;=11,E169&lt;=20),$B$162*(1-$B$24))</f>
        <v>332.90424530691547</v>
      </c>
      <c r="G169">
        <f t="shared" si="178"/>
        <v>16.645212265345773</v>
      </c>
      <c r="H169">
        <f t="shared" si="169"/>
        <v>218</v>
      </c>
      <c r="I169" s="13">
        <f t="shared" si="160"/>
        <v>2000000</v>
      </c>
      <c r="J169" s="5">
        <v>0.4</v>
      </c>
      <c r="K169" s="19">
        <f t="shared" si="161"/>
        <v>800</v>
      </c>
      <c r="L169">
        <f t="shared" si="162"/>
        <v>20</v>
      </c>
      <c r="M169">
        <f t="shared" si="170"/>
        <v>2.51159818E-3</v>
      </c>
      <c r="N169" s="2">
        <f>$B$14</f>
        <v>7.6100000000000001E-2</v>
      </c>
      <c r="O169">
        <f t="shared" si="171"/>
        <v>0.85779709018892192</v>
      </c>
      <c r="P169">
        <f t="shared" si="172"/>
        <v>2.1544416105277918E-6</v>
      </c>
      <c r="Q169">
        <f t="shared" si="173"/>
        <v>6.5278358563376965E-2</v>
      </c>
      <c r="R169">
        <f t="shared" si="174"/>
        <v>0.79251657718393442</v>
      </c>
      <c r="S169">
        <f t="shared" si="175"/>
        <v>686.23767215113753</v>
      </c>
      <c r="T169">
        <f t="shared" si="176"/>
        <v>17.15594180377844</v>
      </c>
      <c r="U169">
        <f t="shared" si="155"/>
        <v>634.01326174714757</v>
      </c>
      <c r="V169" s="1">
        <f t="shared" si="156"/>
        <v>15.850331543678688</v>
      </c>
      <c r="W169" s="1">
        <f t="shared" si="157"/>
        <v>285.56429293581118</v>
      </c>
      <c r="X169" s="1">
        <f t="shared" si="158"/>
        <v>-14.278214646790557</v>
      </c>
      <c r="Y169" s="1">
        <f t="shared" si="159"/>
        <v>-186.99976566118497</v>
      </c>
      <c r="Z169" s="1">
        <f t="shared" si="163"/>
        <v>-4.3088832210555834</v>
      </c>
      <c r="AA169" s="1">
        <f t="shared" si="164"/>
        <v>79.977429406780075</v>
      </c>
      <c r="AB169" s="1">
        <f t="shared" si="165"/>
        <v>0</v>
      </c>
      <c r="AC169" s="1">
        <f t="shared" si="177"/>
        <v>53.607383073416514</v>
      </c>
      <c r="AD169" s="1">
        <f t="shared" si="166"/>
        <v>133.5848124801966</v>
      </c>
      <c r="AE169" s="1">
        <f t="shared" si="167"/>
        <v>1.3056102600997512</v>
      </c>
      <c r="AF169">
        <f t="shared" si="168"/>
        <v>134.89042274029634</v>
      </c>
    </row>
    <row r="170" spans="1:32">
      <c r="E170">
        <v>7</v>
      </c>
      <c r="F170" s="13" cm="1">
        <f t="array" ref="F170">_xlfn.IFS(AND(E170&gt;=0,E170&lt;=2),$B$162*(1-$B$21),AND(E170&gt;=3,E170&lt;=5),$B$162*(1-$B$22),AND(E170&gt;=6,E170&lt;=10),$B$162*(1-$B$23),AND(E170&gt;=11,E170&lt;=20),$B$162*(1-$B$24))</f>
        <v>332.90424530691547</v>
      </c>
      <c r="G170">
        <f t="shared" si="178"/>
        <v>16.645212265345773</v>
      </c>
      <c r="H170">
        <f t="shared" si="169"/>
        <v>218</v>
      </c>
      <c r="I170" s="13">
        <f t="shared" si="160"/>
        <v>2000000</v>
      </c>
      <c r="J170" s="5">
        <v>0.4</v>
      </c>
      <c r="K170" s="19">
        <f t="shared" si="161"/>
        <v>800</v>
      </c>
      <c r="L170">
        <f t="shared" si="162"/>
        <v>20</v>
      </c>
      <c r="M170">
        <f t="shared" si="170"/>
        <v>2.7417480999999996E-3</v>
      </c>
      <c r="N170" s="2">
        <f t="shared" ref="N170:N173" si="180">$B$14</f>
        <v>7.6100000000000001E-2</v>
      </c>
      <c r="O170">
        <f t="shared" si="171"/>
        <v>0.79251657718393442</v>
      </c>
      <c r="P170">
        <f t="shared" si="172"/>
        <v>2.172880819712555E-6</v>
      </c>
      <c r="Q170">
        <f t="shared" si="173"/>
        <v>6.0310511523697409E-2</v>
      </c>
      <c r="R170">
        <f t="shared" si="174"/>
        <v>0.73220389277941733</v>
      </c>
      <c r="S170">
        <f t="shared" si="175"/>
        <v>634.01326174714757</v>
      </c>
      <c r="T170">
        <f t="shared" si="176"/>
        <v>15.850331543678688</v>
      </c>
      <c r="U170">
        <f t="shared" si="155"/>
        <v>585.76311422353388</v>
      </c>
      <c r="V170" s="1">
        <f t="shared" si="156"/>
        <v>14.644077855588346</v>
      </c>
      <c r="W170" s="1">
        <f t="shared" si="157"/>
        <v>263.83213302063751</v>
      </c>
      <c r="X170" s="1">
        <f t="shared" si="158"/>
        <v>-13.191606651031876</v>
      </c>
      <c r="Y170" s="1">
        <f t="shared" si="159"/>
        <v>-172.76861382609769</v>
      </c>
      <c r="Z170" s="1">
        <f t="shared" si="163"/>
        <v>-4.3457616394251097</v>
      </c>
      <c r="AA170" s="1">
        <f t="shared" si="164"/>
        <v>73.526150904082854</v>
      </c>
      <c r="AB170" s="1">
        <f t="shared" si="165"/>
        <v>0</v>
      </c>
      <c r="AC170" s="1">
        <f t="shared" si="177"/>
        <v>49.527726581323748</v>
      </c>
      <c r="AD170" s="1">
        <f t="shared" si="166"/>
        <v>123.0538774854066</v>
      </c>
      <c r="AE170" s="1">
        <f t="shared" si="167"/>
        <v>1.2062536880903423</v>
      </c>
      <c r="AF170">
        <f t="shared" si="168"/>
        <v>124.26013117349694</v>
      </c>
    </row>
    <row r="171" spans="1:32">
      <c r="E171">
        <v>8</v>
      </c>
      <c r="F171" s="13" cm="1">
        <f t="array" ref="F171">_xlfn.IFS(AND(E171&gt;=0,E171&lt;=2),$B$162*(1-$B$21),AND(E171&gt;=3,E171&lt;=5),$B$162*(1-$B$22),AND(E171&gt;=6,E171&lt;=10),$B$162*(1-$B$23),AND(E171&gt;=11,E171&lt;=20),$B$162*(1-$B$24))</f>
        <v>332.90424530691547</v>
      </c>
      <c r="G171">
        <f t="shared" si="178"/>
        <v>16.645212265345773</v>
      </c>
      <c r="H171">
        <f t="shared" si="169"/>
        <v>218</v>
      </c>
      <c r="I171" s="13">
        <f t="shared" si="160"/>
        <v>2000000</v>
      </c>
      <c r="J171" s="5">
        <v>0.4</v>
      </c>
      <c r="K171" s="19">
        <f t="shared" si="161"/>
        <v>800</v>
      </c>
      <c r="L171">
        <f t="shared" si="162"/>
        <v>20</v>
      </c>
      <c r="M171">
        <f t="shared" si="170"/>
        <v>3.0067692199999998E-3</v>
      </c>
      <c r="N171" s="2">
        <f t="shared" si="180"/>
        <v>7.6100000000000001E-2</v>
      </c>
      <c r="O171">
        <f t="shared" si="171"/>
        <v>0.73220389277941733</v>
      </c>
      <c r="P171">
        <f t="shared" si="172"/>
        <v>2.2015681275733324E-6</v>
      </c>
      <c r="Q171">
        <f t="shared" si="173"/>
        <v>5.5720716240513661E-2</v>
      </c>
      <c r="R171">
        <f t="shared" si="174"/>
        <v>0.67648097497077608</v>
      </c>
      <c r="S171">
        <f t="shared" si="175"/>
        <v>585.76311422353388</v>
      </c>
      <c r="T171">
        <f t="shared" si="176"/>
        <v>14.644077855588346</v>
      </c>
      <c r="U171">
        <f t="shared" si="155"/>
        <v>541.18477997662092</v>
      </c>
      <c r="V171" s="1">
        <f t="shared" si="156"/>
        <v>13.529619499415521</v>
      </c>
      <c r="W171" s="1">
        <f t="shared" si="157"/>
        <v>243.75378433651758</v>
      </c>
      <c r="X171" s="1">
        <f t="shared" si="158"/>
        <v>-12.187689216825879</v>
      </c>
      <c r="Y171" s="1">
        <f t="shared" si="159"/>
        <v>-159.62044862591299</v>
      </c>
      <c r="Z171" s="1">
        <f t="shared" si="163"/>
        <v>-4.4031362551466646</v>
      </c>
      <c r="AA171" s="1">
        <f t="shared" si="164"/>
        <v>67.542510238632062</v>
      </c>
      <c r="AB171" s="1">
        <f t="shared" si="165"/>
        <v>0</v>
      </c>
      <c r="AC171" s="1">
        <f t="shared" si="177"/>
        <v>45.75853079593476</v>
      </c>
      <c r="AD171" s="1">
        <f t="shared" si="166"/>
        <v>113.30104103456682</v>
      </c>
      <c r="AE171" s="1">
        <f t="shared" si="167"/>
        <v>1.1144583561728254</v>
      </c>
      <c r="AF171">
        <f t="shared" si="168"/>
        <v>114.41549939073965</v>
      </c>
    </row>
    <row r="172" spans="1:32">
      <c r="E172">
        <v>9</v>
      </c>
      <c r="F172" s="13" cm="1">
        <f t="array" ref="F172">_xlfn.IFS(AND(E172&gt;=0,E172&lt;=2),$B$162*(1-$B$21),AND(E172&gt;=3,E172&lt;=5),$B$162*(1-$B$22),AND(E172&gt;=6,E172&lt;=10),$B$162*(1-$B$23),AND(E172&gt;=11,E172&lt;=20),$B$162*(1-$B$24))</f>
        <v>332.90424530691547</v>
      </c>
      <c r="G172">
        <f t="shared" si="178"/>
        <v>16.645212265345773</v>
      </c>
      <c r="H172">
        <f t="shared" si="169"/>
        <v>218</v>
      </c>
      <c r="I172" s="13">
        <f t="shared" si="160"/>
        <v>2000000</v>
      </c>
      <c r="J172" s="5">
        <v>0.4</v>
      </c>
      <c r="K172" s="19">
        <f t="shared" si="161"/>
        <v>800</v>
      </c>
      <c r="L172">
        <f t="shared" si="162"/>
        <v>20</v>
      </c>
      <c r="M172">
        <f t="shared" si="170"/>
        <v>3.3084051E-3</v>
      </c>
      <c r="N172" s="2">
        <f t="shared" si="180"/>
        <v>7.6100000000000001E-2</v>
      </c>
      <c r="O172">
        <f t="shared" si="171"/>
        <v>0.67648097497077608</v>
      </c>
      <c r="P172">
        <f t="shared" si="172"/>
        <v>2.238073107646288E-6</v>
      </c>
      <c r="Q172">
        <f t="shared" si="173"/>
        <v>5.1480202195276062E-2</v>
      </c>
      <c r="R172">
        <f t="shared" si="174"/>
        <v>0.62499853470239242</v>
      </c>
      <c r="S172">
        <f t="shared" si="175"/>
        <v>541.18477997662092</v>
      </c>
      <c r="T172">
        <f t="shared" si="176"/>
        <v>13.529619499415521</v>
      </c>
      <c r="U172">
        <f t="shared" si="155"/>
        <v>499.99882776191396</v>
      </c>
      <c r="V172" s="1">
        <f t="shared" si="156"/>
        <v>12.499970694047848</v>
      </c>
      <c r="W172" s="1">
        <f t="shared" si="157"/>
        <v>225.20338843713259</v>
      </c>
      <c r="X172" s="1">
        <f t="shared" si="158"/>
        <v>-11.260169421856629</v>
      </c>
      <c r="Y172" s="1">
        <f t="shared" si="159"/>
        <v>-147.47285254362919</v>
      </c>
      <c r="Z172" s="1">
        <f t="shared" si="163"/>
        <v>-4.4761462152925757</v>
      </c>
      <c r="AA172" s="1">
        <f t="shared" si="164"/>
        <v>61.994220256354197</v>
      </c>
      <c r="AB172" s="1">
        <f t="shared" si="165"/>
        <v>0</v>
      </c>
      <c r="AC172" s="1">
        <f t="shared" si="177"/>
        <v>42.276169017022184</v>
      </c>
      <c r="AD172" s="1">
        <f t="shared" si="166"/>
        <v>104.27038927337638</v>
      </c>
      <c r="AE172" s="1">
        <f t="shared" si="167"/>
        <v>1.0296488053676729</v>
      </c>
      <c r="AF172">
        <f t="shared" si="168"/>
        <v>105.30003807874405</v>
      </c>
    </row>
    <row r="173" spans="1:32">
      <c r="E173">
        <v>10</v>
      </c>
      <c r="F173" s="13" cm="1">
        <f t="array" ref="F173">_xlfn.IFS(AND(E173&gt;=0,E173&lt;=2),$B$162*(1-$B$21),AND(E173&gt;=3,E173&lt;=5),$B$162*(1-$B$22),AND(E173&gt;=6,E173&lt;=10),$B$162*(1-$B$23),AND(E173&gt;=11,E173&lt;=20),$B$162*(1-$B$24))</f>
        <v>332.90424530691547</v>
      </c>
      <c r="G173">
        <f t="shared" si="178"/>
        <v>16.645212265345773</v>
      </c>
      <c r="H173">
        <f t="shared" si="169"/>
        <v>218</v>
      </c>
      <c r="I173" s="13">
        <f t="shared" si="160"/>
        <v>2000000</v>
      </c>
      <c r="J173" s="5">
        <v>0.4</v>
      </c>
      <c r="K173" s="19">
        <f t="shared" si="161"/>
        <v>800</v>
      </c>
      <c r="L173">
        <f t="shared" si="162"/>
        <v>20</v>
      </c>
      <c r="M173">
        <f t="shared" si="170"/>
        <v>3.6422968400000003E-3</v>
      </c>
      <c r="N173" s="2">
        <f t="shared" si="180"/>
        <v>7.6100000000000001E-2</v>
      </c>
      <c r="O173">
        <f t="shared" si="171"/>
        <v>0.62499853470239242</v>
      </c>
      <c r="P173">
        <f t="shared" si="172"/>
        <v>2.2764301879511543E-6</v>
      </c>
      <c r="Q173">
        <f t="shared" si="173"/>
        <v>4.7562388490852064E-2</v>
      </c>
      <c r="R173">
        <f t="shared" si="174"/>
        <v>0.57743386978135236</v>
      </c>
      <c r="S173">
        <f t="shared" si="175"/>
        <v>499.99882776191396</v>
      </c>
      <c r="T173">
        <f t="shared" si="176"/>
        <v>12.499970694047848</v>
      </c>
      <c r="U173">
        <f t="shared" si="155"/>
        <v>461.94709582508187</v>
      </c>
      <c r="V173" s="1">
        <f t="shared" si="156"/>
        <v>11.548677395627047</v>
      </c>
      <c r="W173" s="1">
        <f t="shared" si="157"/>
        <v>208.06466551302796</v>
      </c>
      <c r="X173" s="1">
        <f t="shared" si="158"/>
        <v>-10.403233275651397</v>
      </c>
      <c r="Y173" s="1">
        <f t="shared" si="159"/>
        <v>-136.24968056512154</v>
      </c>
      <c r="Z173" s="1">
        <f t="shared" si="163"/>
        <v>-4.5528603759023083</v>
      </c>
      <c r="AA173" s="1">
        <f t="shared" si="164"/>
        <v>56.858891296352731</v>
      </c>
      <c r="AB173" s="1">
        <f t="shared" si="165"/>
        <v>0</v>
      </c>
      <c r="AC173" s="1">
        <f t="shared" si="177"/>
        <v>39.058812688133614</v>
      </c>
      <c r="AD173" s="1">
        <f t="shared" si="166"/>
        <v>95.917703984486337</v>
      </c>
      <c r="AE173" s="1">
        <f t="shared" si="167"/>
        <v>0.95129329842080068</v>
      </c>
      <c r="AF173">
        <f t="shared" si="168"/>
        <v>96.868997282907145</v>
      </c>
    </row>
    <row r="174" spans="1:32">
      <c r="E174">
        <v>11</v>
      </c>
      <c r="F174" s="13" cm="1">
        <f t="array" ref="F174">_xlfn.IFS(AND(E174&gt;=0,E174&lt;=2),$B$162*(1-$B$21),AND(E174&gt;=3,E174&lt;=5),$B$162*(1-$B$22),AND(E174&gt;=6,E174&lt;=10),$B$162*(1-$B$23),AND(E174&gt;=11,E174&lt;=20),$B$162*(1-$B$24))</f>
        <v>322.16539868411178</v>
      </c>
      <c r="G174">
        <f t="shared" si="178"/>
        <v>16.108269934205591</v>
      </c>
      <c r="H174">
        <f t="shared" si="169"/>
        <v>218</v>
      </c>
      <c r="I174" s="13">
        <f t="shared" si="160"/>
        <v>2000000</v>
      </c>
      <c r="J174" s="5">
        <v>0.4</v>
      </c>
      <c r="K174" s="19">
        <f t="shared" si="161"/>
        <v>800</v>
      </c>
      <c r="L174">
        <f t="shared" si="162"/>
        <v>20</v>
      </c>
      <c r="M174">
        <f t="shared" si="170"/>
        <v>4.0215211399999996E-3</v>
      </c>
      <c r="N174" s="2">
        <f>$B$15</f>
        <v>0.11899999999999999</v>
      </c>
      <c r="O174">
        <f t="shared" si="171"/>
        <v>0.57743386978135236</v>
      </c>
      <c r="P174">
        <f t="shared" si="172"/>
        <v>2.3221625142777156E-6</v>
      </c>
      <c r="Q174">
        <f t="shared" si="173"/>
        <v>6.8714630503980925E-2</v>
      </c>
      <c r="R174">
        <f t="shared" si="174"/>
        <v>0.50871691711485711</v>
      </c>
      <c r="S174">
        <f t="shared" si="175"/>
        <v>461.94709582508187</v>
      </c>
      <c r="T174">
        <f t="shared" si="176"/>
        <v>11.548677395627047</v>
      </c>
      <c r="U174">
        <f t="shared" si="155"/>
        <v>406.97353369188568</v>
      </c>
      <c r="V174" s="1">
        <f t="shared" si="156"/>
        <v>10.174338342297142</v>
      </c>
      <c r="W174" s="1">
        <f t="shared" si="157"/>
        <v>186.02921287181886</v>
      </c>
      <c r="X174" s="1">
        <f t="shared" si="158"/>
        <v>-9.3014606435909446</v>
      </c>
      <c r="Y174" s="1">
        <f t="shared" si="159"/>
        <v>-125.88058361233482</v>
      </c>
      <c r="Z174" s="1">
        <f t="shared" si="163"/>
        <v>-4.6443250285554312</v>
      </c>
      <c r="AA174" s="1">
        <f t="shared" si="164"/>
        <v>46.202843587337654</v>
      </c>
      <c r="AB174" s="1">
        <f t="shared" si="165"/>
        <v>0</v>
      </c>
      <c r="AC174" s="1">
        <f t="shared" si="177"/>
        <v>35.762293899691528</v>
      </c>
      <c r="AD174" s="1">
        <f t="shared" si="166"/>
        <v>81.965137487029182</v>
      </c>
      <c r="AE174" s="1">
        <f t="shared" si="167"/>
        <v>1.3743390533299049</v>
      </c>
      <c r="AF174">
        <f t="shared" si="168"/>
        <v>83.339476540359087</v>
      </c>
    </row>
    <row r="175" spans="1:32">
      <c r="E175">
        <v>12</v>
      </c>
      <c r="F175" s="13" cm="1">
        <f t="array" ref="F175">_xlfn.IFS(AND(E175&gt;=0,E175&lt;=2),$B$162*(1-$B$21),AND(E175&gt;=3,E175&lt;=5),$B$162*(1-$B$22),AND(E175&gt;=6,E175&lt;=10),$B$162*(1-$B$23),AND(E175&gt;=11,E175&lt;=20),$B$162*(1-$B$24))</f>
        <v>322.16539868411178</v>
      </c>
      <c r="G175">
        <f t="shared" si="178"/>
        <v>16.108269934205591</v>
      </c>
      <c r="H175">
        <f t="shared" si="169"/>
        <v>218</v>
      </c>
      <c r="I175" s="13">
        <f t="shared" si="160"/>
        <v>2000000</v>
      </c>
      <c r="J175" s="5">
        <v>0.4</v>
      </c>
      <c r="K175" s="19">
        <f t="shared" si="161"/>
        <v>800</v>
      </c>
      <c r="L175">
        <f t="shared" si="162"/>
        <v>20</v>
      </c>
      <c r="M175">
        <f t="shared" si="170"/>
        <v>4.4513086800000001E-3</v>
      </c>
      <c r="N175" s="2">
        <f t="shared" ref="N175:N178" si="181">$B$15</f>
        <v>0.11899999999999999</v>
      </c>
      <c r="O175">
        <f t="shared" si="171"/>
        <v>0.50871691711485711</v>
      </c>
      <c r="P175">
        <f t="shared" si="172"/>
        <v>2.2644560288162042E-6</v>
      </c>
      <c r="Q175">
        <f t="shared" si="173"/>
        <v>6.0537313136667992E-2</v>
      </c>
      <c r="R175">
        <f t="shared" si="174"/>
        <v>0.44817733952216032</v>
      </c>
      <c r="S175">
        <f t="shared" si="175"/>
        <v>406.97353369188568</v>
      </c>
      <c r="T175">
        <f t="shared" si="176"/>
        <v>10.174338342297142</v>
      </c>
      <c r="U175">
        <f t="shared" si="155"/>
        <v>358.54187161772825</v>
      </c>
      <c r="V175" s="1">
        <f t="shared" si="156"/>
        <v>8.9635467904432069</v>
      </c>
      <c r="W175" s="1">
        <f t="shared" si="157"/>
        <v>163.89098841966018</v>
      </c>
      <c r="X175" s="1">
        <f t="shared" si="158"/>
        <v>-8.1945494209830105</v>
      </c>
      <c r="Y175" s="1">
        <f t="shared" si="159"/>
        <v>-110.90028793103885</v>
      </c>
      <c r="Z175" s="1">
        <f t="shared" si="163"/>
        <v>-4.5289120576324082</v>
      </c>
      <c r="AA175" s="1">
        <f t="shared" si="164"/>
        <v>40.267239010005909</v>
      </c>
      <c r="AB175" s="1">
        <f t="shared" si="165"/>
        <v>0</v>
      </c>
      <c r="AC175" s="1">
        <f t="shared" si="177"/>
        <v>31.506437106807301</v>
      </c>
      <c r="AD175" s="1">
        <f t="shared" si="166"/>
        <v>71.773676116813206</v>
      </c>
      <c r="AE175" s="1">
        <f t="shared" si="167"/>
        <v>1.2107915518539354</v>
      </c>
      <c r="AF175">
        <f t="shared" si="168"/>
        <v>72.984467668667136</v>
      </c>
    </row>
    <row r="176" spans="1:32">
      <c r="E176">
        <v>13</v>
      </c>
      <c r="F176" s="13" cm="1">
        <f t="array" ref="F176">_xlfn.IFS(AND(E176&gt;=0,E176&lt;=2),$B$162*(1-$B$21),AND(E176&gt;=3,E176&lt;=5),$B$162*(1-$B$22),AND(E176&gt;=6,E176&lt;=10),$B$162*(1-$B$23),AND(E176&gt;=11,E176&lt;=20),$B$162*(1-$B$24))</f>
        <v>322.16539868411178</v>
      </c>
      <c r="G176">
        <f t="shared" si="178"/>
        <v>16.108269934205591</v>
      </c>
      <c r="H176">
        <f t="shared" si="169"/>
        <v>218</v>
      </c>
      <c r="I176" s="13">
        <f t="shared" si="160"/>
        <v>2000000</v>
      </c>
      <c r="J176" s="5">
        <v>0.4</v>
      </c>
      <c r="K176" s="19">
        <f t="shared" si="161"/>
        <v>800</v>
      </c>
      <c r="L176">
        <f t="shared" si="162"/>
        <v>20</v>
      </c>
      <c r="M176">
        <f t="shared" si="170"/>
        <v>4.8994036000000003E-3</v>
      </c>
      <c r="N176" s="2">
        <f t="shared" si="181"/>
        <v>0.11899999999999999</v>
      </c>
      <c r="O176">
        <f t="shared" si="171"/>
        <v>0.44817733952216032</v>
      </c>
      <c r="P176">
        <f t="shared" si="172"/>
        <v>2.1958016706932945E-6</v>
      </c>
      <c r="Q176">
        <f t="shared" si="173"/>
        <v>5.3333103403137079E-2</v>
      </c>
      <c r="R176">
        <f t="shared" si="174"/>
        <v>0.39484204031735254</v>
      </c>
      <c r="S176">
        <f t="shared" si="175"/>
        <v>358.54187161772825</v>
      </c>
      <c r="T176">
        <f t="shared" si="176"/>
        <v>8.9635467904432069</v>
      </c>
      <c r="U176">
        <f t="shared" si="155"/>
        <v>315.87363225388202</v>
      </c>
      <c r="V176" s="1">
        <f t="shared" si="156"/>
        <v>7.8968408063470505</v>
      </c>
      <c r="W176" s="1">
        <f t="shared" si="157"/>
        <v>144.38723126834131</v>
      </c>
      <c r="X176" s="1">
        <f t="shared" si="158"/>
        <v>-7.219361563417066</v>
      </c>
      <c r="Y176" s="1">
        <f t="shared" si="159"/>
        <v>-97.702660015830944</v>
      </c>
      <c r="Z176" s="1">
        <f t="shared" si="163"/>
        <v>-4.3916033413865891</v>
      </c>
      <c r="AA176" s="1">
        <f t="shared" si="164"/>
        <v>35.073606347706708</v>
      </c>
      <c r="AB176" s="1">
        <f t="shared" si="165"/>
        <v>0</v>
      </c>
      <c r="AC176" s="1">
        <f t="shared" si="177"/>
        <v>27.757030846220264</v>
      </c>
      <c r="AD176" s="1">
        <f t="shared" si="166"/>
        <v>62.830637193926975</v>
      </c>
      <c r="AE176" s="1">
        <f t="shared" si="167"/>
        <v>1.0667059840961564</v>
      </c>
      <c r="AF176">
        <f t="shared" si="168"/>
        <v>63.897343178023135</v>
      </c>
    </row>
    <row r="177" spans="5:32">
      <c r="E177">
        <v>14</v>
      </c>
      <c r="F177" s="13" cm="1">
        <f t="array" ref="F177">_xlfn.IFS(AND(E177&gt;=0,E177&lt;=2),$B$162*(1-$B$21),AND(E177&gt;=3,E177&lt;=5),$B$162*(1-$B$22),AND(E177&gt;=6,E177&lt;=10),$B$162*(1-$B$23),AND(E177&gt;=11,E177&lt;=20),$B$162*(1-$B$24))</f>
        <v>322.16539868411178</v>
      </c>
      <c r="G177">
        <f t="shared" si="178"/>
        <v>16.108269934205591</v>
      </c>
      <c r="H177">
        <f t="shared" si="169"/>
        <v>218</v>
      </c>
      <c r="I177" s="13">
        <f t="shared" si="160"/>
        <v>2000000</v>
      </c>
      <c r="J177" s="5">
        <v>0.4</v>
      </c>
      <c r="K177" s="19">
        <f t="shared" si="161"/>
        <v>800</v>
      </c>
      <c r="L177">
        <f t="shared" si="162"/>
        <v>20</v>
      </c>
      <c r="M177">
        <f t="shared" si="170"/>
        <v>5.3788826E-3</v>
      </c>
      <c r="N177" s="2">
        <f t="shared" si="181"/>
        <v>0.11899999999999999</v>
      </c>
      <c r="O177">
        <f t="shared" si="171"/>
        <v>0.39484204031735254</v>
      </c>
      <c r="P177">
        <f t="shared" si="172"/>
        <v>2.1238089804115058E-6</v>
      </c>
      <c r="Q177">
        <f t="shared" si="173"/>
        <v>4.6986202797764949E-2</v>
      </c>
      <c r="R177">
        <f t="shared" si="174"/>
        <v>0.34785371371060719</v>
      </c>
      <c r="S177">
        <f t="shared" si="175"/>
        <v>315.87363225388202</v>
      </c>
      <c r="T177">
        <f t="shared" si="176"/>
        <v>7.8968408063470505</v>
      </c>
      <c r="U177">
        <f t="shared" si="155"/>
        <v>278.28297096848576</v>
      </c>
      <c r="V177" s="1">
        <f t="shared" si="156"/>
        <v>6.9570742742121441</v>
      </c>
      <c r="W177" s="1">
        <f t="shared" si="157"/>
        <v>127.20444333608802</v>
      </c>
      <c r="X177" s="1">
        <f t="shared" si="158"/>
        <v>-6.3602221668044017</v>
      </c>
      <c r="Y177" s="1">
        <f t="shared" si="159"/>
        <v>-86.075564789182849</v>
      </c>
      <c r="Z177" s="1">
        <f t="shared" si="163"/>
        <v>-4.2476179608230114</v>
      </c>
      <c r="AA177" s="1">
        <f t="shared" si="164"/>
        <v>30.521038419277755</v>
      </c>
      <c r="AB177" s="1">
        <f t="shared" si="165"/>
        <v>0</v>
      </c>
      <c r="AC177" s="1">
        <f t="shared" si="177"/>
        <v>24.453808182623199</v>
      </c>
      <c r="AD177" s="1">
        <f t="shared" si="166"/>
        <v>54.97484660190095</v>
      </c>
      <c r="AE177" s="1">
        <f t="shared" si="167"/>
        <v>0.93976653213490646</v>
      </c>
      <c r="AF177">
        <f t="shared" si="168"/>
        <v>55.914613134035854</v>
      </c>
    </row>
    <row r="178" spans="5:32">
      <c r="E178">
        <v>15</v>
      </c>
      <c r="F178" s="13" cm="1">
        <f t="array" ref="F178">_xlfn.IFS(AND(E178&gt;=0,E178&lt;=2),$B$162*(1-$B$21),AND(E178&gt;=3,E178&lt;=5),$B$162*(1-$B$22),AND(E178&gt;=6,E178&lt;=10),$B$162*(1-$B$23),AND(E178&gt;=11,E178&lt;=20),$B$162*(1-$B$24))</f>
        <v>322.16539868411178</v>
      </c>
      <c r="G178">
        <f t="shared" si="178"/>
        <v>16.108269934205591</v>
      </c>
      <c r="H178">
        <f t="shared" si="169"/>
        <v>218</v>
      </c>
      <c r="I178" s="13">
        <f t="shared" si="160"/>
        <v>2000000</v>
      </c>
      <c r="J178" s="5">
        <v>0.4</v>
      </c>
      <c r="K178" s="19">
        <f t="shared" si="161"/>
        <v>800</v>
      </c>
      <c r="L178">
        <f t="shared" si="162"/>
        <v>20</v>
      </c>
      <c r="M178">
        <f t="shared" si="170"/>
        <v>5.9071812799999998E-3</v>
      </c>
      <c r="N178" s="2">
        <f t="shared" si="181"/>
        <v>0.11899999999999999</v>
      </c>
      <c r="O178">
        <f t="shared" si="171"/>
        <v>0.34785371371060719</v>
      </c>
      <c r="P178">
        <f t="shared" si="172"/>
        <v>2.0548349458097777E-6</v>
      </c>
      <c r="Q178">
        <f t="shared" si="173"/>
        <v>4.1394591931562252E-2</v>
      </c>
      <c r="R178">
        <f t="shared" si="174"/>
        <v>0.30645706694409913</v>
      </c>
      <c r="S178">
        <f t="shared" si="175"/>
        <v>278.28297096848576</v>
      </c>
      <c r="T178">
        <f t="shared" si="176"/>
        <v>6.9570742742121441</v>
      </c>
      <c r="U178">
        <f t="shared" si="155"/>
        <v>245.16565355527931</v>
      </c>
      <c r="V178" s="1">
        <f t="shared" si="156"/>
        <v>6.1291413388819826</v>
      </c>
      <c r="W178" s="1">
        <f t="shared" si="157"/>
        <v>112.06643036132665</v>
      </c>
      <c r="X178" s="1">
        <f t="shared" si="158"/>
        <v>-5.6033215180663332</v>
      </c>
      <c r="Y178" s="1">
        <f t="shared" si="159"/>
        <v>-75.832109588912374</v>
      </c>
      <c r="Z178" s="1">
        <f t="shared" si="163"/>
        <v>-4.1096698916195553</v>
      </c>
      <c r="AA178" s="1">
        <f t="shared" si="164"/>
        <v>26.521329362728387</v>
      </c>
      <c r="AB178" s="1">
        <f t="shared" si="165"/>
        <v>0</v>
      </c>
      <c r="AC178" s="1">
        <f t="shared" si="177"/>
        <v>21.543673474727701</v>
      </c>
      <c r="AD178" s="1">
        <f t="shared" si="166"/>
        <v>48.065002837456092</v>
      </c>
      <c r="AE178" s="1">
        <f t="shared" si="167"/>
        <v>0.82793293533016143</v>
      </c>
      <c r="AF178">
        <f t="shared" si="168"/>
        <v>48.892935772786252</v>
      </c>
    </row>
    <row r="179" spans="5:32">
      <c r="E179">
        <v>16</v>
      </c>
      <c r="F179" s="13" cm="1">
        <f t="array" ref="F179">_xlfn.IFS(AND(E179&gt;=0,E179&lt;=2),$B$162*(1-$B$21),AND(E179&gt;=3,E179&lt;=5),$B$162*(1-$B$22),AND(E179&gt;=6,E179&lt;=10),$B$162*(1-$B$23),AND(E179&gt;=11,E179&lt;=20),$B$162*(1-$B$24))</f>
        <v>322.16539868411178</v>
      </c>
      <c r="G179">
        <f t="shared" si="178"/>
        <v>16.108269934205591</v>
      </c>
      <c r="H179">
        <f t="shared" si="169"/>
        <v>218</v>
      </c>
      <c r="I179" s="13">
        <f t="shared" si="160"/>
        <v>2000000</v>
      </c>
      <c r="J179" s="5">
        <v>0.4</v>
      </c>
      <c r="K179" s="19">
        <f t="shared" si="161"/>
        <v>800</v>
      </c>
      <c r="L179">
        <f t="shared" si="162"/>
        <v>20</v>
      </c>
      <c r="M179">
        <f t="shared" si="170"/>
        <v>6.5392217799999999E-3</v>
      </c>
      <c r="N179" s="2">
        <f>$B$16</f>
        <v>0.15620000000000001</v>
      </c>
      <c r="O179">
        <f t="shared" si="171"/>
        <v>0.30645706694409913</v>
      </c>
      <c r="P179">
        <f t="shared" si="172"/>
        <v>2.0039907267957708E-6</v>
      </c>
      <c r="Q179">
        <f t="shared" si="173"/>
        <v>4.7868593856668286E-2</v>
      </c>
      <c r="R179">
        <f t="shared" si="174"/>
        <v>0.25858646909670407</v>
      </c>
      <c r="S179">
        <f t="shared" si="175"/>
        <v>245.16565355527931</v>
      </c>
      <c r="T179">
        <f t="shared" si="176"/>
        <v>6.1291413388819826</v>
      </c>
      <c r="U179">
        <f t="shared" si="155"/>
        <v>206.86917527736327</v>
      </c>
      <c r="V179" s="1">
        <f t="shared" si="156"/>
        <v>5.1717293819340817</v>
      </c>
      <c r="W179" s="1">
        <f t="shared" si="157"/>
        <v>98.729863151609223</v>
      </c>
      <c r="X179" s="1">
        <f t="shared" si="158"/>
        <v>-4.936493157580462</v>
      </c>
      <c r="Y179" s="1">
        <f t="shared" si="159"/>
        <v>-66.807640593813616</v>
      </c>
      <c r="Z179" s="1">
        <f t="shared" si="163"/>
        <v>-4.0079814535915412</v>
      </c>
      <c r="AA179" s="1">
        <f t="shared" si="164"/>
        <v>22.977747946623609</v>
      </c>
      <c r="AB179" s="1">
        <f t="shared" si="165"/>
        <v>0</v>
      </c>
      <c r="AC179" s="1">
        <f t="shared" si="177"/>
        <v>18.979849068850456</v>
      </c>
      <c r="AD179" s="1">
        <f t="shared" si="166"/>
        <v>41.957597015474065</v>
      </c>
      <c r="AE179" s="1">
        <f t="shared" si="167"/>
        <v>0.95741195694790093</v>
      </c>
      <c r="AF179">
        <f t="shared" si="168"/>
        <v>42.915008972421965</v>
      </c>
    </row>
    <row r="180" spans="5:32">
      <c r="E180">
        <v>17</v>
      </c>
      <c r="F180" s="13" cm="1">
        <f t="array" ref="F180">_xlfn.IFS(AND(E180&gt;=0,E180&lt;=2),$B$162*(1-$B$21),AND(E180&gt;=3,E180&lt;=5),$B$162*(1-$B$22),AND(E180&gt;=6,E180&lt;=10),$B$162*(1-$B$23),AND(E180&gt;=11,E180&lt;=20),$B$162*(1-$B$24))</f>
        <v>322.16539868411178</v>
      </c>
      <c r="G180">
        <f t="shared" si="178"/>
        <v>16.108269934205591</v>
      </c>
      <c r="H180">
        <f t="shared" si="169"/>
        <v>218</v>
      </c>
      <c r="I180" s="13">
        <f t="shared" si="160"/>
        <v>2000000</v>
      </c>
      <c r="J180" s="5">
        <v>0.3</v>
      </c>
      <c r="K180" s="19">
        <f t="shared" si="161"/>
        <v>600</v>
      </c>
      <c r="L180">
        <f t="shared" si="162"/>
        <v>20</v>
      </c>
      <c r="M180">
        <f t="shared" si="170"/>
        <v>7.2131077200000004E-3</v>
      </c>
      <c r="N180" s="2">
        <f t="shared" ref="N180:N183" si="182">$B$16</f>
        <v>0.15620000000000001</v>
      </c>
      <c r="O180">
        <f t="shared" si="171"/>
        <v>0.25858646909670407</v>
      </c>
      <c r="P180">
        <f t="shared" si="172"/>
        <v>1.8652120565289776E-6</v>
      </c>
      <c r="Q180">
        <f t="shared" si="173"/>
        <v>4.0391206472905179E-2</v>
      </c>
      <c r="R180">
        <f t="shared" si="174"/>
        <v>0.21819339741174237</v>
      </c>
      <c r="S180">
        <f t="shared" si="175"/>
        <v>206.86917527736327</v>
      </c>
      <c r="T180">
        <f t="shared" si="176"/>
        <v>5.1717293819340817</v>
      </c>
      <c r="U180">
        <f t="shared" si="155"/>
        <v>130.91603844704542</v>
      </c>
      <c r="V180" s="1">
        <f t="shared" si="156"/>
        <v>4.3638679482348479</v>
      </c>
      <c r="W180" s="1">
        <f t="shared" si="157"/>
        <v>83.30761291085642</v>
      </c>
      <c r="X180" s="1">
        <f t="shared" si="158"/>
        <v>-4.1653806455428217</v>
      </c>
      <c r="Y180" s="1">
        <f t="shared" si="159"/>
        <v>-56.371850263081491</v>
      </c>
      <c r="Z180" s="1">
        <f t="shared" si="163"/>
        <v>-3.7304241130579552</v>
      </c>
      <c r="AA180" s="1">
        <f t="shared" si="164"/>
        <v>19.039957889174147</v>
      </c>
      <c r="AB180" s="1">
        <f t="shared" si="165"/>
        <v>61.291413388819848</v>
      </c>
      <c r="AC180" s="1">
        <f t="shared" si="177"/>
        <v>16.015072530853601</v>
      </c>
      <c r="AD180" s="1">
        <f t="shared" si="166"/>
        <v>96.346443808847596</v>
      </c>
      <c r="AE180" s="1">
        <f t="shared" si="167"/>
        <v>0.8078614336992338</v>
      </c>
      <c r="AF180">
        <f t="shared" si="168"/>
        <v>97.154305242546826</v>
      </c>
    </row>
    <row r="181" spans="5:32">
      <c r="E181">
        <v>18</v>
      </c>
      <c r="F181" s="13" cm="1">
        <f t="array" ref="F181">_xlfn.IFS(AND(E181&gt;=0,E181&lt;=2),$B$162*(1-$B$21),AND(E181&gt;=3,E181&lt;=5),$B$162*(1-$B$22),AND(E181&gt;=6,E181&lt;=10),$B$162*(1-$B$23),AND(E181&gt;=11,E181&lt;=20),$B$162*(1-$B$24))</f>
        <v>322.16539868411178</v>
      </c>
      <c r="G181">
        <f t="shared" si="178"/>
        <v>16.108269934205591</v>
      </c>
      <c r="H181">
        <f t="shared" si="169"/>
        <v>218</v>
      </c>
      <c r="I181" s="13">
        <f t="shared" si="160"/>
        <v>2000000</v>
      </c>
      <c r="J181" s="5">
        <v>0.2</v>
      </c>
      <c r="K181" s="19">
        <f t="shared" si="161"/>
        <v>400</v>
      </c>
      <c r="L181">
        <f t="shared" si="162"/>
        <v>20</v>
      </c>
      <c r="M181">
        <f t="shared" si="170"/>
        <v>7.8843783199999996E-3</v>
      </c>
      <c r="N181" s="2">
        <f t="shared" si="182"/>
        <v>0.15620000000000001</v>
      </c>
      <c r="O181">
        <f t="shared" si="171"/>
        <v>0.21819339741174237</v>
      </c>
      <c r="P181">
        <f t="shared" si="172"/>
        <v>1.7203192921202856E-6</v>
      </c>
      <c r="Q181">
        <f t="shared" si="173"/>
        <v>3.4081808675714163E-2</v>
      </c>
      <c r="R181">
        <f t="shared" si="174"/>
        <v>0.1841098684167361</v>
      </c>
      <c r="S181">
        <f t="shared" si="175"/>
        <v>130.91603844704542</v>
      </c>
      <c r="T181">
        <f t="shared" si="176"/>
        <v>4.3638679482348479</v>
      </c>
      <c r="U181">
        <f t="shared" si="155"/>
        <v>73.643947366694434</v>
      </c>
      <c r="V181" s="1">
        <f t="shared" si="156"/>
        <v>3.6821973683347222</v>
      </c>
      <c r="W181" s="1">
        <f t="shared" si="157"/>
        <v>70.294362867394824</v>
      </c>
      <c r="X181" s="1">
        <f t="shared" si="158"/>
        <v>-3.5147181433697416</v>
      </c>
      <c r="Y181" s="1">
        <f t="shared" si="159"/>
        <v>-47.566160635759836</v>
      </c>
      <c r="Z181" s="1">
        <f t="shared" si="163"/>
        <v>-3.4406385842405713</v>
      </c>
      <c r="AA181" s="1">
        <f t="shared" si="164"/>
        <v>15.772845504024669</v>
      </c>
      <c r="AB181" s="1">
        <f t="shared" si="165"/>
        <v>51.717293819340803</v>
      </c>
      <c r="AC181" s="1">
        <f t="shared" si="177"/>
        <v>11.113275311561795</v>
      </c>
      <c r="AD181" s="1">
        <f t="shared" si="166"/>
        <v>78.603414634927262</v>
      </c>
      <c r="AE181" s="1">
        <f t="shared" si="167"/>
        <v>0.68167057990012569</v>
      </c>
      <c r="AF181">
        <f t="shared" si="168"/>
        <v>79.28508521482739</v>
      </c>
    </row>
    <row r="182" spans="5:32">
      <c r="E182">
        <v>19</v>
      </c>
      <c r="F182" s="13" cm="1">
        <f t="array" ref="F182">_xlfn.IFS(AND(E182&gt;=0,E182&lt;=2),$B$162*(1-$B$21),AND(E182&gt;=3,E182&lt;=5),$B$162*(1-$B$22),AND(E182&gt;=6,E182&lt;=10),$B$162*(1-$B$23),AND(E182&gt;=11,E182&lt;=20),$B$162*(1-$B$24))</f>
        <v>322.16539868411178</v>
      </c>
      <c r="G182">
        <f t="shared" si="178"/>
        <v>16.108269934205591</v>
      </c>
      <c r="H182">
        <f t="shared" si="169"/>
        <v>218</v>
      </c>
      <c r="I182" s="13">
        <f t="shared" si="160"/>
        <v>2000000</v>
      </c>
      <c r="J182" s="5">
        <v>0.1</v>
      </c>
      <c r="K182" s="19">
        <f t="shared" si="161"/>
        <v>200</v>
      </c>
      <c r="L182">
        <f t="shared" si="162"/>
        <v>20</v>
      </c>
      <c r="M182">
        <f t="shared" si="170"/>
        <v>8.6227759800000005E-3</v>
      </c>
      <c r="N182" s="2">
        <f t="shared" si="182"/>
        <v>0.15620000000000001</v>
      </c>
      <c r="O182">
        <f t="shared" si="171"/>
        <v>0.1841098684167361</v>
      </c>
      <c r="P182">
        <f t="shared" si="172"/>
        <v>1.5875381510647928E-6</v>
      </c>
      <c r="Q182">
        <f t="shared" si="173"/>
        <v>2.875796144669418E-2</v>
      </c>
      <c r="R182">
        <f t="shared" si="174"/>
        <v>0.15535031943189084</v>
      </c>
      <c r="S182">
        <f t="shared" si="175"/>
        <v>73.643947366694434</v>
      </c>
      <c r="T182">
        <f t="shared" si="176"/>
        <v>3.6821973683347222</v>
      </c>
      <c r="U182">
        <f t="shared" si="155"/>
        <v>31.070063886378168</v>
      </c>
      <c r="V182" s="1">
        <f t="shared" si="156"/>
        <v>3.1070063886378168</v>
      </c>
      <c r="W182" s="1">
        <f t="shared" si="157"/>
        <v>59.313829160157148</v>
      </c>
      <c r="X182" s="1">
        <f t="shared" si="158"/>
        <v>-2.9656914580078575</v>
      </c>
      <c r="Y182" s="1">
        <f t="shared" si="159"/>
        <v>-40.135951314848469</v>
      </c>
      <c r="Z182" s="1">
        <f t="shared" si="163"/>
        <v>-3.1750763021295856</v>
      </c>
      <c r="AA182" s="1">
        <f t="shared" si="164"/>
        <v>13.037110085171232</v>
      </c>
      <c r="AB182" s="1">
        <f t="shared" si="165"/>
        <v>43.638679482348472</v>
      </c>
      <c r="AC182" s="1">
        <f t="shared" si="177"/>
        <v>7.3520855340448144</v>
      </c>
      <c r="AD182" s="1">
        <f t="shared" si="166"/>
        <v>64.027875101564518</v>
      </c>
      <c r="AE182" s="1">
        <f t="shared" si="167"/>
        <v>0.57519097969690547</v>
      </c>
      <c r="AF182">
        <f t="shared" si="168"/>
        <v>64.603066081261417</v>
      </c>
    </row>
    <row r="183" spans="5:32">
      <c r="E183">
        <v>20</v>
      </c>
      <c r="F183" s="13" cm="1">
        <f t="array" ref="F183">_xlfn.IFS(AND(E183&gt;=0,E183&lt;=2),$B$162*(1-$B$21),AND(E183&gt;=3,E183&lt;=5),$B$162*(1-$B$22),AND(E183&gt;=6,E183&lt;=10),$B$162*(1-$B$23),AND(E183&gt;=11,E183&lt;=20),$B$162*(1-$B$24))</f>
        <v>322.16539868411178</v>
      </c>
      <c r="G183">
        <f t="shared" si="178"/>
        <v>16.108269934205591</v>
      </c>
      <c r="H183">
        <f t="shared" si="169"/>
        <v>218</v>
      </c>
      <c r="I183" s="13">
        <f t="shared" si="160"/>
        <v>2000000</v>
      </c>
      <c r="J183" s="5">
        <v>0</v>
      </c>
      <c r="K183" s="19">
        <f t="shared" si="161"/>
        <v>0</v>
      </c>
      <c r="M183">
        <f t="shared" si="170"/>
        <v>9.4082497599999992E-3</v>
      </c>
      <c r="N183" s="2">
        <f t="shared" si="182"/>
        <v>0.15620000000000001</v>
      </c>
      <c r="O183">
        <f t="shared" si="171"/>
        <v>0.15535031943189084</v>
      </c>
      <c r="P183">
        <f t="shared" si="172"/>
        <v>1.4615746055110103E-6</v>
      </c>
      <c r="Q183">
        <f t="shared" si="173"/>
        <v>2.4265719895261349E-2</v>
      </c>
      <c r="R183">
        <f t="shared" si="174"/>
        <v>0.13108313796202398</v>
      </c>
      <c r="S183">
        <f t="shared" si="175"/>
        <v>31.070063886378168</v>
      </c>
      <c r="T183">
        <f t="shared" si="176"/>
        <v>3.1070063886378168</v>
      </c>
      <c r="U183">
        <f t="shared" si="155"/>
        <v>0</v>
      </c>
      <c r="V183" s="1">
        <f t="shared" si="156"/>
        <v>0</v>
      </c>
      <c r="W183" s="1">
        <f t="shared" si="157"/>
        <v>50.048497595479233</v>
      </c>
      <c r="X183" s="1">
        <f t="shared" si="158"/>
        <v>-2.5024248797739617</v>
      </c>
      <c r="Y183" s="1">
        <f t="shared" si="159"/>
        <v>-33.866369636152207</v>
      </c>
      <c r="Z183" s="1">
        <f t="shared" si="163"/>
        <v>-2.9231492110220207</v>
      </c>
      <c r="AA183" s="1">
        <f t="shared" si="164"/>
        <v>10.756553868531043</v>
      </c>
      <c r="AB183" s="1">
        <f t="shared" si="165"/>
        <v>36.821973683347217</v>
      </c>
      <c r="AC183" s="1">
        <f t="shared" si="177"/>
        <v>4.4947728644896685</v>
      </c>
      <c r="AD183" s="1">
        <f t="shared" si="166"/>
        <v>52.073300416367928</v>
      </c>
      <c r="AE183" s="1">
        <f t="shared" si="167"/>
        <v>3.1070063886378168</v>
      </c>
      <c r="AF183">
        <f t="shared" si="168"/>
        <v>55.180306805005742</v>
      </c>
    </row>
    <row r="185" spans="5:32">
      <c r="E185" s="3"/>
      <c r="V185" t="s">
        <v>116</v>
      </c>
      <c r="W185">
        <f>SUM(W163:W183)</f>
        <v>3969.8914908707761</v>
      </c>
      <c r="X185">
        <f t="shared" ref="X185:AF185" si="183">SUM(X163:X183)</f>
        <v>-461.59631680223021</v>
      </c>
      <c r="Y185">
        <f t="shared" si="183"/>
        <v>-2685.7985804923887</v>
      </c>
      <c r="Z185">
        <f t="shared" si="183"/>
        <v>-79.617411284145788</v>
      </c>
      <c r="AA185">
        <f t="shared" si="183"/>
        <v>742.87918229201216</v>
      </c>
      <c r="AB185">
        <f t="shared" si="183"/>
        <v>-606.53063962614362</v>
      </c>
      <c r="AC185">
        <f t="shared" si="183"/>
        <v>744.55222630690378</v>
      </c>
      <c r="AD185">
        <f t="shared" si="183"/>
        <v>880.90076897277277</v>
      </c>
      <c r="AE185">
        <f t="shared" si="183"/>
        <v>0</v>
      </c>
      <c r="AF185">
        <f t="shared" si="183"/>
        <v>880.90076897277277</v>
      </c>
    </row>
    <row r="186" spans="5:32">
      <c r="V186" t="str">
        <f>"PV at "&amp;$B$10</f>
        <v>PV at 0.055</v>
      </c>
      <c r="W186">
        <f>W163+NPV($B$10,W164:W183)</f>
        <v>2752.2607269990167</v>
      </c>
      <c r="X186">
        <f t="shared" ref="X186:AF186" si="184">X163+NPV($B$10,X164:X183)</f>
        <v>-400.71477860864218</v>
      </c>
      <c r="Y186">
        <f t="shared" si="184"/>
        <v>-1880.6143804913577</v>
      </c>
      <c r="Z186">
        <f t="shared" si="184"/>
        <v>-47.634196113130926</v>
      </c>
      <c r="AA186">
        <f t="shared" si="184"/>
        <v>423.29737178588636</v>
      </c>
      <c r="AB186">
        <f t="shared" si="184"/>
        <v>-759.02949430491344</v>
      </c>
      <c r="AC186">
        <f t="shared" si="184"/>
        <v>518.25427300115712</v>
      </c>
      <c r="AD186">
        <f t="shared" si="184"/>
        <v>182.52215048212975</v>
      </c>
      <c r="AE186">
        <f t="shared" si="184"/>
        <v>-8.9021761318327712</v>
      </c>
      <c r="AF186">
        <f t="shared" si="184"/>
        <v>173.6199743502973</v>
      </c>
    </row>
    <row r="187" spans="5:32">
      <c r="V187" t="str">
        <f>"PV at "&amp;$B$11</f>
        <v>PV at 0.0738</v>
      </c>
      <c r="W187">
        <f>W163+NPV($B$11,W164:W183)</f>
        <v>2474.9535446367554</v>
      </c>
      <c r="X187">
        <f t="shared" ref="X187:AF187" si="185">X163+NPV($B$11,X164:X183)</f>
        <v>-386.84941949052904</v>
      </c>
      <c r="Y187">
        <f t="shared" si="185"/>
        <v>-1697.9980851554083</v>
      </c>
      <c r="Z187">
        <f t="shared" si="185"/>
        <v>-40.937393460331798</v>
      </c>
      <c r="AA187">
        <f t="shared" si="185"/>
        <v>349.16864653048623</v>
      </c>
      <c r="AB187">
        <f t="shared" si="185"/>
        <v>-789.41294547695998</v>
      </c>
      <c r="AC187">
        <f t="shared" si="185"/>
        <v>466.03579016475175</v>
      </c>
      <c r="AD187">
        <f t="shared" si="185"/>
        <v>25.791491218278225</v>
      </c>
      <c r="AE187">
        <f t="shared" si="185"/>
        <v>-10.684177708539433</v>
      </c>
      <c r="AF187">
        <f t="shared" si="185"/>
        <v>15.10731350973856</v>
      </c>
    </row>
    <row r="189" spans="5:32">
      <c r="V189" t="s">
        <v>117</v>
      </c>
      <c r="W189">
        <f>AD187</f>
        <v>25.791491218278225</v>
      </c>
    </row>
    <row r="190" spans="5:32">
      <c r="V190" t="s">
        <v>118</v>
      </c>
      <c r="W190">
        <f>AF187</f>
        <v>15.10731350973856</v>
      </c>
    </row>
  </sheetData>
  <pageMargins left="0.7" right="0.7" top="0.75" bottom="0.75" header="0.3" footer="0.3"/>
  <pageSetup paperSize="9" orientation="portrait" horizontalDpi="0" verticalDpi="0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743EF0D-23C6-495E-9D4C-26D536E915A9}">
          <x14:formula1>
            <xm:f>Mortality_Table!$E$2:$G$2</xm:f>
          </x14:formula1>
          <xm:sqref>J1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8ED74F-71DD-47F1-AC65-76C16F94E72E}">
  <sheetPr codeName="Sheet5">
    <tabColor theme="1" tint="0.249977111117893"/>
  </sheetPr>
  <dimension ref="A1"/>
  <sheetViews>
    <sheetView workbookViewId="0"/>
  </sheetViews>
  <sheetFormatPr defaultColWidth="8.8554687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681EB-6E9B-49A3-9AD2-5CBD4FFC7B1D}">
  <sheetPr codeName="Sheet6"/>
  <dimension ref="A1:AK527"/>
  <sheetViews>
    <sheetView workbookViewId="0">
      <pane ySplit="8" topLeftCell="A9" activePane="bottomLeft" state="frozen"/>
      <selection pane="bottomLeft" activeCell="D24" sqref="D24"/>
    </sheetView>
  </sheetViews>
  <sheetFormatPr defaultColWidth="8.85546875" defaultRowHeight="15"/>
  <cols>
    <col min="1" max="1" width="55" customWidth="1"/>
    <col min="2" max="7" width="18.28515625" customWidth="1"/>
    <col min="9" max="9" width="17.42578125" bestFit="1" customWidth="1"/>
    <col min="22" max="22" width="9.28515625" bestFit="1" customWidth="1"/>
  </cols>
  <sheetData>
    <row r="1" spans="1:37">
      <c r="A1" s="14" t="s">
        <v>119</v>
      </c>
      <c r="B1" s="15"/>
      <c r="C1" s="15"/>
      <c r="D1" s="15"/>
      <c r="E1" s="15"/>
      <c r="F1" s="15"/>
      <c r="G1" s="16"/>
      <c r="I1" s="4" t="s">
        <v>59</v>
      </c>
      <c r="J1" t="s">
        <v>7</v>
      </c>
    </row>
    <row r="2" spans="1:37">
      <c r="A2" s="9" t="s">
        <v>42</v>
      </c>
      <c r="B2" s="17">
        <f>B10</f>
        <v>50000</v>
      </c>
      <c r="C2" s="17">
        <f>B97</f>
        <v>100000</v>
      </c>
      <c r="D2" s="17">
        <f>B184</f>
        <v>250000</v>
      </c>
      <c r="E2" s="17">
        <f>B271</f>
        <v>500000</v>
      </c>
      <c r="F2" s="17">
        <f>B358</f>
        <v>1000000</v>
      </c>
      <c r="G2" s="17">
        <f>B445</f>
        <v>2000000</v>
      </c>
    </row>
    <row r="3" spans="1:37">
      <c r="A3" s="9" t="s">
        <v>60</v>
      </c>
      <c r="B3" s="17">
        <f>B9</f>
        <v>6375.791229915978</v>
      </c>
      <c r="C3" s="17">
        <f>B96</f>
        <v>10830.390874328761</v>
      </c>
      <c r="D3" s="17">
        <f>B183</f>
        <v>24194.190074203769</v>
      </c>
      <c r="E3" s="17">
        <f>B270</f>
        <v>46467.188562932111</v>
      </c>
      <c r="F3" s="17">
        <f>B357</f>
        <v>91013.185540388804</v>
      </c>
      <c r="G3" s="17">
        <f>B444</f>
        <v>180105.17736201436</v>
      </c>
    </row>
    <row r="4" spans="1:37">
      <c r="A4" s="9" t="s">
        <v>44</v>
      </c>
      <c r="B4" s="18">
        <f>AC89</f>
        <v>47.974598653167959</v>
      </c>
      <c r="C4" s="18">
        <f>AC176</f>
        <v>95.974200487828057</v>
      </c>
      <c r="D4" s="18">
        <f>AC263</f>
        <v>239.97324596480939</v>
      </c>
      <c r="E4" s="18">
        <f>AC350</f>
        <v>479.97149513609111</v>
      </c>
      <c r="F4" s="18">
        <f>AC437</f>
        <v>959.96799347869091</v>
      </c>
      <c r="G4" s="18">
        <f>AC524</f>
        <v>1919.9590702048736</v>
      </c>
    </row>
    <row r="5" spans="1:37">
      <c r="A5" t="s">
        <v>120</v>
      </c>
    </row>
    <row r="6" spans="1:37">
      <c r="AH6" s="19">
        <f>AH$10+NPV($B18,AH$11:AH$84)</f>
        <v>19.425327919675798</v>
      </c>
      <c r="AI6" s="19">
        <f>NPV($B18,AI$10:AI$84)</f>
        <v>0.25287200301766222</v>
      </c>
      <c r="AJ6" s="19">
        <f>0.85*AI6*1000/AH6</f>
        <v>11.064997381449619</v>
      </c>
      <c r="AK6" s="19"/>
    </row>
    <row r="7" spans="1:37">
      <c r="A7" s="4" t="str">
        <f>"Base Assumptions for "&amp;B10&amp;" Death benefit (M,NS,44,Moderate)"</f>
        <v>Base Assumptions for 50000 Death benefit (M,NS,44,Moderate)</v>
      </c>
      <c r="E7" s="8" t="s">
        <v>61</v>
      </c>
      <c r="F7" s="8"/>
      <c r="G7" s="8"/>
      <c r="H7" s="8"/>
      <c r="I7" s="8"/>
      <c r="J7" s="8"/>
      <c r="K7" s="8"/>
      <c r="L7" s="8"/>
      <c r="M7" s="8"/>
      <c r="N7" s="9" t="s">
        <v>62</v>
      </c>
      <c r="O7" s="9"/>
      <c r="P7" s="9"/>
      <c r="Q7" s="9"/>
      <c r="R7" s="10" t="s">
        <v>63</v>
      </c>
      <c r="S7" s="10"/>
      <c r="T7" s="10"/>
      <c r="U7" s="11"/>
      <c r="V7" s="48" t="s">
        <v>64</v>
      </c>
      <c r="W7" s="48" t="s">
        <v>65</v>
      </c>
      <c r="X7" s="48" t="s">
        <v>66</v>
      </c>
      <c r="Y7" s="48" t="s">
        <v>121</v>
      </c>
      <c r="Z7" s="48"/>
      <c r="AA7" s="48" t="s">
        <v>68</v>
      </c>
      <c r="AB7" s="48" t="s">
        <v>69</v>
      </c>
      <c r="AC7" s="48" t="s">
        <v>70</v>
      </c>
      <c r="AD7" s="48" t="s">
        <v>71</v>
      </c>
      <c r="AE7" s="48" t="s">
        <v>72</v>
      </c>
      <c r="AH7" s="19">
        <f>AH$10+NPV($B19,AH$11:AH$84)</f>
        <v>15.162401945159818</v>
      </c>
      <c r="AI7" s="19">
        <f>NPV($B19,AI$10:AI$84)</f>
        <v>0.14175083327565052</v>
      </c>
      <c r="AJ7" s="19">
        <f>1.05*AI7*1000/(AH7-1)</f>
        <v>10.509401972615279</v>
      </c>
      <c r="AK7" s="19"/>
    </row>
    <row r="8" spans="1:37" ht="42.95">
      <c r="E8" t="s">
        <v>73</v>
      </c>
      <c r="F8" s="19" t="s">
        <v>60</v>
      </c>
      <c r="G8" s="19" t="s">
        <v>74</v>
      </c>
      <c r="H8" s="19" t="s">
        <v>46</v>
      </c>
      <c r="I8" s="1" t="s">
        <v>75</v>
      </c>
      <c r="J8" s="1" t="s">
        <v>122</v>
      </c>
      <c r="K8" s="1" t="s">
        <v>76</v>
      </c>
      <c r="L8" s="1" t="s">
        <v>123</v>
      </c>
      <c r="M8" s="1" t="s">
        <v>77</v>
      </c>
      <c r="N8" s="1" t="s">
        <v>79</v>
      </c>
      <c r="O8" s="1" t="s">
        <v>81</v>
      </c>
      <c r="P8" s="1" t="s">
        <v>82</v>
      </c>
      <c r="Q8" s="1" t="s">
        <v>84</v>
      </c>
      <c r="R8" s="1" t="s">
        <v>85</v>
      </c>
      <c r="S8" s="1" t="s">
        <v>86</v>
      </c>
      <c r="T8" s="1" t="s">
        <v>87</v>
      </c>
      <c r="U8" s="1" t="s">
        <v>88</v>
      </c>
      <c r="V8" s="1" t="s">
        <v>89</v>
      </c>
      <c r="W8" s="1" t="s">
        <v>90</v>
      </c>
      <c r="X8" s="1" t="s">
        <v>91</v>
      </c>
      <c r="Y8" s="1" t="s">
        <v>124</v>
      </c>
      <c r="Z8" s="1" t="s">
        <v>93</v>
      </c>
      <c r="AA8" s="1" t="s">
        <v>94</v>
      </c>
      <c r="AB8" s="1" t="s">
        <v>95</v>
      </c>
      <c r="AC8" s="1" t="s">
        <v>44</v>
      </c>
      <c r="AD8" s="1" t="s">
        <v>96</v>
      </c>
      <c r="AE8" s="1" t="s">
        <v>97</v>
      </c>
      <c r="AG8" s="19" t="s">
        <v>73</v>
      </c>
      <c r="AH8" s="19" t="s">
        <v>125</v>
      </c>
      <c r="AI8" s="19" t="s">
        <v>82</v>
      </c>
      <c r="AJ8" s="19" t="s">
        <v>77</v>
      </c>
      <c r="AK8" s="19" t="s">
        <v>126</v>
      </c>
    </row>
    <row r="9" spans="1:37">
      <c r="A9" t="s">
        <v>60</v>
      </c>
      <c r="B9" s="12">
        <v>6375.791229915978</v>
      </c>
      <c r="E9">
        <v>0</v>
      </c>
      <c r="F9" s="13">
        <f>$B$9</f>
        <v>6375.791229915978</v>
      </c>
      <c r="G9" s="13">
        <f>F9*$B$14</f>
        <v>637.57912299159784</v>
      </c>
      <c r="H9" s="13">
        <f>$B$16</f>
        <v>269.70000000000005</v>
      </c>
      <c r="I9" s="13">
        <f t="shared" ref="I9:I40" si="0">$B$10</f>
        <v>50000</v>
      </c>
      <c r="J9" s="13">
        <f>AK9</f>
        <v>0</v>
      </c>
      <c r="K9" s="5">
        <f>AJ9</f>
        <v>37.930999999999997</v>
      </c>
      <c r="L9" s="21">
        <f>I9*J9/1000</f>
        <v>0</v>
      </c>
      <c r="M9">
        <f>I9*K9/1000</f>
        <v>1896.5499999999997</v>
      </c>
      <c r="O9">
        <v>1</v>
      </c>
      <c r="Q9">
        <f t="shared" ref="Q9:Q29" si="1">O9-SUM(P9:P9)</f>
        <v>1</v>
      </c>
      <c r="T9">
        <f>M9*Q9</f>
        <v>1896.5499999999997</v>
      </c>
      <c r="U9" s="22">
        <f t="shared" ref="U9:U40" si="2">$B$11*I9*Q9</f>
        <v>500</v>
      </c>
      <c r="V9" s="1">
        <f>$O9*F9</f>
        <v>6375.791229915978</v>
      </c>
      <c r="W9" s="1">
        <f>-$O9*G9</f>
        <v>-637.57912299159784</v>
      </c>
      <c r="X9" s="1">
        <f>-$O9*H9</f>
        <v>-269.70000000000005</v>
      </c>
      <c r="Y9" s="1"/>
      <c r="Z9" s="1">
        <f>SUM(V9:Y9)</f>
        <v>5468.5121069243805</v>
      </c>
      <c r="AA9" s="1">
        <f>R9-T9</f>
        <v>-1896.5499999999997</v>
      </c>
      <c r="AB9" s="1"/>
      <c r="AC9" s="1">
        <f>SUM(Z9:AB9)</f>
        <v>3571.9621069243808</v>
      </c>
      <c r="AD9" s="1">
        <f>S9-U9</f>
        <v>-500</v>
      </c>
      <c r="AE9">
        <f>SUM(AC9:AD9)</f>
        <v>3071.9621069243808</v>
      </c>
      <c r="AG9" s="19">
        <v>0</v>
      </c>
      <c r="AH9" s="19">
        <v>1</v>
      </c>
      <c r="AI9" s="19" t="s">
        <v>127</v>
      </c>
      <c r="AJ9" s="19">
        <f>ROUND((1000*NPV($B$18,$AI10:$AI$85)-$AJ$6*($AH10+NPV($B$18,$AH11:$AH$85)))/AH10,3)</f>
        <v>37.930999999999997</v>
      </c>
      <c r="AK9" s="19">
        <f>ROUND(MAX(0,1000*NPV($B$19,$AI10:$AI$84)-$AJ$7*($AH10+NPV($B$19,$AH11:$AH$84)))/AH10,3)</f>
        <v>0</v>
      </c>
    </row>
    <row r="10" spans="1:37">
      <c r="A10" t="s">
        <v>98</v>
      </c>
      <c r="B10" s="12">
        <v>50000</v>
      </c>
      <c r="E10">
        <v>1</v>
      </c>
      <c r="I10" s="13">
        <f t="shared" si="0"/>
        <v>50000</v>
      </c>
      <c r="J10" s="13">
        <f t="shared" ref="J10:J73" si="3">AK10</f>
        <v>0</v>
      </c>
      <c r="K10" s="5">
        <f t="shared" ref="K10:K73" si="4">AJ10</f>
        <v>49.417000000000002</v>
      </c>
      <c r="L10" s="21">
        <f t="shared" ref="L10:L73" si="5">I10*J10/1000</f>
        <v>0</v>
      </c>
      <c r="M10">
        <f t="shared" ref="M10:M73" si="6">I10*K10/1000</f>
        <v>2470.85</v>
      </c>
      <c r="N10" cm="1">
        <f t="array" ref="N10">_xlfn.IFS($J$1="Base Case After Incentive",Mortality_Table!E47,$J$1="Lower Bound Mortality After Incentive",Mortality_Table!F47,$J$1="Upper Bound Mortality After Incentive",Mortality_Table!G47)</f>
        <v>1.6188954599999999E-3</v>
      </c>
      <c r="O10">
        <f>Q9</f>
        <v>1</v>
      </c>
      <c r="P10">
        <f t="shared" ref="P10:P29" si="7">N10*O10/1000</f>
        <v>1.6188954599999999E-6</v>
      </c>
      <c r="Q10">
        <f t="shared" si="1"/>
        <v>0.99999838110453998</v>
      </c>
      <c r="R10">
        <f>T9</f>
        <v>1896.5499999999997</v>
      </c>
      <c r="S10">
        <f>U9</f>
        <v>500</v>
      </c>
      <c r="T10">
        <f t="shared" ref="T10:T73" si="8">M10*Q10</f>
        <v>2470.8459999521524</v>
      </c>
      <c r="U10" s="22">
        <f t="shared" si="2"/>
        <v>499.99919055226997</v>
      </c>
      <c r="V10" s="1">
        <f t="shared" ref="V10:V73" si="9">$O10*F10</f>
        <v>0</v>
      </c>
      <c r="W10" s="1">
        <f t="shared" ref="W10:W73" si="10">-$O10*G10</f>
        <v>0</v>
      </c>
      <c r="X10" s="1">
        <f t="shared" ref="X10:X73" si="11">-$O10*H10</f>
        <v>0</v>
      </c>
      <c r="Y10" s="1">
        <f>-P10*I10</f>
        <v>-8.0944772999999998E-2</v>
      </c>
      <c r="Z10" s="1">
        <f t="shared" ref="Z10:Z73" si="12">SUM(V10:Y10)</f>
        <v>-8.0944772999999998E-2</v>
      </c>
      <c r="AA10" s="1">
        <f t="shared" ref="AA10:AA73" si="13">R10-T10</f>
        <v>-574.29599995215267</v>
      </c>
      <c r="AB10" s="1">
        <f t="shared" ref="AB10:AB41" si="14">$B$12*SUM(R10:S10,V10:W10)</f>
        <v>131.81025</v>
      </c>
      <c r="AC10" s="1">
        <f t="shared" ref="AC10:AC73" si="15">SUM(Z10:AB10)</f>
        <v>-442.56669472515273</v>
      </c>
      <c r="AD10" s="1">
        <f t="shared" ref="AD10:AD73" si="16">S10-U10</f>
        <v>8.0944773003466253E-4</v>
      </c>
      <c r="AE10">
        <f t="shared" ref="AE10:AE73" si="17">SUM(AC10:AD10)</f>
        <v>-442.56588527742269</v>
      </c>
      <c r="AG10" s="19">
        <v>1</v>
      </c>
      <c r="AH10" s="19">
        <v>1</v>
      </c>
      <c r="AI10" s="19">
        <f t="shared" ref="AI10:AI41" si="18">N10*AH10</f>
        <v>1.6188954599999999E-3</v>
      </c>
      <c r="AJ10" s="19">
        <f>ROUND((1000*NPV($B$18,$AI11:$AI$85)-$AJ$6*($AH11+NPV($B$18,$AH12:$AH$85)))/AH11,3)</f>
        <v>49.417000000000002</v>
      </c>
      <c r="AK10" s="19">
        <f>ROUND(MAX(0,1000*NPV($B$19,$AI11:$AI$84)-$AJ$7*($AH11+NPV($B$19,$AH12:$AH$84)))/AH11,3)</f>
        <v>0</v>
      </c>
    </row>
    <row r="11" spans="1:37">
      <c r="A11" t="s">
        <v>99</v>
      </c>
      <c r="B11" s="5">
        <v>0.01</v>
      </c>
      <c r="E11">
        <v>2</v>
      </c>
      <c r="F11" s="13"/>
      <c r="G11" s="13">
        <f t="shared" ref="G11:G42" si="19">F11*$B$15</f>
        <v>0</v>
      </c>
      <c r="H11" s="13">
        <f t="shared" ref="H11:H42" si="20">$B$17</f>
        <v>196.20000000000002</v>
      </c>
      <c r="I11" s="13">
        <f t="shared" si="0"/>
        <v>50000</v>
      </c>
      <c r="J11" s="13">
        <f t="shared" si="3"/>
        <v>0</v>
      </c>
      <c r="K11" s="5">
        <f t="shared" si="4"/>
        <v>61.253</v>
      </c>
      <c r="L11" s="21">
        <f t="shared" si="5"/>
        <v>0</v>
      </c>
      <c r="M11">
        <f t="shared" si="6"/>
        <v>3062.65</v>
      </c>
      <c r="N11" cm="1">
        <f t="array" ref="N11">_xlfn.IFS($J$1="Base Case After Incentive",Mortality_Table!E48,$J$1="Lower Bound Mortality After Incentive",Mortality_Table!F48,$J$1="Upper Bound Mortality After Incentive",Mortality_Table!G48)</f>
        <v>1.7557649200000002E-3</v>
      </c>
      <c r="O11">
        <f t="shared" ref="O11:O29" si="21">Q10</f>
        <v>0.99999838110453998</v>
      </c>
      <c r="P11">
        <f t="shared" si="7"/>
        <v>1.7557620776001423E-6</v>
      </c>
      <c r="Q11">
        <f t="shared" si="1"/>
        <v>0.99999662534246236</v>
      </c>
      <c r="R11">
        <f t="shared" ref="R11:S29" si="22">T10</f>
        <v>2470.8459999521524</v>
      </c>
      <c r="S11">
        <f t="shared" si="22"/>
        <v>499.99919055226997</v>
      </c>
      <c r="T11">
        <f t="shared" si="8"/>
        <v>3062.6396646050925</v>
      </c>
      <c r="U11" s="22">
        <f t="shared" si="2"/>
        <v>499.99831267123119</v>
      </c>
      <c r="V11" s="1">
        <f t="shared" si="9"/>
        <v>0</v>
      </c>
      <c r="W11" s="1">
        <f t="shared" si="10"/>
        <v>0</v>
      </c>
      <c r="X11" s="1">
        <f t="shared" si="11"/>
        <v>-196.19968237271075</v>
      </c>
      <c r="Y11" s="1">
        <f t="shared" ref="Y11:Y74" si="23">-P11*I11</f>
        <v>-8.7788103880007115E-2</v>
      </c>
      <c r="Z11" s="1">
        <f t="shared" si="12"/>
        <v>-196.28747047659076</v>
      </c>
      <c r="AA11" s="1">
        <f t="shared" si="13"/>
        <v>-591.79366465294015</v>
      </c>
      <c r="AB11" s="1">
        <f t="shared" si="14"/>
        <v>163.39648547774323</v>
      </c>
      <c r="AC11" s="1">
        <f t="shared" si="15"/>
        <v>-624.68464965178771</v>
      </c>
      <c r="AD11" s="1">
        <f t="shared" si="16"/>
        <v>8.7788103877528556E-4</v>
      </c>
      <c r="AE11">
        <f t="shared" si="17"/>
        <v>-624.68377177074899</v>
      </c>
      <c r="AG11" s="19">
        <v>2</v>
      </c>
      <c r="AH11" s="19">
        <f>AH10-AI10</f>
        <v>0.99838110453999995</v>
      </c>
      <c r="AI11" s="19">
        <f t="shared" si="18"/>
        <v>1.7529225201421848E-3</v>
      </c>
      <c r="AJ11" s="19">
        <f>ROUND((1000*NPV($B$18,$AI12:$AI$85)-$AJ$6*($AH12+NPV($B$18,$AH13:$AH$85)))/AH12,3)</f>
        <v>61.253</v>
      </c>
      <c r="AK11" s="19">
        <f>ROUND(MAX(0,1000*NPV($B$19,$AI12:$AI$84)-$AJ$7*($AH12+NPV($B$19,$AH13:$AH$84)))/AH12,3)</f>
        <v>0</v>
      </c>
    </row>
    <row r="12" spans="1:37">
      <c r="A12" t="s">
        <v>100</v>
      </c>
      <c r="B12" s="6">
        <v>5.5E-2</v>
      </c>
      <c r="E12">
        <v>3</v>
      </c>
      <c r="F12" s="13"/>
      <c r="G12" s="13">
        <f t="shared" si="19"/>
        <v>0</v>
      </c>
      <c r="H12" s="13">
        <f t="shared" si="20"/>
        <v>196.20000000000002</v>
      </c>
      <c r="I12" s="13">
        <f t="shared" si="0"/>
        <v>50000</v>
      </c>
      <c r="J12" s="13">
        <f t="shared" si="3"/>
        <v>8.91</v>
      </c>
      <c r="K12" s="5">
        <f t="shared" si="4"/>
        <v>73.433999999999997</v>
      </c>
      <c r="L12" s="21">
        <f t="shared" si="5"/>
        <v>445.5</v>
      </c>
      <c r="M12">
        <f t="shared" si="6"/>
        <v>3671.7</v>
      </c>
      <c r="N12" cm="1">
        <f t="array" ref="N12">_xlfn.IFS($J$1="Base Case After Incentive",Mortality_Table!E49,$J$1="Lower Bound Mortality After Incentive",Mortality_Table!F49,$J$1="Upper Bound Mortality After Incentive",Mortality_Table!G49)</f>
        <v>1.9170442199999999E-3</v>
      </c>
      <c r="O12">
        <f t="shared" si="21"/>
        <v>0.99999662534246236</v>
      </c>
      <c r="P12">
        <f t="shared" si="7"/>
        <v>1.9170377506322728E-6</v>
      </c>
      <c r="Q12">
        <f t="shared" si="1"/>
        <v>0.99999470830471171</v>
      </c>
      <c r="R12">
        <f t="shared" si="22"/>
        <v>3062.6396646050925</v>
      </c>
      <c r="S12">
        <f t="shared" si="22"/>
        <v>499.99831267123119</v>
      </c>
      <c r="T12">
        <f t="shared" si="8"/>
        <v>3671.6805704824096</v>
      </c>
      <c r="U12" s="22">
        <f t="shared" si="2"/>
        <v>499.99735415235585</v>
      </c>
      <c r="V12" s="1">
        <f t="shared" si="9"/>
        <v>0</v>
      </c>
      <c r="W12" s="1">
        <f t="shared" si="10"/>
        <v>0</v>
      </c>
      <c r="X12" s="1">
        <f t="shared" si="11"/>
        <v>-196.19933789219112</v>
      </c>
      <c r="Y12" s="1">
        <f t="shared" si="23"/>
        <v>-9.5851887531613639E-2</v>
      </c>
      <c r="Z12" s="1">
        <f t="shared" si="12"/>
        <v>-196.29518977972273</v>
      </c>
      <c r="AA12" s="1">
        <f t="shared" si="13"/>
        <v>-609.04090587731707</v>
      </c>
      <c r="AB12" s="1">
        <f t="shared" si="14"/>
        <v>195.94508875019781</v>
      </c>
      <c r="AC12" s="1">
        <f t="shared" si="15"/>
        <v>-609.39100690684199</v>
      </c>
      <c r="AD12" s="1">
        <f t="shared" si="16"/>
        <v>9.5851887533626723E-4</v>
      </c>
      <c r="AE12">
        <f t="shared" si="17"/>
        <v>-609.39004838796666</v>
      </c>
      <c r="AG12" s="19">
        <v>3</v>
      </c>
      <c r="AH12" s="19">
        <f t="shared" ref="AH12:AH75" si="24">AH11-AI11</f>
        <v>0.99662818201985781</v>
      </c>
      <c r="AI12" s="19">
        <f t="shared" si="18"/>
        <v>1.9105802958302763E-3</v>
      </c>
      <c r="AJ12" s="19">
        <f>ROUND((1000*NPV($B$18,$AI13:$AI$85)-$AJ$6*($AH13+NPV($B$18,$AH14:$AH$85)))/AH13,3)</f>
        <v>73.433999999999997</v>
      </c>
      <c r="AK12" s="19">
        <f>ROUND(MAX(0,1000*NPV($B$19,$AI13:$AI$84)-$AJ$7*($AH13+NPV($B$19,$AH14:$AH$84)))/AH13,3)</f>
        <v>8.91</v>
      </c>
    </row>
    <row r="13" spans="1:37">
      <c r="A13" t="s">
        <v>101</v>
      </c>
      <c r="B13" s="7">
        <v>0.12</v>
      </c>
      <c r="E13">
        <v>4</v>
      </c>
      <c r="F13" s="13"/>
      <c r="G13" s="13">
        <f t="shared" si="19"/>
        <v>0</v>
      </c>
      <c r="H13" s="13">
        <f t="shared" si="20"/>
        <v>196.20000000000002</v>
      </c>
      <c r="I13" s="13">
        <f t="shared" si="0"/>
        <v>50000</v>
      </c>
      <c r="J13" s="13">
        <f t="shared" si="3"/>
        <v>18.521000000000001</v>
      </c>
      <c r="K13" s="5">
        <f t="shared" si="4"/>
        <v>85.957999999999998</v>
      </c>
      <c r="L13" s="21">
        <f t="shared" si="5"/>
        <v>926.05</v>
      </c>
      <c r="M13">
        <f t="shared" si="6"/>
        <v>4297.8999999999996</v>
      </c>
      <c r="N13" cm="1">
        <f t="array" ref="N13">_xlfn.IFS($J$1="Base Case After Incentive",Mortality_Table!E50,$J$1="Lower Bound Mortality After Incentive",Mortality_Table!F50,$J$1="Upper Bound Mortality After Incentive",Mortality_Table!G50)</f>
        <v>2.1018615799999999E-3</v>
      </c>
      <c r="O13">
        <f t="shared" si="21"/>
        <v>0.99999470830471171</v>
      </c>
      <c r="P13">
        <f t="shared" si="7"/>
        <v>2.1018504575889805E-6</v>
      </c>
      <c r="Q13">
        <f t="shared" si="1"/>
        <v>0.99999260645425414</v>
      </c>
      <c r="R13">
        <f t="shared" si="22"/>
        <v>3671.6805704824096</v>
      </c>
      <c r="S13">
        <f t="shared" si="22"/>
        <v>499.99735415235585</v>
      </c>
      <c r="T13">
        <f t="shared" si="8"/>
        <v>4297.8682232797382</v>
      </c>
      <c r="U13" s="22">
        <f t="shared" si="2"/>
        <v>499.99630322712704</v>
      </c>
      <c r="V13" s="1">
        <f t="shared" si="9"/>
        <v>0</v>
      </c>
      <c r="W13" s="1">
        <f t="shared" si="10"/>
        <v>0</v>
      </c>
      <c r="X13" s="1">
        <f t="shared" si="11"/>
        <v>-196.19896176938445</v>
      </c>
      <c r="Y13" s="1">
        <f t="shared" si="23"/>
        <v>-0.10509252287944902</v>
      </c>
      <c r="Z13" s="1">
        <f t="shared" si="12"/>
        <v>-196.30405429226391</v>
      </c>
      <c r="AA13" s="1">
        <f t="shared" si="13"/>
        <v>-626.18765279732861</v>
      </c>
      <c r="AB13" s="1">
        <f t="shared" si="14"/>
        <v>229.44228585491209</v>
      </c>
      <c r="AC13" s="1">
        <f t="shared" si="15"/>
        <v>-593.04942123468049</v>
      </c>
      <c r="AD13" s="1">
        <f t="shared" si="16"/>
        <v>1.0509252288102289E-3</v>
      </c>
      <c r="AE13">
        <f t="shared" si="17"/>
        <v>-593.04837030945168</v>
      </c>
      <c r="AG13" s="19">
        <v>4</v>
      </c>
      <c r="AH13" s="19">
        <f t="shared" si="24"/>
        <v>0.99471760172402757</v>
      </c>
      <c r="AI13" s="19">
        <f t="shared" si="18"/>
        <v>2.0907587100134749E-3</v>
      </c>
      <c r="AJ13" s="19">
        <f>ROUND((1000*NPV($B$18,$AI14:$AI$85)-$AJ$6*($AH14+NPV($B$18,$AH15:$AH$85)))/AH14,3)</f>
        <v>85.957999999999998</v>
      </c>
      <c r="AK13" s="19">
        <f>ROUND(MAX(0,1000*NPV($B$19,$AI14:$AI$84)-$AJ$7*($AH14+NPV($B$19,$AH15:$AH$84)))/AH14,3)</f>
        <v>18.521000000000001</v>
      </c>
    </row>
    <row r="14" spans="1:37">
      <c r="A14" t="s">
        <v>107</v>
      </c>
      <c r="B14" s="7">
        <v>0.1</v>
      </c>
      <c r="E14">
        <v>5</v>
      </c>
      <c r="F14" s="13"/>
      <c r="G14" s="13">
        <f t="shared" si="19"/>
        <v>0</v>
      </c>
      <c r="H14" s="13">
        <f t="shared" si="20"/>
        <v>196.20000000000002</v>
      </c>
      <c r="I14" s="13">
        <f t="shared" si="0"/>
        <v>50000</v>
      </c>
      <c r="J14" s="13">
        <f t="shared" si="3"/>
        <v>28.541</v>
      </c>
      <c r="K14" s="5">
        <f t="shared" si="4"/>
        <v>98.834000000000003</v>
      </c>
      <c r="L14" s="21">
        <f t="shared" si="5"/>
        <v>1427.05</v>
      </c>
      <c r="M14">
        <f t="shared" si="6"/>
        <v>4941.7</v>
      </c>
      <c r="N14" cm="1">
        <f t="array" ref="N14">_xlfn.IFS($J$1="Base Case After Incentive",Mortality_Table!E51,$J$1="Lower Bound Mortality After Incentive",Mortality_Table!F51,$J$1="Upper Bound Mortality After Incentive",Mortality_Table!G51)</f>
        <v>2.2971403000000001E-3</v>
      </c>
      <c r="O14">
        <f t="shared" si="21"/>
        <v>0.99999260645425414</v>
      </c>
      <c r="P14">
        <f t="shared" si="7"/>
        <v>2.2971233159881075E-6</v>
      </c>
      <c r="Q14">
        <f t="shared" si="1"/>
        <v>0.99999030933093813</v>
      </c>
      <c r="R14">
        <f t="shared" si="22"/>
        <v>4297.8682232797382</v>
      </c>
      <c r="S14">
        <f t="shared" si="22"/>
        <v>499.99630322712704</v>
      </c>
      <c r="T14">
        <f t="shared" si="8"/>
        <v>4941.6521116206968</v>
      </c>
      <c r="U14" s="22">
        <f t="shared" si="2"/>
        <v>499.99515466546904</v>
      </c>
      <c r="V14" s="1">
        <f t="shared" si="9"/>
        <v>0</v>
      </c>
      <c r="W14" s="1">
        <f t="shared" si="10"/>
        <v>0</v>
      </c>
      <c r="X14" s="1">
        <f t="shared" si="11"/>
        <v>-196.19854938632469</v>
      </c>
      <c r="Y14" s="1">
        <f t="shared" si="23"/>
        <v>-0.11485616579940537</v>
      </c>
      <c r="Z14" s="1">
        <f t="shared" si="12"/>
        <v>-196.3134055521241</v>
      </c>
      <c r="AA14" s="1">
        <f t="shared" si="13"/>
        <v>-643.78388834095858</v>
      </c>
      <c r="AB14" s="1">
        <f t="shared" si="14"/>
        <v>263.88254895787759</v>
      </c>
      <c r="AC14" s="1">
        <f t="shared" si="15"/>
        <v>-576.21474493520509</v>
      </c>
      <c r="AD14" s="1">
        <f t="shared" si="16"/>
        <v>1.1485616579989255E-3</v>
      </c>
      <c r="AE14">
        <f t="shared" si="17"/>
        <v>-576.21359637354703</v>
      </c>
      <c r="AG14" s="19">
        <v>5</v>
      </c>
      <c r="AH14" s="19">
        <f t="shared" si="24"/>
        <v>0.99262684301401405</v>
      </c>
      <c r="AI14" s="19">
        <f t="shared" si="18"/>
        <v>2.2802031239492651E-3</v>
      </c>
      <c r="AJ14" s="19">
        <f>ROUND((1000*NPV($B$18,$AI15:$AI$85)-$AJ$6*($AH15+NPV($B$18,$AH16:$AH$85)))/AH15,3)</f>
        <v>98.834000000000003</v>
      </c>
      <c r="AK14" s="19">
        <f>ROUND(MAX(0,1000*NPV($B$19,$AI15:$AI$84)-$AJ$7*($AH15+NPV($B$19,$AH16:$AH$84)))/AH15,3)</f>
        <v>28.541</v>
      </c>
    </row>
    <row r="15" spans="1:37">
      <c r="A15" t="s">
        <v>108</v>
      </c>
      <c r="B15" s="7">
        <v>0</v>
      </c>
      <c r="E15">
        <v>6</v>
      </c>
      <c r="F15" s="13"/>
      <c r="G15" s="13">
        <f t="shared" si="19"/>
        <v>0</v>
      </c>
      <c r="H15" s="13">
        <f t="shared" si="20"/>
        <v>196.20000000000002</v>
      </c>
      <c r="I15" s="13">
        <f t="shared" si="0"/>
        <v>50000</v>
      </c>
      <c r="J15" s="13">
        <f t="shared" si="3"/>
        <v>38.979999999999997</v>
      </c>
      <c r="K15" s="5">
        <f t="shared" si="4"/>
        <v>112.065</v>
      </c>
      <c r="L15" s="21">
        <f t="shared" si="5"/>
        <v>1948.9999999999998</v>
      </c>
      <c r="M15" s="13">
        <f>I15*K15/1000</f>
        <v>5603.25</v>
      </c>
      <c r="N15" cm="1">
        <f t="array" ref="N15">_xlfn.IFS($J$1="Base Case After Incentive",Mortality_Table!E52,$J$1="Lower Bound Mortality After Incentive",Mortality_Table!F52,$J$1="Upper Bound Mortality After Incentive",Mortality_Table!G52)</f>
        <v>2.51159818E-3</v>
      </c>
      <c r="O15">
        <f t="shared" si="21"/>
        <v>0.99999030933093813</v>
      </c>
      <c r="P15">
        <f t="shared" si="7"/>
        <v>2.5115738409332209E-6</v>
      </c>
      <c r="Q15">
        <f t="shared" si="1"/>
        <v>0.99998779775709723</v>
      </c>
      <c r="R15">
        <f t="shared" si="22"/>
        <v>4941.6521116206968</v>
      </c>
      <c r="S15">
        <f t="shared" si="22"/>
        <v>499.99515466546904</v>
      </c>
      <c r="T15">
        <f t="shared" si="8"/>
        <v>5603.1816277824555</v>
      </c>
      <c r="U15" s="22">
        <f t="shared" si="2"/>
        <v>499.99389887854863</v>
      </c>
      <c r="V15" s="1">
        <f t="shared" si="9"/>
        <v>0</v>
      </c>
      <c r="W15" s="1">
        <f t="shared" si="10"/>
        <v>0</v>
      </c>
      <c r="X15" s="1">
        <f t="shared" si="11"/>
        <v>-196.19809869073009</v>
      </c>
      <c r="Y15" s="1">
        <f t="shared" si="23"/>
        <v>-0.12557869204666106</v>
      </c>
      <c r="Z15" s="1">
        <f t="shared" si="12"/>
        <v>-196.32367738277676</v>
      </c>
      <c r="AA15" s="1">
        <f t="shared" si="13"/>
        <v>-661.52951616175869</v>
      </c>
      <c r="AB15" s="1">
        <f t="shared" si="14"/>
        <v>299.29059964573912</v>
      </c>
      <c r="AC15" s="1">
        <f t="shared" si="15"/>
        <v>-558.56259389879631</v>
      </c>
      <c r="AD15" s="1">
        <f t="shared" si="16"/>
        <v>1.2557869204101735E-3</v>
      </c>
      <c r="AE15">
        <f t="shared" si="17"/>
        <v>-558.5613381118759</v>
      </c>
      <c r="AG15" s="19">
        <v>6</v>
      </c>
      <c r="AH15" s="19">
        <f t="shared" si="24"/>
        <v>0.99034663989006477</v>
      </c>
      <c r="AI15" s="19">
        <f t="shared" si="18"/>
        <v>2.4873528183170022E-3</v>
      </c>
      <c r="AJ15" s="19">
        <f>ROUND((1000*NPV($B$18,$AI16:$AI$85)-$AJ$6*($AH16+NPV($B$18,$AH17:$AH$85)))/AH16,3)</f>
        <v>112.065</v>
      </c>
      <c r="AK15" s="19">
        <f>ROUND(MAX(0,1000*NPV($B$19,$AI16:$AI$84)-$AJ$7*($AH16+NPV($B$19,$AH17:$AH$84)))/AH16,3)</f>
        <v>38.979999999999997</v>
      </c>
    </row>
    <row r="16" spans="1:37">
      <c r="A16" t="s">
        <v>109</v>
      </c>
      <c r="B16" s="12">
        <f>105*0.7+218*0.9</f>
        <v>269.70000000000005</v>
      </c>
      <c r="E16">
        <v>7</v>
      </c>
      <c r="F16" s="13"/>
      <c r="G16" s="13">
        <f t="shared" si="19"/>
        <v>0</v>
      </c>
      <c r="H16" s="13">
        <f t="shared" si="20"/>
        <v>196.20000000000002</v>
      </c>
      <c r="I16" s="13">
        <f t="shared" si="0"/>
        <v>50000</v>
      </c>
      <c r="J16" s="13">
        <f t="shared" si="3"/>
        <v>49.853000000000002</v>
      </c>
      <c r="K16" s="5">
        <f t="shared" si="4"/>
        <v>125.658</v>
      </c>
      <c r="L16" s="21">
        <f t="shared" si="5"/>
        <v>2492.65</v>
      </c>
      <c r="M16">
        <f t="shared" si="6"/>
        <v>6282.9</v>
      </c>
      <c r="N16" cm="1">
        <f t="array" ref="N16">_xlfn.IFS($J$1="Base Case After Incentive",Mortality_Table!E53,$J$1="Lower Bound Mortality After Incentive",Mortality_Table!F53,$J$1="Upper Bound Mortality After Incentive",Mortality_Table!G53)</f>
        <v>2.7417480999999996E-3</v>
      </c>
      <c r="O16">
        <f t="shared" si="21"/>
        <v>0.99998779775709723</v>
      </c>
      <c r="P16">
        <f t="shared" si="7"/>
        <v>2.7417146445237053E-6</v>
      </c>
      <c r="Q16">
        <f t="shared" si="1"/>
        <v>0.99998505604245269</v>
      </c>
      <c r="R16">
        <f t="shared" si="22"/>
        <v>5603.1816277824555</v>
      </c>
      <c r="S16">
        <f t="shared" si="22"/>
        <v>499.99389887854863</v>
      </c>
      <c r="T16">
        <f t="shared" si="8"/>
        <v>6282.8061086091257</v>
      </c>
      <c r="U16" s="22">
        <f t="shared" si="2"/>
        <v>499.99252802122635</v>
      </c>
      <c r="V16" s="1">
        <f t="shared" si="9"/>
        <v>0</v>
      </c>
      <c r="W16" s="1">
        <f t="shared" si="10"/>
        <v>0</v>
      </c>
      <c r="X16" s="1">
        <f t="shared" si="11"/>
        <v>-196.1976059199425</v>
      </c>
      <c r="Y16" s="1">
        <f t="shared" si="23"/>
        <v>-0.13708573222618528</v>
      </c>
      <c r="Z16" s="1">
        <f t="shared" si="12"/>
        <v>-196.33469165216869</v>
      </c>
      <c r="AA16" s="1">
        <f t="shared" si="13"/>
        <v>-679.62448082667015</v>
      </c>
      <c r="AB16" s="1">
        <f t="shared" si="14"/>
        <v>335.67465396635527</v>
      </c>
      <c r="AC16" s="1">
        <f t="shared" si="15"/>
        <v>-540.2845185124836</v>
      </c>
      <c r="AD16" s="1">
        <f t="shared" si="16"/>
        <v>1.3708573222857012E-3</v>
      </c>
      <c r="AE16">
        <f t="shared" si="17"/>
        <v>-540.28314765516132</v>
      </c>
      <c r="AG16" s="19">
        <v>7</v>
      </c>
      <c r="AH16" s="19">
        <f t="shared" si="24"/>
        <v>0.98785928707174775</v>
      </c>
      <c r="AI16" s="19">
        <f t="shared" si="18"/>
        <v>2.7084613233963185E-3</v>
      </c>
      <c r="AJ16" s="19">
        <f>ROUND((1000*NPV($B$18,$AI17:$AI$85)-$AJ$6*($AH17+NPV($B$18,$AH18:$AH$85)))/AH17,3)</f>
        <v>125.658</v>
      </c>
      <c r="AK16" s="19">
        <f>ROUND(MAX(0,1000*NPV($B$19,$AI17:$AI$84)-$AJ$7*($AH17+NPV($B$19,$AH18:$AH$84)))/AH17,3)</f>
        <v>49.853000000000002</v>
      </c>
    </row>
    <row r="17" spans="1:37">
      <c r="A17" t="s">
        <v>110</v>
      </c>
      <c r="B17" s="12">
        <f>218*0.9</f>
        <v>196.20000000000002</v>
      </c>
      <c r="E17">
        <v>8</v>
      </c>
      <c r="F17" s="13"/>
      <c r="G17" s="13">
        <f t="shared" si="19"/>
        <v>0</v>
      </c>
      <c r="H17" s="13">
        <f t="shared" si="20"/>
        <v>196.20000000000002</v>
      </c>
      <c r="I17" s="13">
        <f t="shared" si="0"/>
        <v>50000</v>
      </c>
      <c r="J17" s="13">
        <f t="shared" si="3"/>
        <v>61.161999999999999</v>
      </c>
      <c r="K17" s="5">
        <f t="shared" si="4"/>
        <v>139.60400000000001</v>
      </c>
      <c r="L17" s="21">
        <f t="shared" si="5"/>
        <v>3058.1</v>
      </c>
      <c r="M17">
        <f t="shared" si="6"/>
        <v>6980.2000000000007</v>
      </c>
      <c r="N17" cm="1">
        <f t="array" ref="N17">_xlfn.IFS($J$1="Base Case After Incentive",Mortality_Table!E54,$J$1="Lower Bound Mortality After Incentive",Mortality_Table!F54,$J$1="Upper Bound Mortality After Incentive",Mortality_Table!G54)</f>
        <v>3.0067692199999998E-3</v>
      </c>
      <c r="O17">
        <f t="shared" si="21"/>
        <v>0.99998505604245269</v>
      </c>
      <c r="P17">
        <f t="shared" si="7"/>
        <v>3.0067242869684218E-6</v>
      </c>
      <c r="Q17">
        <f t="shared" si="1"/>
        <v>0.9999820493181657</v>
      </c>
      <c r="R17">
        <f t="shared" si="22"/>
        <v>6282.8061086091257</v>
      </c>
      <c r="S17">
        <f t="shared" si="22"/>
        <v>499.99252802122635</v>
      </c>
      <c r="T17">
        <f t="shared" si="8"/>
        <v>6980.0747006506608</v>
      </c>
      <c r="U17" s="22">
        <f t="shared" si="2"/>
        <v>499.99102465908283</v>
      </c>
      <c r="V17" s="1">
        <f t="shared" si="9"/>
        <v>0</v>
      </c>
      <c r="W17" s="1">
        <f t="shared" si="10"/>
        <v>0</v>
      </c>
      <c r="X17" s="1">
        <f t="shared" si="11"/>
        <v>-196.19706799552924</v>
      </c>
      <c r="Y17" s="1">
        <f t="shared" si="23"/>
        <v>-0.15033621434842109</v>
      </c>
      <c r="Z17" s="1">
        <f t="shared" si="12"/>
        <v>-196.34740420987765</v>
      </c>
      <c r="AA17" s="1">
        <f t="shared" si="13"/>
        <v>-697.26859204153516</v>
      </c>
      <c r="AB17" s="1">
        <f t="shared" si="14"/>
        <v>373.05392501466935</v>
      </c>
      <c r="AC17" s="1">
        <f t="shared" si="15"/>
        <v>-520.56207123674335</v>
      </c>
      <c r="AD17" s="1">
        <f t="shared" si="16"/>
        <v>1.5033621435236455E-3</v>
      </c>
      <c r="AE17">
        <f t="shared" si="17"/>
        <v>-520.56056787459988</v>
      </c>
      <c r="AG17" s="19">
        <v>8</v>
      </c>
      <c r="AH17" s="19">
        <f t="shared" si="24"/>
        <v>0.98515082574835144</v>
      </c>
      <c r="AI17" s="19">
        <f t="shared" si="18"/>
        <v>2.9621211799177264E-3</v>
      </c>
      <c r="AJ17" s="19">
        <f>ROUND((1000*NPV($B$18,$AI18:$AI$85)-$AJ$6*($AH18+NPV($B$18,$AH19:$AH$85)))/AH18,3)</f>
        <v>139.60400000000001</v>
      </c>
      <c r="AK17" s="19">
        <f>ROUND(MAX(0,1000*NPV($B$19,$AI18:$AI$84)-$AJ$7*($AH18+NPV($B$19,$AH19:$AH$84)))/AH18,3)</f>
        <v>61.161999999999999</v>
      </c>
    </row>
    <row r="18" spans="1:37">
      <c r="A18" t="s">
        <v>128</v>
      </c>
      <c r="B18" s="20">
        <v>0.04</v>
      </c>
      <c r="E18">
        <v>9</v>
      </c>
      <c r="F18" s="13"/>
      <c r="G18" s="13">
        <f t="shared" si="19"/>
        <v>0</v>
      </c>
      <c r="H18" s="13">
        <f t="shared" si="20"/>
        <v>196.20000000000002</v>
      </c>
      <c r="I18" s="13">
        <f t="shared" si="0"/>
        <v>50000</v>
      </c>
      <c r="J18" s="13">
        <f t="shared" si="3"/>
        <v>72.903999999999996</v>
      </c>
      <c r="K18" s="5">
        <f t="shared" si="4"/>
        <v>153.89699999999999</v>
      </c>
      <c r="L18" s="21">
        <f t="shared" si="5"/>
        <v>3645.2</v>
      </c>
      <c r="M18">
        <f t="shared" si="6"/>
        <v>7694.85</v>
      </c>
      <c r="N18" cm="1">
        <f t="array" ref="N18">_xlfn.IFS($J$1="Base Case After Incentive",Mortality_Table!E55,$J$1="Lower Bound Mortality After Incentive",Mortality_Table!F55,$J$1="Upper Bound Mortality After Incentive",Mortality_Table!G55)</f>
        <v>3.3084051E-3</v>
      </c>
      <c r="O18">
        <f t="shared" si="21"/>
        <v>0.9999820493181657</v>
      </c>
      <c r="P18">
        <f t="shared" si="7"/>
        <v>3.308345711872671E-6</v>
      </c>
      <c r="Q18">
        <f t="shared" si="1"/>
        <v>0.99997874097245387</v>
      </c>
      <c r="R18">
        <f t="shared" si="22"/>
        <v>6980.0747006506608</v>
      </c>
      <c r="S18">
        <f t="shared" si="22"/>
        <v>499.99102465908283</v>
      </c>
      <c r="T18">
        <f t="shared" si="8"/>
        <v>7694.6864149718867</v>
      </c>
      <c r="U18" s="22">
        <f t="shared" si="2"/>
        <v>499.98937048622696</v>
      </c>
      <c r="V18" s="1">
        <f t="shared" si="9"/>
        <v>0</v>
      </c>
      <c r="W18" s="1">
        <f t="shared" si="10"/>
        <v>0</v>
      </c>
      <c r="X18" s="1">
        <f t="shared" si="11"/>
        <v>-196.19647807622414</v>
      </c>
      <c r="Y18" s="1">
        <f t="shared" si="23"/>
        <v>-0.16541728559363356</v>
      </c>
      <c r="Z18" s="1">
        <f t="shared" si="12"/>
        <v>-196.36189536181777</v>
      </c>
      <c r="AA18" s="1">
        <f t="shared" si="13"/>
        <v>-714.61171432122592</v>
      </c>
      <c r="AB18" s="1">
        <f t="shared" si="14"/>
        <v>411.40361489203588</v>
      </c>
      <c r="AC18" s="1">
        <f t="shared" si="15"/>
        <v>-499.56999479100784</v>
      </c>
      <c r="AD18" s="1">
        <f t="shared" si="16"/>
        <v>1.6541728558649993E-3</v>
      </c>
      <c r="AE18">
        <f t="shared" si="17"/>
        <v>-499.56834061815198</v>
      </c>
      <c r="AG18" s="19">
        <v>9</v>
      </c>
      <c r="AH18" s="19">
        <f t="shared" si="24"/>
        <v>0.98218870456843377</v>
      </c>
      <c r="AI18" s="19">
        <f t="shared" si="18"/>
        <v>3.2494781193565993E-3</v>
      </c>
      <c r="AJ18" s="19">
        <f>ROUND((1000*NPV($B$18,$AI19:$AI$85)-$AJ$6*($AH19+NPV($B$18,$AH20:$AH$85)))/AH19,3)</f>
        <v>153.89699999999999</v>
      </c>
      <c r="AK18" s="19">
        <f>ROUND(MAX(0,1000*NPV($B$19,$AI19:$AI$84)-$AJ$7*($AH19+NPV($B$19,$AH20:$AH$84)))/AH19,3)</f>
        <v>72.903999999999996</v>
      </c>
    </row>
    <row r="19" spans="1:37">
      <c r="A19" t="s">
        <v>129</v>
      </c>
      <c r="B19" s="20">
        <v>0.06</v>
      </c>
      <c r="E19">
        <v>10</v>
      </c>
      <c r="F19" s="13"/>
      <c r="G19" s="13">
        <f t="shared" si="19"/>
        <v>0</v>
      </c>
      <c r="H19" s="13">
        <f t="shared" si="20"/>
        <v>196.20000000000002</v>
      </c>
      <c r="I19" s="13">
        <f t="shared" si="0"/>
        <v>50000</v>
      </c>
      <c r="J19" s="13">
        <f t="shared" si="3"/>
        <v>85.085999999999999</v>
      </c>
      <c r="K19" s="5">
        <f t="shared" si="4"/>
        <v>168.53200000000001</v>
      </c>
      <c r="L19" s="21">
        <f t="shared" si="5"/>
        <v>4254.3</v>
      </c>
      <c r="M19">
        <f t="shared" si="6"/>
        <v>8426.6</v>
      </c>
      <c r="N19" cm="1">
        <f t="array" ref="N19">_xlfn.IFS($J$1="Base Case After Incentive",Mortality_Table!E56,$J$1="Lower Bound Mortality After Incentive",Mortality_Table!F56,$J$1="Upper Bound Mortality After Incentive",Mortality_Table!G56)</f>
        <v>3.6422968400000003E-3</v>
      </c>
      <c r="O19">
        <f t="shared" si="21"/>
        <v>0.99997874097245387</v>
      </c>
      <c r="P19">
        <f t="shared" si="7"/>
        <v>3.6422194083111475E-6</v>
      </c>
      <c r="Q19">
        <f t="shared" si="1"/>
        <v>0.99997509875304558</v>
      </c>
      <c r="R19">
        <f t="shared" si="22"/>
        <v>7694.6864149718867</v>
      </c>
      <c r="S19">
        <f t="shared" si="22"/>
        <v>499.98937048622696</v>
      </c>
      <c r="T19">
        <f t="shared" si="8"/>
        <v>8426.3901671524145</v>
      </c>
      <c r="U19" s="22">
        <f t="shared" si="2"/>
        <v>499.98754937652279</v>
      </c>
      <c r="V19" s="1">
        <f t="shared" si="9"/>
        <v>0</v>
      </c>
      <c r="W19" s="1">
        <f t="shared" si="10"/>
        <v>0</v>
      </c>
      <c r="X19" s="1">
        <f t="shared" si="11"/>
        <v>-196.19582897879548</v>
      </c>
      <c r="Y19" s="1">
        <f t="shared" si="23"/>
        <v>-0.18211097041555738</v>
      </c>
      <c r="Z19" s="1">
        <f t="shared" si="12"/>
        <v>-196.37793994921103</v>
      </c>
      <c r="AA19" s="1">
        <f t="shared" si="13"/>
        <v>-731.70375218052777</v>
      </c>
      <c r="AB19" s="1">
        <f t="shared" si="14"/>
        <v>450.70716820019624</v>
      </c>
      <c r="AC19" s="1">
        <f t="shared" si="15"/>
        <v>-477.37452392954259</v>
      </c>
      <c r="AD19" s="1">
        <f t="shared" si="16"/>
        <v>1.8211097041671565E-3</v>
      </c>
      <c r="AE19">
        <f t="shared" si="17"/>
        <v>-477.37270281983842</v>
      </c>
      <c r="AG19" s="19">
        <v>10</v>
      </c>
      <c r="AH19" s="19">
        <f t="shared" si="24"/>
        <v>0.97893922644907716</v>
      </c>
      <c r="AI19" s="19">
        <f t="shared" si="18"/>
        <v>3.5655872510475185E-3</v>
      </c>
      <c r="AJ19" s="19">
        <f>ROUND((1000*NPV($B$18,$AI20:$AI$85)-$AJ$6*($AH20+NPV($B$18,$AH21:$AH$85)))/AH20,3)</f>
        <v>168.53200000000001</v>
      </c>
      <c r="AK19" s="19">
        <f>ROUND(MAX(0,1000*NPV($B$19,$AI20:$AI$84)-$AJ$7*($AH20+NPV($B$19,$AH21:$AH$84)))/AH20,3)</f>
        <v>85.085999999999999</v>
      </c>
    </row>
    <row r="20" spans="1:37">
      <c r="E20">
        <v>11</v>
      </c>
      <c r="F20" s="13"/>
      <c r="G20" s="13">
        <f t="shared" si="19"/>
        <v>0</v>
      </c>
      <c r="H20" s="13">
        <f t="shared" si="20"/>
        <v>196.20000000000002</v>
      </c>
      <c r="I20" s="13">
        <f t="shared" si="0"/>
        <v>50000</v>
      </c>
      <c r="J20" s="13">
        <f t="shared" si="3"/>
        <v>97.701999999999998</v>
      </c>
      <c r="K20" s="5">
        <f t="shared" si="4"/>
        <v>183.49700000000001</v>
      </c>
      <c r="L20" s="21">
        <f t="shared" si="5"/>
        <v>4885.1000000000004</v>
      </c>
      <c r="M20">
        <f t="shared" si="6"/>
        <v>9174.85</v>
      </c>
      <c r="N20" cm="1">
        <f t="array" ref="N20">_xlfn.IFS($J$1="Base Case After Incentive",Mortality_Table!E57,$J$1="Lower Bound Mortality After Incentive",Mortality_Table!F57,$J$1="Upper Bound Mortality After Incentive",Mortality_Table!G57)</f>
        <v>4.0215211399999996E-3</v>
      </c>
      <c r="O20">
        <f t="shared" si="21"/>
        <v>0.99997509875304558</v>
      </c>
      <c r="P20">
        <f t="shared" si="7"/>
        <v>4.0214209991089604E-6</v>
      </c>
      <c r="Q20">
        <f t="shared" si="1"/>
        <v>0.99997107733204649</v>
      </c>
      <c r="R20">
        <f t="shared" si="22"/>
        <v>8426.3901671524145</v>
      </c>
      <c r="S20">
        <f t="shared" si="22"/>
        <v>499.98754937652279</v>
      </c>
      <c r="T20">
        <f t="shared" si="8"/>
        <v>9174.5846388599275</v>
      </c>
      <c r="U20" s="22">
        <f t="shared" si="2"/>
        <v>499.98553866602322</v>
      </c>
      <c r="V20" s="1">
        <f t="shared" si="9"/>
        <v>0</v>
      </c>
      <c r="W20" s="1">
        <f t="shared" si="10"/>
        <v>0</v>
      </c>
      <c r="X20" s="1">
        <f t="shared" si="11"/>
        <v>-196.19511437534757</v>
      </c>
      <c r="Y20" s="1">
        <f t="shared" si="23"/>
        <v>-0.20107104995544803</v>
      </c>
      <c r="Z20" s="1">
        <f t="shared" si="12"/>
        <v>-196.39618542530303</v>
      </c>
      <c r="AA20" s="1">
        <f t="shared" si="13"/>
        <v>-748.194471707513</v>
      </c>
      <c r="AB20" s="1">
        <f t="shared" si="14"/>
        <v>490.95077440909159</v>
      </c>
      <c r="AC20" s="1">
        <f t="shared" si="15"/>
        <v>-453.63988272372438</v>
      </c>
      <c r="AD20" s="1">
        <f t="shared" si="16"/>
        <v>2.0107104995759073E-3</v>
      </c>
      <c r="AE20">
        <f t="shared" si="17"/>
        <v>-453.63787201322481</v>
      </c>
      <c r="AG20" s="19">
        <v>11</v>
      </c>
      <c r="AH20" s="19">
        <f t="shared" si="24"/>
        <v>0.97537363919802966</v>
      </c>
      <c r="AI20" s="19">
        <f t="shared" si="18"/>
        <v>3.9224857094336089E-3</v>
      </c>
      <c r="AJ20" s="19">
        <f>ROUND((1000*NPV($B$18,$AI21:$AI$85)-$AJ$6*($AH21+NPV($B$18,$AH22:$AH$85)))/AH21,3)</f>
        <v>183.49700000000001</v>
      </c>
      <c r="AK20" s="19">
        <f>ROUND(MAX(0,1000*NPV($B$19,$AI21:$AI$84)-$AJ$7*($AH21+NPV($B$19,$AH22:$AH$84)))/AH21,3)</f>
        <v>97.701999999999998</v>
      </c>
    </row>
    <row r="21" spans="1:37">
      <c r="E21">
        <v>12</v>
      </c>
      <c r="F21" s="13"/>
      <c r="G21" s="13">
        <f t="shared" si="19"/>
        <v>0</v>
      </c>
      <c r="H21" s="13">
        <f t="shared" si="20"/>
        <v>196.20000000000002</v>
      </c>
      <c r="I21" s="13">
        <f t="shared" si="0"/>
        <v>50000</v>
      </c>
      <c r="J21" s="13">
        <f t="shared" si="3"/>
        <v>110.746</v>
      </c>
      <c r="K21" s="5">
        <f t="shared" si="4"/>
        <v>198.77799999999999</v>
      </c>
      <c r="L21" s="21">
        <f t="shared" si="5"/>
        <v>5537.3</v>
      </c>
      <c r="M21">
        <f t="shared" si="6"/>
        <v>9938.9</v>
      </c>
      <c r="N21" cm="1">
        <f t="array" ref="N21">_xlfn.IFS($J$1="Base Case After Incentive",Mortality_Table!E58,$J$1="Lower Bound Mortality After Incentive",Mortality_Table!F58,$J$1="Upper Bound Mortality After Incentive",Mortality_Table!G58)</f>
        <v>4.4513086800000001E-3</v>
      </c>
      <c r="O21">
        <f t="shared" si="21"/>
        <v>0.99997107733204649</v>
      </c>
      <c r="P21">
        <f t="shared" si="7"/>
        <v>4.4511799362770898E-6</v>
      </c>
      <c r="Q21">
        <f t="shared" si="1"/>
        <v>0.99996662615211018</v>
      </c>
      <c r="R21">
        <f t="shared" si="22"/>
        <v>9174.5846388599275</v>
      </c>
      <c r="S21">
        <f t="shared" si="22"/>
        <v>499.98553866602322</v>
      </c>
      <c r="T21">
        <f t="shared" si="8"/>
        <v>9938.568300663208</v>
      </c>
      <c r="U21" s="22">
        <f t="shared" si="2"/>
        <v>499.98331307605508</v>
      </c>
      <c r="V21" s="1">
        <f t="shared" si="9"/>
        <v>0</v>
      </c>
      <c r="W21" s="1">
        <f t="shared" si="10"/>
        <v>0</v>
      </c>
      <c r="X21" s="1">
        <f t="shared" si="11"/>
        <v>-196.19432537254752</v>
      </c>
      <c r="Y21" s="1">
        <f t="shared" si="23"/>
        <v>-0.22255899681385449</v>
      </c>
      <c r="Z21" s="1">
        <f t="shared" si="12"/>
        <v>-196.41688436936138</v>
      </c>
      <c r="AA21" s="1">
        <f t="shared" si="13"/>
        <v>-763.98366180328048</v>
      </c>
      <c r="AB21" s="1">
        <f t="shared" si="14"/>
        <v>532.10135976392735</v>
      </c>
      <c r="AC21" s="1">
        <f t="shared" si="15"/>
        <v>-428.29918640871449</v>
      </c>
      <c r="AD21" s="1">
        <f t="shared" si="16"/>
        <v>2.2255899681340452E-3</v>
      </c>
      <c r="AE21">
        <f t="shared" si="17"/>
        <v>-428.29696081874636</v>
      </c>
      <c r="AG21" s="19">
        <v>12</v>
      </c>
      <c r="AH21" s="19">
        <f t="shared" si="24"/>
        <v>0.97145115348859601</v>
      </c>
      <c r="AI21" s="19">
        <f t="shared" si="18"/>
        <v>4.3242289517197996E-3</v>
      </c>
      <c r="AJ21" s="19">
        <f>ROUND((1000*NPV($B$18,$AI22:$AI$85)-$AJ$6*($AH22+NPV($B$18,$AH23:$AH$85)))/AH22,3)</f>
        <v>198.77799999999999</v>
      </c>
      <c r="AK21" s="19">
        <f>ROUND(MAX(0,1000*NPV($B$19,$AI22:$AI$84)-$AJ$7*($AH22+NPV($B$19,$AH23:$AH$84)))/AH22,3)</f>
        <v>110.746</v>
      </c>
    </row>
    <row r="22" spans="1:37">
      <c r="E22">
        <v>13</v>
      </c>
      <c r="F22" s="13"/>
      <c r="G22" s="13">
        <f t="shared" si="19"/>
        <v>0</v>
      </c>
      <c r="H22" s="13">
        <f t="shared" si="20"/>
        <v>196.20000000000002</v>
      </c>
      <c r="I22" s="13">
        <f t="shared" si="0"/>
        <v>50000</v>
      </c>
      <c r="J22" s="13">
        <f t="shared" si="3"/>
        <v>124.24</v>
      </c>
      <c r="K22" s="5">
        <f t="shared" si="4"/>
        <v>214.38800000000001</v>
      </c>
      <c r="L22" s="21">
        <f t="shared" si="5"/>
        <v>6212</v>
      </c>
      <c r="M22">
        <f t="shared" si="6"/>
        <v>10719.4</v>
      </c>
      <c r="N22" cm="1">
        <f t="array" ref="N22">_xlfn.IFS($J$1="Base Case After Incentive",Mortality_Table!E59,$J$1="Lower Bound Mortality After Incentive",Mortality_Table!F59,$J$1="Upper Bound Mortality After Incentive",Mortality_Table!G59)</f>
        <v>4.8994036000000003E-3</v>
      </c>
      <c r="O22">
        <f t="shared" si="21"/>
        <v>0.99996662615211018</v>
      </c>
      <c r="P22">
        <f t="shared" si="7"/>
        <v>4.8992400880495033E-6</v>
      </c>
      <c r="Q22">
        <f t="shared" si="1"/>
        <v>0.99996172691202212</v>
      </c>
      <c r="R22">
        <f t="shared" si="22"/>
        <v>9938.568300663208</v>
      </c>
      <c r="S22">
        <f t="shared" si="22"/>
        <v>499.98331307605508</v>
      </c>
      <c r="T22">
        <f t="shared" si="8"/>
        <v>10718.989735460729</v>
      </c>
      <c r="U22" s="22">
        <f t="shared" si="2"/>
        <v>499.98086345601104</v>
      </c>
      <c r="V22" s="1">
        <f t="shared" si="9"/>
        <v>0</v>
      </c>
      <c r="W22" s="1">
        <f t="shared" si="10"/>
        <v>0</v>
      </c>
      <c r="X22" s="1">
        <f t="shared" si="11"/>
        <v>-196.19345205104403</v>
      </c>
      <c r="Y22" s="1">
        <f t="shared" si="23"/>
        <v>-0.24496200440247518</v>
      </c>
      <c r="Z22" s="1">
        <f t="shared" si="12"/>
        <v>-196.43841405544651</v>
      </c>
      <c r="AA22" s="1">
        <f t="shared" si="13"/>
        <v>-780.42143479752121</v>
      </c>
      <c r="AB22" s="1">
        <f t="shared" si="14"/>
        <v>574.12033875565942</v>
      </c>
      <c r="AC22" s="1">
        <f t="shared" si="15"/>
        <v>-402.73951009730831</v>
      </c>
      <c r="AD22" s="1">
        <f t="shared" si="16"/>
        <v>2.4496200440466964E-3</v>
      </c>
      <c r="AE22">
        <f t="shared" si="17"/>
        <v>-402.73706047726427</v>
      </c>
      <c r="AG22" s="19">
        <v>13</v>
      </c>
      <c r="AH22" s="19">
        <f t="shared" si="24"/>
        <v>0.96712692453687621</v>
      </c>
      <c r="AI22" s="19">
        <f t="shared" si="18"/>
        <v>4.7383451357329003E-3</v>
      </c>
      <c r="AJ22" s="19">
        <f>ROUND((1000*NPV($B$18,$AI23:$AI$85)-$AJ$6*($AH23+NPV($B$18,$AH24:$AH$85)))/AH23,3)</f>
        <v>214.38800000000001</v>
      </c>
      <c r="AK22" s="19">
        <f>ROUND(MAX(0,1000*NPV($B$19,$AI23:$AI$84)-$AJ$7*($AH23+NPV($B$19,$AH24:$AH$84)))/AH23,3)</f>
        <v>124.24</v>
      </c>
    </row>
    <row r="23" spans="1:37">
      <c r="E23">
        <v>14</v>
      </c>
      <c r="F23" s="13"/>
      <c r="G23" s="13">
        <f t="shared" si="19"/>
        <v>0</v>
      </c>
      <c r="H23" s="13">
        <f t="shared" si="20"/>
        <v>196.20000000000002</v>
      </c>
      <c r="I23" s="13">
        <f t="shared" si="0"/>
        <v>50000</v>
      </c>
      <c r="J23" s="13">
        <f t="shared" si="3"/>
        <v>138.19900000000001</v>
      </c>
      <c r="K23" s="5">
        <f t="shared" si="4"/>
        <v>230.33099999999999</v>
      </c>
      <c r="L23" s="21">
        <f t="shared" si="5"/>
        <v>6909.9500000000007</v>
      </c>
      <c r="M23">
        <f t="shared" si="6"/>
        <v>11516.55</v>
      </c>
      <c r="N23" cm="1">
        <f t="array" ref="N23">_xlfn.IFS($J$1="Base Case After Incentive",Mortality_Table!E60,$J$1="Lower Bound Mortality After Incentive",Mortality_Table!F60,$J$1="Upper Bound Mortality After Incentive",Mortality_Table!G60)</f>
        <v>5.3788826E-3</v>
      </c>
      <c r="O23">
        <f t="shared" si="21"/>
        <v>0.99996172691202212</v>
      </c>
      <c r="P23">
        <f t="shared" si="7"/>
        <v>5.378676733553027E-6</v>
      </c>
      <c r="Q23">
        <f t="shared" si="1"/>
        <v>0.99995634823528856</v>
      </c>
      <c r="R23">
        <f t="shared" si="22"/>
        <v>10718.989735460729</v>
      </c>
      <c r="S23">
        <f t="shared" si="22"/>
        <v>499.98086345601104</v>
      </c>
      <c r="T23">
        <f t="shared" si="8"/>
        <v>11516.047282269112</v>
      </c>
      <c r="U23" s="22">
        <f t="shared" si="2"/>
        <v>499.9781741176443</v>
      </c>
      <c r="V23" s="1">
        <f t="shared" si="9"/>
        <v>0</v>
      </c>
      <c r="W23" s="1">
        <f t="shared" si="10"/>
        <v>0</v>
      </c>
      <c r="X23" s="1">
        <f t="shared" si="11"/>
        <v>-196.19249082013874</v>
      </c>
      <c r="Y23" s="1">
        <f t="shared" si="23"/>
        <v>-0.26893383667765136</v>
      </c>
      <c r="Z23" s="1">
        <f t="shared" si="12"/>
        <v>-196.4614246568164</v>
      </c>
      <c r="AA23" s="1">
        <f t="shared" si="13"/>
        <v>-797.05754680838254</v>
      </c>
      <c r="AB23" s="1">
        <f t="shared" si="14"/>
        <v>617.04338294042066</v>
      </c>
      <c r="AC23" s="1">
        <f t="shared" si="15"/>
        <v>-376.47558852477835</v>
      </c>
      <c r="AD23" s="1">
        <f t="shared" si="16"/>
        <v>2.6893383667356829E-3</v>
      </c>
      <c r="AE23">
        <f t="shared" si="17"/>
        <v>-376.47289918641161</v>
      </c>
      <c r="AG23" s="19">
        <v>14</v>
      </c>
      <c r="AH23" s="19">
        <f t="shared" si="24"/>
        <v>0.96238857940114331</v>
      </c>
      <c r="AI23" s="19">
        <f t="shared" si="18"/>
        <v>5.1765751841795285E-3</v>
      </c>
      <c r="AJ23" s="19">
        <f>ROUND((1000*NPV($B$18,$AI24:$AI$85)-$AJ$6*($AH24+NPV($B$18,$AH25:$AH$85)))/AH24,3)</f>
        <v>230.33099999999999</v>
      </c>
      <c r="AK23" s="19">
        <f>ROUND(MAX(0,1000*NPV($B$19,$AI24:$AI$84)-$AJ$7*($AH24+NPV($B$19,$AH25:$AH$84)))/AH24,3)</f>
        <v>138.19900000000001</v>
      </c>
    </row>
    <row r="24" spans="1:37">
      <c r="E24">
        <v>15</v>
      </c>
      <c r="F24" s="13"/>
      <c r="G24" s="13">
        <f t="shared" si="19"/>
        <v>0</v>
      </c>
      <c r="H24" s="13">
        <f t="shared" si="20"/>
        <v>196.20000000000002</v>
      </c>
      <c r="I24" s="13">
        <f t="shared" si="0"/>
        <v>50000</v>
      </c>
      <c r="J24" s="13">
        <f t="shared" si="3"/>
        <v>152.625</v>
      </c>
      <c r="K24" s="5">
        <f t="shared" si="4"/>
        <v>246.602</v>
      </c>
      <c r="L24" s="21">
        <f t="shared" si="5"/>
        <v>7631.25</v>
      </c>
      <c r="M24">
        <f t="shared" si="6"/>
        <v>12330.1</v>
      </c>
      <c r="N24" cm="1">
        <f t="array" ref="N24">_xlfn.IFS($J$1="Base Case After Incentive",Mortality_Table!E61,$J$1="Lower Bound Mortality After Incentive",Mortality_Table!F61,$J$1="Upper Bound Mortality After Incentive",Mortality_Table!G61)</f>
        <v>5.9071812799999998E-3</v>
      </c>
      <c r="O24">
        <f t="shared" si="21"/>
        <v>0.99995634823528856</v>
      </c>
      <c r="P24">
        <f t="shared" si="7"/>
        <v>5.9069234211126574E-6</v>
      </c>
      <c r="Q24">
        <f t="shared" si="1"/>
        <v>0.9999504413118675</v>
      </c>
      <c r="R24">
        <f t="shared" si="22"/>
        <v>11516.047282269112</v>
      </c>
      <c r="S24">
        <f t="shared" si="22"/>
        <v>499.9781741176443</v>
      </c>
      <c r="T24">
        <f t="shared" si="8"/>
        <v>12329.488936419459</v>
      </c>
      <c r="U24" s="22">
        <f t="shared" si="2"/>
        <v>499.97522065593375</v>
      </c>
      <c r="V24" s="1">
        <f t="shared" si="9"/>
        <v>0</v>
      </c>
      <c r="W24" s="1">
        <f t="shared" si="10"/>
        <v>0</v>
      </c>
      <c r="X24" s="1">
        <f t="shared" si="11"/>
        <v>-196.19143552376363</v>
      </c>
      <c r="Y24" s="1">
        <f t="shared" si="23"/>
        <v>-0.29534617105563288</v>
      </c>
      <c r="Z24" s="1">
        <f t="shared" si="12"/>
        <v>-196.48678169481926</v>
      </c>
      <c r="AA24" s="1">
        <f t="shared" si="13"/>
        <v>-813.44165415034695</v>
      </c>
      <c r="AB24" s="1">
        <f t="shared" si="14"/>
        <v>660.88140010127165</v>
      </c>
      <c r="AC24" s="1">
        <f t="shared" si="15"/>
        <v>-349.04703574389453</v>
      </c>
      <c r="AD24" s="1">
        <f t="shared" si="16"/>
        <v>2.9534617105468897E-3</v>
      </c>
      <c r="AE24">
        <f t="shared" si="17"/>
        <v>-349.04408228218398</v>
      </c>
      <c r="AG24" s="19">
        <v>15</v>
      </c>
      <c r="AH24" s="19">
        <f t="shared" si="24"/>
        <v>0.95721200421696373</v>
      </c>
      <c r="AI24" s="19">
        <f t="shared" si="18"/>
        <v>5.6544248323017292E-3</v>
      </c>
      <c r="AJ24" s="19">
        <f>ROUND((1000*NPV($B$18,$AI25:$AI$85)-$AJ$6*($AH25+NPV($B$18,$AH26:$AH$85)))/AH25,3)</f>
        <v>246.602</v>
      </c>
      <c r="AK24" s="19">
        <f>ROUND(MAX(0,1000*NPV($B$19,$AI25:$AI$84)-$AJ$7*($AH25+NPV($B$19,$AH26:$AH$84)))/AH25,3)</f>
        <v>152.625</v>
      </c>
    </row>
    <row r="25" spans="1:37">
      <c r="E25">
        <v>16</v>
      </c>
      <c r="F25" s="13"/>
      <c r="G25" s="13">
        <f t="shared" si="19"/>
        <v>0</v>
      </c>
      <c r="H25" s="13">
        <f t="shared" si="20"/>
        <v>196.20000000000002</v>
      </c>
      <c r="I25" s="13">
        <f t="shared" si="0"/>
        <v>50000</v>
      </c>
      <c r="J25" s="13">
        <f t="shared" si="3"/>
        <v>167.47900000000001</v>
      </c>
      <c r="K25" s="5">
        <f t="shared" si="4"/>
        <v>263.15499999999997</v>
      </c>
      <c r="L25" s="21">
        <f t="shared" si="5"/>
        <v>8373.9500000000007</v>
      </c>
      <c r="M25">
        <f t="shared" si="6"/>
        <v>13157.749999999998</v>
      </c>
      <c r="N25" cm="1">
        <f t="array" ref="N25">_xlfn.IFS($J$1="Base Case After Incentive",Mortality_Table!E62,$J$1="Lower Bound Mortality After Incentive",Mortality_Table!F62,$J$1="Upper Bound Mortality After Incentive",Mortality_Table!G62)</f>
        <v>6.5392217799999999E-3</v>
      </c>
      <c r="O25">
        <f t="shared" si="21"/>
        <v>0.9999504413118675</v>
      </c>
      <c r="P25">
        <f t="shared" si="7"/>
        <v>6.5388977047471757E-6</v>
      </c>
      <c r="Q25">
        <f t="shared" si="1"/>
        <v>0.99994390241416276</v>
      </c>
      <c r="R25">
        <f t="shared" si="22"/>
        <v>12329.488936419459</v>
      </c>
      <c r="S25">
        <f t="shared" si="22"/>
        <v>499.97522065593375</v>
      </c>
      <c r="T25">
        <f t="shared" si="8"/>
        <v>13157.011881989949</v>
      </c>
      <c r="U25" s="22">
        <f t="shared" si="2"/>
        <v>499.97195120708136</v>
      </c>
      <c r="V25" s="1">
        <f t="shared" si="9"/>
        <v>0</v>
      </c>
      <c r="W25" s="1">
        <f t="shared" si="10"/>
        <v>0</v>
      </c>
      <c r="X25" s="1">
        <f t="shared" si="11"/>
        <v>-196.19027658538843</v>
      </c>
      <c r="Y25" s="1">
        <f t="shared" si="23"/>
        <v>-0.32694488523735876</v>
      </c>
      <c r="Z25" s="1">
        <f t="shared" si="12"/>
        <v>-196.5172214706258</v>
      </c>
      <c r="AA25" s="1">
        <f t="shared" si="13"/>
        <v>-827.52294557049026</v>
      </c>
      <c r="AB25" s="1">
        <f t="shared" si="14"/>
        <v>705.62052863914653</v>
      </c>
      <c r="AC25" s="1">
        <f t="shared" si="15"/>
        <v>-318.41963840196956</v>
      </c>
      <c r="AD25" s="1">
        <f t="shared" si="16"/>
        <v>3.2694488523929977E-3</v>
      </c>
      <c r="AE25">
        <f t="shared" si="17"/>
        <v>-318.41636895311717</v>
      </c>
      <c r="AG25" s="19">
        <v>16</v>
      </c>
      <c r="AH25" s="19">
        <f t="shared" si="24"/>
        <v>0.95155757938466201</v>
      </c>
      <c r="AI25" s="19">
        <f t="shared" si="18"/>
        <v>6.2224460480362611E-3</v>
      </c>
      <c r="AJ25" s="19">
        <f>ROUND((1000*NPV($B$18,$AI26:$AI$85)-$AJ$6*($AH26+NPV($B$18,$AH27:$AH$85)))/AH26,3)</f>
        <v>263.15499999999997</v>
      </c>
      <c r="AK25" s="19">
        <f>ROUND(MAX(0,1000*NPV($B$19,$AI26:$AI$84)-$AJ$7*($AH26+NPV($B$19,$AH27:$AH$84)))/AH26,3)</f>
        <v>167.47900000000001</v>
      </c>
    </row>
    <row r="26" spans="1:37">
      <c r="E26">
        <v>17</v>
      </c>
      <c r="F26" s="13"/>
      <c r="G26" s="13">
        <f t="shared" si="19"/>
        <v>0</v>
      </c>
      <c r="H26" s="13">
        <f t="shared" si="20"/>
        <v>196.20000000000002</v>
      </c>
      <c r="I26" s="13">
        <f t="shared" si="0"/>
        <v>50000</v>
      </c>
      <c r="J26" s="13">
        <f t="shared" si="3"/>
        <v>182.773</v>
      </c>
      <c r="K26" s="5">
        <f t="shared" si="4"/>
        <v>279.995</v>
      </c>
      <c r="L26" s="21">
        <f t="shared" si="5"/>
        <v>9138.65</v>
      </c>
      <c r="M26">
        <f t="shared" si="6"/>
        <v>13999.75</v>
      </c>
      <c r="N26" cm="1">
        <f t="array" ref="N26">_xlfn.IFS($J$1="Base Case After Incentive",Mortality_Table!E63,$J$1="Lower Bound Mortality After Incentive",Mortality_Table!F63,$J$1="Upper Bound Mortality After Incentive",Mortality_Table!G63)</f>
        <v>7.2131077200000004E-3</v>
      </c>
      <c r="O26">
        <f t="shared" si="21"/>
        <v>0.99994390241416276</v>
      </c>
      <c r="P26">
        <f t="shared" si="7"/>
        <v>7.2127030820705252E-6</v>
      </c>
      <c r="Q26">
        <f t="shared" si="1"/>
        <v>0.99993668971108074</v>
      </c>
      <c r="R26">
        <f t="shared" si="22"/>
        <v>13157.011881989949</v>
      </c>
      <c r="S26">
        <f t="shared" si="22"/>
        <v>499.97195120708136</v>
      </c>
      <c r="T26">
        <f t="shared" si="8"/>
        <v>13998.863671782703</v>
      </c>
      <c r="U26" s="22">
        <f t="shared" si="2"/>
        <v>499.96834485554035</v>
      </c>
      <c r="V26" s="1">
        <f t="shared" si="9"/>
        <v>0</v>
      </c>
      <c r="W26" s="1">
        <f t="shared" si="10"/>
        <v>0</v>
      </c>
      <c r="X26" s="1">
        <f t="shared" si="11"/>
        <v>-196.18899365365874</v>
      </c>
      <c r="Y26" s="1">
        <f t="shared" si="23"/>
        <v>-0.36063515410352626</v>
      </c>
      <c r="Z26" s="1">
        <f t="shared" si="12"/>
        <v>-196.54962880776228</v>
      </c>
      <c r="AA26" s="1">
        <f t="shared" si="13"/>
        <v>-841.85178979275406</v>
      </c>
      <c r="AB26" s="1">
        <f t="shared" si="14"/>
        <v>751.13411082583661</v>
      </c>
      <c r="AC26" s="1">
        <f t="shared" si="15"/>
        <v>-287.26730777467969</v>
      </c>
      <c r="AD26" s="1">
        <f t="shared" si="16"/>
        <v>3.6063515410091895E-3</v>
      </c>
      <c r="AE26">
        <f t="shared" si="17"/>
        <v>-287.26370142313868</v>
      </c>
      <c r="AG26" s="19">
        <v>17</v>
      </c>
      <c r="AH26" s="19">
        <f t="shared" si="24"/>
        <v>0.94533513333662578</v>
      </c>
      <c r="AI26" s="19">
        <f t="shared" si="18"/>
        <v>6.8188041482576452E-3</v>
      </c>
      <c r="AJ26" s="19">
        <f>ROUND((1000*NPV($B$18,$AI27:$AI$85)-$AJ$6*($AH27+NPV($B$18,$AH28:$AH$85)))/AH27,3)</f>
        <v>279.995</v>
      </c>
      <c r="AK26" s="19">
        <f>ROUND(MAX(0,1000*NPV($B$19,$AI27:$AI$84)-$AJ$7*($AH27+NPV($B$19,$AH28:$AH$84)))/AH27,3)</f>
        <v>182.773</v>
      </c>
    </row>
    <row r="27" spans="1:37">
      <c r="E27">
        <v>18</v>
      </c>
      <c r="F27" s="13"/>
      <c r="G27" s="13">
        <f t="shared" si="19"/>
        <v>0</v>
      </c>
      <c r="H27" s="13">
        <f t="shared" si="20"/>
        <v>196.20000000000002</v>
      </c>
      <c r="I27" s="13">
        <f t="shared" si="0"/>
        <v>50000</v>
      </c>
      <c r="J27" s="13">
        <f t="shared" si="3"/>
        <v>198.56</v>
      </c>
      <c r="K27" s="5">
        <f t="shared" si="4"/>
        <v>297.161</v>
      </c>
      <c r="L27" s="21">
        <f t="shared" si="5"/>
        <v>9928</v>
      </c>
      <c r="M27">
        <f t="shared" si="6"/>
        <v>14858.05</v>
      </c>
      <c r="N27" cm="1">
        <f t="array" ref="N27">_xlfn.IFS($J$1="Base Case After Incentive",Mortality_Table!E64,$J$1="Lower Bound Mortality After Incentive",Mortality_Table!F64,$J$1="Upper Bound Mortality After Incentive",Mortality_Table!G64)</f>
        <v>7.8843783199999996E-3</v>
      </c>
      <c r="O27">
        <f t="shared" si="21"/>
        <v>0.99993668971108074</v>
      </c>
      <c r="P27">
        <f t="shared" si="7"/>
        <v>7.8838791577306114E-6</v>
      </c>
      <c r="Q27">
        <f t="shared" si="1"/>
        <v>0.99992880583192301</v>
      </c>
      <c r="R27">
        <f t="shared" si="22"/>
        <v>13998.863671782703</v>
      </c>
      <c r="S27">
        <f t="shared" si="22"/>
        <v>499.96834485554035</v>
      </c>
      <c r="T27">
        <f t="shared" si="8"/>
        <v>14856.992193491003</v>
      </c>
      <c r="U27" s="22">
        <f t="shared" si="2"/>
        <v>499.9644029159615</v>
      </c>
      <c r="V27" s="1">
        <f t="shared" si="9"/>
        <v>0</v>
      </c>
      <c r="W27" s="1">
        <f t="shared" si="10"/>
        <v>0</v>
      </c>
      <c r="X27" s="1">
        <f t="shared" si="11"/>
        <v>-196.18757852131407</v>
      </c>
      <c r="Y27" s="1">
        <f t="shared" si="23"/>
        <v>-0.39419395788653055</v>
      </c>
      <c r="Z27" s="1">
        <f t="shared" si="12"/>
        <v>-196.58177247920059</v>
      </c>
      <c r="AA27" s="1">
        <f t="shared" si="13"/>
        <v>-858.12852170830047</v>
      </c>
      <c r="AB27" s="1">
        <f t="shared" si="14"/>
        <v>797.4357609151034</v>
      </c>
      <c r="AC27" s="1">
        <f t="shared" si="15"/>
        <v>-257.27453327239755</v>
      </c>
      <c r="AD27" s="1">
        <f t="shared" si="16"/>
        <v>3.9419395788513611E-3</v>
      </c>
      <c r="AE27">
        <f t="shared" si="17"/>
        <v>-257.2705913328187</v>
      </c>
      <c r="AG27" s="19">
        <v>18</v>
      </c>
      <c r="AH27" s="19">
        <f t="shared" si="24"/>
        <v>0.93851632918836814</v>
      </c>
      <c r="AI27" s="19">
        <f t="shared" si="18"/>
        <v>7.3996177988187523E-3</v>
      </c>
      <c r="AJ27" s="19">
        <f>ROUND((1000*NPV($B$18,$AI28:$AI$85)-$AJ$6*($AH28+NPV($B$18,$AH29:$AH$85)))/AH28,3)</f>
        <v>297.161</v>
      </c>
      <c r="AK27" s="19">
        <f>ROUND(MAX(0,1000*NPV($B$19,$AI28:$AI$84)-$AJ$7*($AH28+NPV($B$19,$AH29:$AH$84)))/AH28,3)</f>
        <v>198.56</v>
      </c>
    </row>
    <row r="28" spans="1:37">
      <c r="E28">
        <v>19</v>
      </c>
      <c r="F28" s="13"/>
      <c r="G28" s="13">
        <f t="shared" si="19"/>
        <v>0</v>
      </c>
      <c r="H28" s="13">
        <f t="shared" si="20"/>
        <v>196.20000000000002</v>
      </c>
      <c r="I28" s="13">
        <f t="shared" si="0"/>
        <v>50000</v>
      </c>
      <c r="J28" s="13">
        <f t="shared" si="3"/>
        <v>214.84399999999999</v>
      </c>
      <c r="K28" s="5">
        <f t="shared" si="4"/>
        <v>314.64499999999998</v>
      </c>
      <c r="L28" s="21">
        <f t="shared" si="5"/>
        <v>10742.2</v>
      </c>
      <c r="M28">
        <f t="shared" si="6"/>
        <v>15732.25</v>
      </c>
      <c r="N28" cm="1">
        <f t="array" ref="N28">_xlfn.IFS($J$1="Base Case After Incentive",Mortality_Table!E65,$J$1="Lower Bound Mortality After Incentive",Mortality_Table!F65,$J$1="Upper Bound Mortality After Incentive",Mortality_Table!G65)</f>
        <v>8.6227759800000005E-3</v>
      </c>
      <c r="O28">
        <f t="shared" si="21"/>
        <v>0.99992880583192301</v>
      </c>
      <c r="P28">
        <f t="shared" si="7"/>
        <v>8.6221620886375896E-6</v>
      </c>
      <c r="Q28">
        <f t="shared" si="1"/>
        <v>0.99992018366983437</v>
      </c>
      <c r="R28">
        <f t="shared" si="22"/>
        <v>14856.992193491003</v>
      </c>
      <c r="S28">
        <f t="shared" si="22"/>
        <v>499.9644029159615</v>
      </c>
      <c r="T28">
        <f t="shared" si="8"/>
        <v>15730.994309539752</v>
      </c>
      <c r="U28" s="22">
        <f t="shared" si="2"/>
        <v>499.96009183491719</v>
      </c>
      <c r="V28" s="1">
        <f t="shared" si="9"/>
        <v>0</v>
      </c>
      <c r="W28" s="1">
        <f t="shared" si="10"/>
        <v>0</v>
      </c>
      <c r="X28" s="1">
        <f t="shared" si="11"/>
        <v>-196.18603170422332</v>
      </c>
      <c r="Y28" s="1">
        <f t="shared" si="23"/>
        <v>-0.43110810443187947</v>
      </c>
      <c r="Z28" s="1">
        <f t="shared" si="12"/>
        <v>-196.6171398086552</v>
      </c>
      <c r="AA28" s="1">
        <f t="shared" si="13"/>
        <v>-874.00211604874858</v>
      </c>
      <c r="AB28" s="1">
        <f t="shared" si="14"/>
        <v>844.63261280238305</v>
      </c>
      <c r="AC28" s="1">
        <f t="shared" si="15"/>
        <v>-225.98664305502064</v>
      </c>
      <c r="AD28" s="1">
        <f t="shared" si="16"/>
        <v>4.3110810443067749E-3</v>
      </c>
      <c r="AE28">
        <f t="shared" si="17"/>
        <v>-225.98233197397633</v>
      </c>
      <c r="AG28" s="19">
        <v>19</v>
      </c>
      <c r="AH28" s="19">
        <f t="shared" si="24"/>
        <v>0.93111671138954943</v>
      </c>
      <c r="AI28" s="19">
        <f t="shared" si="18"/>
        <v>8.0288108135463995E-3</v>
      </c>
      <c r="AJ28" s="19">
        <f>ROUND((1000*NPV($B$18,$AI29:$AI$85)-$AJ$6*($AH29+NPV($B$18,$AH30:$AH$85)))/AH29,3)</f>
        <v>314.64499999999998</v>
      </c>
      <c r="AK28" s="19">
        <f>ROUND(MAX(0,1000*NPV($B$19,$AI29:$AI$84)-$AJ$7*($AH29+NPV($B$19,$AH30:$AH$84)))/AH29,3)</f>
        <v>214.84399999999999</v>
      </c>
    </row>
    <row r="29" spans="1:37">
      <c r="E29">
        <v>20</v>
      </c>
      <c r="F29" s="13"/>
      <c r="G29" s="13">
        <f t="shared" si="19"/>
        <v>0</v>
      </c>
      <c r="H29" s="13">
        <f t="shared" si="20"/>
        <v>196.20000000000002</v>
      </c>
      <c r="I29" s="13">
        <f t="shared" si="0"/>
        <v>50000</v>
      </c>
      <c r="J29" s="13">
        <f t="shared" si="3"/>
        <v>231.64500000000001</v>
      </c>
      <c r="K29" s="5">
        <f t="shared" si="4"/>
        <v>332.459</v>
      </c>
      <c r="L29" s="21">
        <f t="shared" si="5"/>
        <v>11582.25</v>
      </c>
      <c r="M29">
        <f t="shared" si="6"/>
        <v>16622.95</v>
      </c>
      <c r="N29" cm="1">
        <f t="array" ref="N29">_xlfn.IFS($J$1="Base Case After Incentive",Mortality_Table!E66,$J$1="Lower Bound Mortality After Incentive",Mortality_Table!F66,$J$1="Upper Bound Mortality After Incentive",Mortality_Table!G66)</f>
        <v>9.4082497599999992E-3</v>
      </c>
      <c r="O29">
        <f t="shared" si="21"/>
        <v>0.99992018366983437</v>
      </c>
      <c r="P29">
        <f t="shared" si="7"/>
        <v>9.4074988280308749E-6</v>
      </c>
      <c r="Q29">
        <f t="shared" si="1"/>
        <v>0.99991077617100632</v>
      </c>
      <c r="R29">
        <f t="shared" si="22"/>
        <v>15730.994309539752</v>
      </c>
      <c r="S29">
        <f t="shared" si="22"/>
        <v>499.96009183491719</v>
      </c>
      <c r="T29">
        <f t="shared" si="8"/>
        <v>16621.466836751832</v>
      </c>
      <c r="U29" s="22">
        <f t="shared" si="2"/>
        <v>499.95538808550316</v>
      </c>
      <c r="V29" s="1">
        <f t="shared" si="9"/>
        <v>0</v>
      </c>
      <c r="W29" s="1">
        <f t="shared" si="10"/>
        <v>0</v>
      </c>
      <c r="X29" s="1">
        <f t="shared" si="11"/>
        <v>-196.18434003602152</v>
      </c>
      <c r="Y29" s="1">
        <f t="shared" si="23"/>
        <v>-0.47037494140154373</v>
      </c>
      <c r="Z29" s="1">
        <f t="shared" si="12"/>
        <v>-196.65471497742305</v>
      </c>
      <c r="AA29" s="1">
        <f t="shared" si="13"/>
        <v>-890.47252721207951</v>
      </c>
      <c r="AB29" s="1">
        <f t="shared" si="14"/>
        <v>892.70249207560676</v>
      </c>
      <c r="AC29" s="1">
        <f t="shared" si="15"/>
        <v>-194.42475011389581</v>
      </c>
      <c r="AD29" s="1">
        <f t="shared" si="16"/>
        <v>4.7037494140340641E-3</v>
      </c>
      <c r="AE29">
        <f t="shared" si="17"/>
        <v>-194.42004636448178</v>
      </c>
      <c r="AG29" s="19">
        <v>20</v>
      </c>
      <c r="AH29" s="19">
        <f t="shared" si="24"/>
        <v>0.92308790057600298</v>
      </c>
      <c r="AI29" s="19">
        <f t="shared" si="18"/>
        <v>8.6846415190530834E-3</v>
      </c>
      <c r="AJ29" s="19">
        <f>ROUND((1000*NPV($B$18,$AI30:$AI$85)-$AJ$6*($AH30+NPV($B$18,$AH31:$AH$85)))/AH30,3)</f>
        <v>332.459</v>
      </c>
      <c r="AK29" s="19">
        <f>ROUND(MAX(0,1000*NPV($B$19,$AI30:$AI$84)-$AJ$7*($AH30+NPV($B$19,$AH31:$AH$84)))/AH30,3)</f>
        <v>231.64500000000001</v>
      </c>
    </row>
    <row r="30" spans="1:37">
      <c r="E30">
        <v>21</v>
      </c>
      <c r="F30" s="13"/>
      <c r="G30" s="13">
        <f t="shared" si="19"/>
        <v>0</v>
      </c>
      <c r="H30" s="13">
        <f t="shared" si="20"/>
        <v>196.20000000000002</v>
      </c>
      <c r="I30" s="13">
        <f t="shared" si="0"/>
        <v>50000</v>
      </c>
      <c r="J30" s="13">
        <f t="shared" si="3"/>
        <v>248.96100000000001</v>
      </c>
      <c r="K30" s="5">
        <f t="shared" si="4"/>
        <v>350.58699999999999</v>
      </c>
      <c r="L30" s="21">
        <f t="shared" si="5"/>
        <v>12448.05</v>
      </c>
      <c r="M30">
        <f t="shared" si="6"/>
        <v>17529.349999999999</v>
      </c>
      <c r="N30" cm="1">
        <f t="array" ref="N30">_xlfn.IFS($J$1="Base Case After Incentive",Mortality_Table!E67,$J$1="Lower Bound Mortality After Incentive",Mortality_Table!F67,$J$1="Upper Bound Mortality After Incentive",Mortality_Table!G67)</f>
        <v>1.02826451E-2</v>
      </c>
      <c r="O30">
        <f t="shared" ref="O30:O84" si="25">Q29</f>
        <v>0.99991077617100632</v>
      </c>
      <c r="P30">
        <f t="shared" ref="P30:P84" si="26">N30*O30/1000</f>
        <v>1.0281727643031995E-5</v>
      </c>
      <c r="Q30">
        <f t="shared" ref="Q30:Q84" si="27">O30-SUM(P30:P30)</f>
        <v>0.99990049444336326</v>
      </c>
      <c r="R30">
        <f t="shared" ref="R30:R84" si="28">T29</f>
        <v>16621.466836751832</v>
      </c>
      <c r="S30">
        <f t="shared" ref="S30:S84" si="29">U29</f>
        <v>499.95538808550316</v>
      </c>
      <c r="T30">
        <f t="shared" si="8"/>
        <v>17527.605732270767</v>
      </c>
      <c r="U30" s="22">
        <f t="shared" si="2"/>
        <v>499.95024722168165</v>
      </c>
      <c r="V30" s="1">
        <f t="shared" si="9"/>
        <v>0</v>
      </c>
      <c r="W30" s="1">
        <f t="shared" si="10"/>
        <v>0</v>
      </c>
      <c r="X30" s="1">
        <f t="shared" si="11"/>
        <v>-196.18249428475147</v>
      </c>
      <c r="Y30" s="1">
        <f t="shared" si="23"/>
        <v>-0.51408638215159974</v>
      </c>
      <c r="Z30" s="1">
        <f t="shared" si="12"/>
        <v>-196.69658066690306</v>
      </c>
      <c r="AA30" s="1">
        <f t="shared" si="13"/>
        <v>-906.1388955189359</v>
      </c>
      <c r="AB30" s="1">
        <f t="shared" si="14"/>
        <v>941.67822236605332</v>
      </c>
      <c r="AC30" s="1">
        <f t="shared" si="15"/>
        <v>-161.15725381978575</v>
      </c>
      <c r="AD30" s="1">
        <f t="shared" si="16"/>
        <v>5.1408638215093561E-3</v>
      </c>
      <c r="AE30">
        <f t="shared" si="17"/>
        <v>-161.15211295596424</v>
      </c>
      <c r="AG30" s="19">
        <v>21</v>
      </c>
      <c r="AH30" s="19">
        <f t="shared" si="24"/>
        <v>0.91440325905694986</v>
      </c>
      <c r="AI30" s="19">
        <f t="shared" si="18"/>
        <v>9.4024841911659763E-3</v>
      </c>
      <c r="AJ30" s="19">
        <f>ROUND((1000*NPV($B$18,$AI31:$AI$85)-$AJ$6*($AH31+NPV($B$18,$AH32:$AH$85)))/AH31,3)</f>
        <v>350.58699999999999</v>
      </c>
      <c r="AK30" s="19">
        <f>ROUND(MAX(0,1000*NPV($B$19,$AI31:$AI$84)-$AJ$7*($AH31+NPV($B$19,$AH32:$AH$84)))/AH31,3)</f>
        <v>248.96100000000001</v>
      </c>
    </row>
    <row r="31" spans="1:37">
      <c r="E31">
        <v>22</v>
      </c>
      <c r="F31" s="13"/>
      <c r="G31" s="13">
        <f t="shared" si="19"/>
        <v>0</v>
      </c>
      <c r="H31" s="13">
        <f t="shared" si="20"/>
        <v>196.20000000000002</v>
      </c>
      <c r="I31" s="13">
        <f t="shared" si="0"/>
        <v>50000</v>
      </c>
      <c r="J31" s="13">
        <f t="shared" si="3"/>
        <v>266.76</v>
      </c>
      <c r="K31" s="5">
        <f t="shared" si="4"/>
        <v>368.99299999999999</v>
      </c>
      <c r="L31" s="21">
        <f t="shared" si="5"/>
        <v>13338</v>
      </c>
      <c r="M31">
        <f t="shared" si="6"/>
        <v>18449.650000000001</v>
      </c>
      <c r="N31" cm="1">
        <f t="array" ref="N31">_xlfn.IFS($J$1="Base Case After Incentive",Mortality_Table!E68,$J$1="Lower Bound Mortality After Incentive",Mortality_Table!F68,$J$1="Upper Bound Mortality After Incentive",Mortality_Table!G68)</f>
        <v>1.129129456E-2</v>
      </c>
      <c r="O31">
        <f t="shared" si="25"/>
        <v>0.99990049444336326</v>
      </c>
      <c r="P31">
        <f t="shared" si="26"/>
        <v>1.1290171013449658E-5</v>
      </c>
      <c r="Q31">
        <f t="shared" si="27"/>
        <v>0.99988920427234984</v>
      </c>
      <c r="R31">
        <f t="shared" si="28"/>
        <v>17527.605732270767</v>
      </c>
      <c r="S31">
        <f t="shared" si="29"/>
        <v>499.95024722168165</v>
      </c>
      <c r="T31">
        <f t="shared" si="8"/>
        <v>18447.605857603361</v>
      </c>
      <c r="U31" s="22">
        <f t="shared" si="2"/>
        <v>499.94460213617492</v>
      </c>
      <c r="V31" s="1">
        <f t="shared" si="9"/>
        <v>0</v>
      </c>
      <c r="W31" s="1">
        <f t="shared" si="10"/>
        <v>0</v>
      </c>
      <c r="X31" s="1">
        <f t="shared" si="11"/>
        <v>-196.18047700978789</v>
      </c>
      <c r="Y31" s="1">
        <f t="shared" si="23"/>
        <v>-0.56450855067248296</v>
      </c>
      <c r="Z31" s="1">
        <f t="shared" si="12"/>
        <v>-196.74498556046038</v>
      </c>
      <c r="AA31" s="1">
        <f t="shared" si="13"/>
        <v>-920.0001253325936</v>
      </c>
      <c r="AB31" s="1">
        <f t="shared" si="14"/>
        <v>991.51557887208469</v>
      </c>
      <c r="AC31" s="1">
        <f t="shared" si="15"/>
        <v>-125.22953202096937</v>
      </c>
      <c r="AD31" s="1">
        <f t="shared" si="16"/>
        <v>5.6450855067282646E-3</v>
      </c>
      <c r="AE31">
        <f t="shared" si="17"/>
        <v>-125.22388693546264</v>
      </c>
      <c r="AG31" s="19">
        <v>22</v>
      </c>
      <c r="AH31" s="19">
        <f t="shared" si="24"/>
        <v>0.9050007748657839</v>
      </c>
      <c r="AI31" s="19">
        <f t="shared" si="18"/>
        <v>1.0218630326037811E-2</v>
      </c>
      <c r="AJ31" s="19">
        <f>ROUND((1000*NPV($B$18,$AI32:$AI$85)-$AJ$6*($AH32+NPV($B$18,$AH33:$AH$85)))/AH32,3)</f>
        <v>368.99299999999999</v>
      </c>
      <c r="AK31" s="19">
        <f>ROUND(MAX(0,1000*NPV($B$19,$AI32:$AI$84)-$AJ$7*($AH32+NPV($B$19,$AH33:$AH$84)))/AH32,3)</f>
        <v>266.76</v>
      </c>
    </row>
    <row r="32" spans="1:37">
      <c r="E32">
        <v>23</v>
      </c>
      <c r="F32" s="13"/>
      <c r="G32" s="13">
        <f t="shared" si="19"/>
        <v>0</v>
      </c>
      <c r="H32" s="13">
        <f t="shared" si="20"/>
        <v>196.20000000000002</v>
      </c>
      <c r="I32" s="13">
        <f t="shared" si="0"/>
        <v>50000</v>
      </c>
      <c r="J32" s="13">
        <f t="shared" si="3"/>
        <v>285.06200000000001</v>
      </c>
      <c r="K32" s="5">
        <f t="shared" si="4"/>
        <v>387.68599999999998</v>
      </c>
      <c r="L32" s="21">
        <f t="shared" si="5"/>
        <v>14253.1</v>
      </c>
      <c r="M32">
        <f t="shared" si="6"/>
        <v>19384.3</v>
      </c>
      <c r="N32" cm="1">
        <f t="array" ref="N32">_xlfn.IFS($J$1="Base Case After Incentive",Mortality_Table!E69,$J$1="Lower Bound Mortality After Incentive",Mortality_Table!F69,$J$1="Upper Bound Mortality After Incentive",Mortality_Table!G69)</f>
        <v>1.236968642E-2</v>
      </c>
      <c r="O32">
        <f t="shared" si="25"/>
        <v>0.99988920427234984</v>
      </c>
      <c r="P32">
        <f t="shared" si="26"/>
        <v>1.236831591159229E-5</v>
      </c>
      <c r="Q32">
        <f t="shared" si="27"/>
        <v>0.99987683595643828</v>
      </c>
      <c r="R32">
        <f t="shared" si="28"/>
        <v>18447.605857603361</v>
      </c>
      <c r="S32">
        <f t="shared" si="29"/>
        <v>499.94460213617492</v>
      </c>
      <c r="T32">
        <f t="shared" si="8"/>
        <v>19381.912551230387</v>
      </c>
      <c r="U32" s="22">
        <f t="shared" si="2"/>
        <v>499.93841797821915</v>
      </c>
      <c r="V32" s="1">
        <f t="shared" si="9"/>
        <v>0</v>
      </c>
      <c r="W32" s="1">
        <f t="shared" si="10"/>
        <v>0</v>
      </c>
      <c r="X32" s="1">
        <f t="shared" si="11"/>
        <v>-196.17826187823505</v>
      </c>
      <c r="Y32" s="1">
        <f t="shared" si="23"/>
        <v>-0.61841579557961446</v>
      </c>
      <c r="Z32" s="1">
        <f t="shared" si="12"/>
        <v>-196.79667767381466</v>
      </c>
      <c r="AA32" s="1">
        <f t="shared" si="13"/>
        <v>-934.30669362702611</v>
      </c>
      <c r="AB32" s="1">
        <f t="shared" si="14"/>
        <v>1042.1152752856747</v>
      </c>
      <c r="AC32" s="1">
        <f t="shared" si="15"/>
        <v>-88.988096015166093</v>
      </c>
      <c r="AD32" s="1">
        <f t="shared" si="16"/>
        <v>6.1841579557722071E-3</v>
      </c>
      <c r="AE32">
        <f t="shared" si="17"/>
        <v>-88.981911857210321</v>
      </c>
      <c r="AG32" s="19">
        <v>23</v>
      </c>
      <c r="AH32" s="19">
        <f t="shared" si="24"/>
        <v>0.89478214453974614</v>
      </c>
      <c r="AI32" s="19">
        <f t="shared" si="18"/>
        <v>1.1068174542171775E-2</v>
      </c>
      <c r="AJ32" s="19">
        <f>ROUND((1000*NPV($B$18,$AI33:$AI$85)-$AJ$6*($AH33+NPV($B$18,$AH34:$AH$85)))/AH33,3)</f>
        <v>387.68599999999998</v>
      </c>
      <c r="AK32" s="19">
        <f>ROUND(MAX(0,1000*NPV($B$19,$AI33:$AI$84)-$AJ$7*($AH33+NPV($B$19,$AH34:$AH$84)))/AH33,3)</f>
        <v>285.06200000000001</v>
      </c>
    </row>
    <row r="33" spans="5:37">
      <c r="E33">
        <v>24</v>
      </c>
      <c r="F33" s="13"/>
      <c r="G33" s="13">
        <f t="shared" si="19"/>
        <v>0</v>
      </c>
      <c r="H33" s="13">
        <f t="shared" si="20"/>
        <v>196.20000000000002</v>
      </c>
      <c r="I33" s="13">
        <f t="shared" si="0"/>
        <v>50000</v>
      </c>
      <c r="J33" s="13">
        <f t="shared" si="3"/>
        <v>303.89800000000002</v>
      </c>
      <c r="K33" s="5">
        <f t="shared" si="4"/>
        <v>406.68200000000002</v>
      </c>
      <c r="L33" s="21">
        <f t="shared" si="5"/>
        <v>15194.900000000001</v>
      </c>
      <c r="M33">
        <f t="shared" si="6"/>
        <v>20334.099999999999</v>
      </c>
      <c r="N33" cm="1">
        <f t="array" ref="N33">_xlfn.IFS($J$1="Base Case After Incentive",Mortality_Table!E70,$J$1="Lower Bound Mortality After Incentive",Mortality_Table!F70,$J$1="Upper Bound Mortality After Incentive",Mortality_Table!G70)</f>
        <v>1.3515205339999999E-2</v>
      </c>
      <c r="O33">
        <f t="shared" si="25"/>
        <v>0.99987683595643828</v>
      </c>
      <c r="P33">
        <f t="shared" si="26"/>
        <v>1.3513540752660758E-5</v>
      </c>
      <c r="Q33">
        <f t="shared" si="27"/>
        <v>0.99986332241568565</v>
      </c>
      <c r="R33">
        <f t="shared" si="28"/>
        <v>19381.912551230387</v>
      </c>
      <c r="S33">
        <f t="shared" si="29"/>
        <v>499.93841797821915</v>
      </c>
      <c r="T33">
        <f t="shared" si="8"/>
        <v>20331.320784332791</v>
      </c>
      <c r="U33" s="22">
        <f t="shared" si="2"/>
        <v>499.93166120784281</v>
      </c>
      <c r="V33" s="1">
        <f t="shared" si="9"/>
        <v>0</v>
      </c>
      <c r="W33" s="1">
        <f t="shared" si="10"/>
        <v>0</v>
      </c>
      <c r="X33" s="1">
        <f t="shared" si="11"/>
        <v>-196.1758352146532</v>
      </c>
      <c r="Y33" s="1">
        <f t="shared" si="23"/>
        <v>-0.67567703763303788</v>
      </c>
      <c r="Z33" s="1">
        <f t="shared" si="12"/>
        <v>-196.85151225228626</v>
      </c>
      <c r="AA33" s="1">
        <f t="shared" si="13"/>
        <v>-949.40823310240376</v>
      </c>
      <c r="AB33" s="1">
        <f t="shared" si="14"/>
        <v>1093.5018033064734</v>
      </c>
      <c r="AC33" s="1">
        <f t="shared" si="15"/>
        <v>-52.757942048216592</v>
      </c>
      <c r="AD33" s="1">
        <f t="shared" si="16"/>
        <v>6.7567703763415921E-3</v>
      </c>
      <c r="AE33">
        <f t="shared" si="17"/>
        <v>-52.75118527784025</v>
      </c>
      <c r="AG33" s="19">
        <v>24</v>
      </c>
      <c r="AH33" s="19">
        <f t="shared" si="24"/>
        <v>0.88371396999757434</v>
      </c>
      <c r="AI33" s="19">
        <f t="shared" si="18"/>
        <v>1.1943575766343816E-2</v>
      </c>
      <c r="AJ33" s="19">
        <f>ROUND((1000*NPV($B$18,$AI34:$AI$85)-$AJ$6*($AH34+NPV($B$18,$AH35:$AH$85)))/AH34,3)</f>
        <v>406.68200000000002</v>
      </c>
      <c r="AK33" s="19">
        <f>ROUND(MAX(0,1000*NPV($B$19,$AI34:$AI$84)-$AJ$7*($AH34+NPV($B$19,$AH35:$AH$84)))/AH34,3)</f>
        <v>303.89800000000002</v>
      </c>
    </row>
    <row r="34" spans="5:37">
      <c r="E34">
        <v>25</v>
      </c>
      <c r="F34" s="13"/>
      <c r="G34" s="13">
        <f t="shared" si="19"/>
        <v>0</v>
      </c>
      <c r="H34" s="13">
        <f t="shared" si="20"/>
        <v>196.20000000000002</v>
      </c>
      <c r="I34" s="13">
        <f t="shared" si="0"/>
        <v>50000</v>
      </c>
      <c r="J34" s="13">
        <f t="shared" si="3"/>
        <v>323.25200000000001</v>
      </c>
      <c r="K34" s="5">
        <f t="shared" si="4"/>
        <v>425.95800000000003</v>
      </c>
      <c r="L34" s="21">
        <f t="shared" si="5"/>
        <v>16162.6</v>
      </c>
      <c r="M34">
        <f t="shared" si="6"/>
        <v>21297.9</v>
      </c>
      <c r="N34" cm="1">
        <f t="array" ref="N34">_xlfn.IFS($J$1="Base Case After Incentive",Mortality_Table!E71,$J$1="Lower Bound Mortality After Incentive",Mortality_Table!F71,$J$1="Upper Bound Mortality After Incentive",Mortality_Table!G71)</f>
        <v>1.4805439740000001E-2</v>
      </c>
      <c r="O34">
        <f t="shared" si="25"/>
        <v>0.99986332241568565</v>
      </c>
      <c r="P34">
        <f t="shared" si="26"/>
        <v>1.4803416168261625E-5</v>
      </c>
      <c r="Q34">
        <f t="shared" si="27"/>
        <v>0.99984851899951743</v>
      </c>
      <c r="R34">
        <f t="shared" si="28"/>
        <v>20331.320784332791</v>
      </c>
      <c r="S34">
        <f t="shared" si="29"/>
        <v>499.93166120784281</v>
      </c>
      <c r="T34">
        <f t="shared" si="8"/>
        <v>21294.673772799822</v>
      </c>
      <c r="U34" s="22">
        <f t="shared" si="2"/>
        <v>499.9242594997587</v>
      </c>
      <c r="V34" s="1">
        <f t="shared" si="9"/>
        <v>0</v>
      </c>
      <c r="W34" s="1">
        <f t="shared" si="10"/>
        <v>0</v>
      </c>
      <c r="X34" s="1">
        <f t="shared" si="11"/>
        <v>-196.17318385795755</v>
      </c>
      <c r="Y34" s="1">
        <f t="shared" si="23"/>
        <v>-0.74017080841308125</v>
      </c>
      <c r="Z34" s="1">
        <f t="shared" si="12"/>
        <v>-196.91335466637062</v>
      </c>
      <c r="AA34" s="1">
        <f t="shared" si="13"/>
        <v>-963.35298846703154</v>
      </c>
      <c r="AB34" s="1">
        <f t="shared" si="14"/>
        <v>1145.7188845047349</v>
      </c>
      <c r="AC34" s="1">
        <f t="shared" si="15"/>
        <v>-14.5474586286673</v>
      </c>
      <c r="AD34" s="1">
        <f t="shared" si="16"/>
        <v>7.4017080841031202E-3</v>
      </c>
      <c r="AE34">
        <f t="shared" si="17"/>
        <v>-14.540056920583197</v>
      </c>
      <c r="AG34" s="19">
        <v>25</v>
      </c>
      <c r="AH34" s="19">
        <f t="shared" si="24"/>
        <v>0.87177039423123048</v>
      </c>
      <c r="AI34" s="19">
        <f t="shared" si="18"/>
        <v>1.2906944038906527E-2</v>
      </c>
      <c r="AJ34" s="19">
        <f>ROUND((1000*NPV($B$18,$AI35:$AI$85)-$AJ$6*($AH35+NPV($B$18,$AH36:$AH$85)))/AH35,3)</f>
        <v>425.95800000000003</v>
      </c>
      <c r="AK34" s="19">
        <f>ROUND(MAX(0,1000*NPV($B$19,$AI35:$AI$84)-$AJ$7*($AH35+NPV($B$19,$AH36:$AH$84)))/AH35,3)</f>
        <v>323.25200000000001</v>
      </c>
    </row>
    <row r="35" spans="5:37">
      <c r="E35">
        <v>26</v>
      </c>
      <c r="F35" s="13"/>
      <c r="G35" s="13">
        <f t="shared" si="19"/>
        <v>0</v>
      </c>
      <c r="H35" s="13">
        <f t="shared" si="20"/>
        <v>196.20000000000002</v>
      </c>
      <c r="I35" s="13">
        <f t="shared" si="0"/>
        <v>50000</v>
      </c>
      <c r="J35" s="13">
        <f t="shared" si="3"/>
        <v>343.10500000000002</v>
      </c>
      <c r="K35" s="5">
        <f t="shared" si="4"/>
        <v>445.488</v>
      </c>
      <c r="L35" s="21">
        <f t="shared" si="5"/>
        <v>17155.25</v>
      </c>
      <c r="M35">
        <f t="shared" si="6"/>
        <v>22274.400000000001</v>
      </c>
      <c r="N35" cm="1">
        <f t="array" ref="N35">_xlfn.IFS($J$1="Base Case After Incentive",Mortality_Table!E72,$J$1="Lower Bound Mortality After Incentive",Mortality_Table!F72,$J$1="Upper Bound Mortality After Incentive",Mortality_Table!G72)</f>
        <v>1.6260440559999999E-2</v>
      </c>
      <c r="O35">
        <f t="shared" si="25"/>
        <v>0.99984851899951743</v>
      </c>
      <c r="P35">
        <f t="shared" si="26"/>
        <v>1.6257977412195685E-5</v>
      </c>
      <c r="Q35">
        <f t="shared" si="27"/>
        <v>0.99983226102210521</v>
      </c>
      <c r="R35">
        <f t="shared" si="28"/>
        <v>21294.673772799822</v>
      </c>
      <c r="S35">
        <f t="shared" si="29"/>
        <v>499.9242594997587</v>
      </c>
      <c r="T35">
        <f t="shared" si="8"/>
        <v>22270.663714910781</v>
      </c>
      <c r="U35" s="22">
        <f t="shared" si="2"/>
        <v>499.91613051105259</v>
      </c>
      <c r="V35" s="1">
        <f t="shared" si="9"/>
        <v>0</v>
      </c>
      <c r="W35" s="1">
        <f t="shared" si="10"/>
        <v>0</v>
      </c>
      <c r="X35" s="1">
        <f t="shared" si="11"/>
        <v>-196.17027942770534</v>
      </c>
      <c r="Y35" s="1">
        <f t="shared" si="23"/>
        <v>-0.81289887060978427</v>
      </c>
      <c r="Z35" s="1">
        <f t="shared" si="12"/>
        <v>-196.98317829831512</v>
      </c>
      <c r="AA35" s="1">
        <f t="shared" si="13"/>
        <v>-975.98994211095851</v>
      </c>
      <c r="AB35" s="1">
        <f t="shared" si="14"/>
        <v>1198.7028917764769</v>
      </c>
      <c r="AC35" s="1">
        <f t="shared" si="15"/>
        <v>25.729771367203284</v>
      </c>
      <c r="AD35" s="1">
        <f t="shared" si="16"/>
        <v>8.1289887061188892E-3</v>
      </c>
      <c r="AE35">
        <f t="shared" si="17"/>
        <v>25.737900355909403</v>
      </c>
      <c r="AG35" s="19">
        <v>26</v>
      </c>
      <c r="AH35" s="19">
        <f t="shared" si="24"/>
        <v>0.85886345019232391</v>
      </c>
      <c r="AI35" s="19">
        <f t="shared" si="18"/>
        <v>1.3965498081008802E-2</v>
      </c>
      <c r="AJ35" s="19">
        <f>ROUND((1000*NPV($B$18,$AI36:$AI$85)-$AJ$6*($AH36+NPV($B$18,$AH37:$AH$85)))/AH36,3)</f>
        <v>445.488</v>
      </c>
      <c r="AK35" s="19">
        <f>ROUND(MAX(0,1000*NPV($B$19,$AI36:$AI$84)-$AJ$7*($AH36+NPV($B$19,$AH37:$AH$84)))/AH36,3)</f>
        <v>343.10500000000002</v>
      </c>
    </row>
    <row r="36" spans="5:37">
      <c r="E36">
        <v>27</v>
      </c>
      <c r="F36" s="13"/>
      <c r="G36" s="13">
        <f t="shared" si="19"/>
        <v>0</v>
      </c>
      <c r="H36" s="13">
        <f t="shared" si="20"/>
        <v>196.20000000000002</v>
      </c>
      <c r="I36" s="13">
        <f t="shared" si="0"/>
        <v>50000</v>
      </c>
      <c r="J36" s="13">
        <f t="shared" si="3"/>
        <v>363.42099999999999</v>
      </c>
      <c r="K36" s="5">
        <f t="shared" si="4"/>
        <v>465.22899999999998</v>
      </c>
      <c r="L36" s="21">
        <f t="shared" si="5"/>
        <v>18171.05</v>
      </c>
      <c r="M36">
        <f t="shared" si="6"/>
        <v>23261.45</v>
      </c>
      <c r="N36" cm="1">
        <f t="array" ref="N36">_xlfn.IFS($J$1="Base Case After Incentive",Mortality_Table!E73,$J$1="Lower Bound Mortality After Incentive",Mortality_Table!F73,$J$1="Upper Bound Mortality After Incentive",Mortality_Table!G73)</f>
        <v>1.7925540359999999E-2</v>
      </c>
      <c r="O36">
        <f t="shared" si="25"/>
        <v>0.99983226102210521</v>
      </c>
      <c r="P36">
        <f t="shared" si="26"/>
        <v>1.79225335481818E-5</v>
      </c>
      <c r="Q36">
        <f t="shared" si="27"/>
        <v>0.99981433848855705</v>
      </c>
      <c r="R36">
        <f t="shared" si="28"/>
        <v>22270.663714910781</v>
      </c>
      <c r="S36">
        <f t="shared" si="29"/>
        <v>499.91613051105259</v>
      </c>
      <c r="T36">
        <f t="shared" si="8"/>
        <v>23257.131244034645</v>
      </c>
      <c r="U36" s="22">
        <f t="shared" si="2"/>
        <v>499.90716924427852</v>
      </c>
      <c r="V36" s="1">
        <f t="shared" si="9"/>
        <v>0</v>
      </c>
      <c r="W36" s="1">
        <f t="shared" si="10"/>
        <v>0</v>
      </c>
      <c r="X36" s="1">
        <f t="shared" si="11"/>
        <v>-196.16708961253707</v>
      </c>
      <c r="Y36" s="1">
        <f t="shared" si="23"/>
        <v>-0.89612667740909002</v>
      </c>
      <c r="Z36" s="1">
        <f t="shared" si="12"/>
        <v>-197.06321628994615</v>
      </c>
      <c r="AA36" s="1">
        <f t="shared" si="13"/>
        <v>-986.46752912386364</v>
      </c>
      <c r="AB36" s="1">
        <f t="shared" si="14"/>
        <v>1252.381891498201</v>
      </c>
      <c r="AC36" s="1">
        <f t="shared" si="15"/>
        <v>68.851146084391075</v>
      </c>
      <c r="AD36" s="1">
        <f t="shared" si="16"/>
        <v>8.9612667740652796E-3</v>
      </c>
      <c r="AE36">
        <f t="shared" si="17"/>
        <v>68.860107351165141</v>
      </c>
      <c r="AG36" s="19">
        <v>27</v>
      </c>
      <c r="AH36" s="19">
        <f t="shared" si="24"/>
        <v>0.84489795211131513</v>
      </c>
      <c r="AI36" s="19">
        <f t="shared" si="18"/>
        <v>1.5145252340652726E-2</v>
      </c>
      <c r="AJ36" s="19">
        <f>ROUND((1000*NPV($B$18,$AI37:$AI$85)-$AJ$6*($AH37+NPV($B$18,$AH38:$AH$85)))/AH37,3)</f>
        <v>465.22899999999998</v>
      </c>
      <c r="AK36" s="19">
        <f>ROUND(MAX(0,1000*NPV($B$19,$AI37:$AI$84)-$AJ$7*($AH37+NPV($B$19,$AH38:$AH$84)))/AH37,3)</f>
        <v>363.42099999999999</v>
      </c>
    </row>
    <row r="37" spans="5:37">
      <c r="E37">
        <v>28</v>
      </c>
      <c r="F37" s="13"/>
      <c r="G37" s="13">
        <f t="shared" si="19"/>
        <v>0</v>
      </c>
      <c r="H37" s="13">
        <f t="shared" si="20"/>
        <v>196.20000000000002</v>
      </c>
      <c r="I37" s="13">
        <f t="shared" si="0"/>
        <v>50000</v>
      </c>
      <c r="J37" s="13">
        <f t="shared" si="3"/>
        <v>384.14299999999997</v>
      </c>
      <c r="K37" s="5">
        <f t="shared" si="4"/>
        <v>485.12700000000001</v>
      </c>
      <c r="L37" s="21">
        <f t="shared" si="5"/>
        <v>19207.150000000001</v>
      </c>
      <c r="M37">
        <f t="shared" si="6"/>
        <v>24256.35</v>
      </c>
      <c r="N37" cm="1">
        <f t="array" ref="N37">_xlfn.IFS($J$1="Base Case After Incentive",Mortality_Table!E74,$J$1="Lower Bound Mortality After Incentive",Mortality_Table!F74,$J$1="Upper Bound Mortality After Incentive",Mortality_Table!G74)</f>
        <v>1.984694348E-2</v>
      </c>
      <c r="O37">
        <f t="shared" si="25"/>
        <v>0.99981433848855705</v>
      </c>
      <c r="P37">
        <f t="shared" si="26"/>
        <v>1.9843258666475981E-5</v>
      </c>
      <c r="Q37">
        <f t="shared" si="27"/>
        <v>0.99979449522989061</v>
      </c>
      <c r="R37">
        <f t="shared" si="28"/>
        <v>23257.131244034645</v>
      </c>
      <c r="S37">
        <f t="shared" si="29"/>
        <v>499.90716924427852</v>
      </c>
      <c r="T37">
        <f t="shared" si="8"/>
        <v>24251.365204369555</v>
      </c>
      <c r="U37" s="22">
        <f t="shared" si="2"/>
        <v>499.89724761494529</v>
      </c>
      <c r="V37" s="1">
        <f t="shared" si="9"/>
        <v>0</v>
      </c>
      <c r="W37" s="1">
        <f t="shared" si="10"/>
        <v>0</v>
      </c>
      <c r="X37" s="1">
        <f t="shared" si="11"/>
        <v>-196.16357321145492</v>
      </c>
      <c r="Y37" s="1">
        <f t="shared" si="23"/>
        <v>-0.99216293332379901</v>
      </c>
      <c r="Z37" s="1">
        <f t="shared" si="12"/>
        <v>-197.15573614477873</v>
      </c>
      <c r="AA37" s="1">
        <f t="shared" si="13"/>
        <v>-994.23396033491008</v>
      </c>
      <c r="AB37" s="1">
        <f t="shared" si="14"/>
        <v>1306.6371127303407</v>
      </c>
      <c r="AC37" s="1">
        <f t="shared" si="15"/>
        <v>115.2474162506519</v>
      </c>
      <c r="AD37" s="1">
        <f t="shared" si="16"/>
        <v>9.921629333234705E-3</v>
      </c>
      <c r="AE37">
        <f t="shared" si="17"/>
        <v>115.25733787998513</v>
      </c>
      <c r="AG37" s="19">
        <v>28</v>
      </c>
      <c r="AH37" s="19">
        <f t="shared" si="24"/>
        <v>0.82975269977066235</v>
      </c>
      <c r="AI37" s="19">
        <f t="shared" si="18"/>
        <v>1.6468054934725744E-2</v>
      </c>
      <c r="AJ37" s="19">
        <f>ROUND((1000*NPV($B$18,$AI38:$AI$85)-$AJ$6*($AH38+NPV($B$18,$AH39:$AH$85)))/AH38,3)</f>
        <v>485.12700000000001</v>
      </c>
      <c r="AK37" s="19">
        <f>ROUND(MAX(0,1000*NPV($B$19,$AI38:$AI$84)-$AJ$7*($AH38+NPV($B$19,$AH39:$AH$84)))/AH38,3)</f>
        <v>384.14299999999997</v>
      </c>
    </row>
    <row r="38" spans="5:37">
      <c r="E38">
        <v>29</v>
      </c>
      <c r="F38" s="13"/>
      <c r="G38" s="13">
        <f t="shared" si="19"/>
        <v>0</v>
      </c>
      <c r="H38" s="13">
        <f t="shared" si="20"/>
        <v>196.20000000000002</v>
      </c>
      <c r="I38" s="13">
        <f t="shared" si="0"/>
        <v>50000</v>
      </c>
      <c r="J38" s="13">
        <f t="shared" si="3"/>
        <v>405.209</v>
      </c>
      <c r="K38" s="5">
        <f t="shared" si="4"/>
        <v>505.12099999999998</v>
      </c>
      <c r="L38" s="21">
        <f t="shared" si="5"/>
        <v>20260.45</v>
      </c>
      <c r="M38">
        <f t="shared" si="6"/>
        <v>25256.05</v>
      </c>
      <c r="N38" cm="1">
        <f t="array" ref="N38">_xlfn.IFS($J$1="Base Case After Incentive",Mortality_Table!E75,$J$1="Lower Bound Mortality After Incentive",Mortality_Table!F75,$J$1="Upper Bound Mortality After Incentive",Mortality_Table!G75)</f>
        <v>2.2062136459999999E-2</v>
      </c>
      <c r="O38">
        <f t="shared" si="25"/>
        <v>0.99979449522989061</v>
      </c>
      <c r="P38">
        <f t="shared" si="26"/>
        <v>2.2057602585718664E-5</v>
      </c>
      <c r="Q38">
        <f t="shared" si="27"/>
        <v>0.99977243762730494</v>
      </c>
      <c r="R38">
        <f t="shared" si="28"/>
        <v>24251.365204369555</v>
      </c>
      <c r="S38">
        <f t="shared" si="29"/>
        <v>499.89724761494529</v>
      </c>
      <c r="T38">
        <f t="shared" si="8"/>
        <v>25250.302673337093</v>
      </c>
      <c r="U38" s="22">
        <f t="shared" si="2"/>
        <v>499.88621881365248</v>
      </c>
      <c r="V38" s="1">
        <f t="shared" si="9"/>
        <v>0</v>
      </c>
      <c r="W38" s="1">
        <f t="shared" si="10"/>
        <v>0</v>
      </c>
      <c r="X38" s="1">
        <f t="shared" si="11"/>
        <v>-196.15967996410455</v>
      </c>
      <c r="Y38" s="1">
        <f t="shared" si="23"/>
        <v>-1.1028801292859332</v>
      </c>
      <c r="Z38" s="1">
        <f t="shared" si="12"/>
        <v>-197.26256009339048</v>
      </c>
      <c r="AA38" s="1">
        <f t="shared" si="13"/>
        <v>-998.93746896753873</v>
      </c>
      <c r="AB38" s="1">
        <f t="shared" si="14"/>
        <v>1361.3194348591476</v>
      </c>
      <c r="AC38" s="1">
        <f t="shared" si="15"/>
        <v>165.11940579821839</v>
      </c>
      <c r="AD38" s="1">
        <f t="shared" si="16"/>
        <v>1.1028801292809476E-2</v>
      </c>
      <c r="AE38">
        <f t="shared" si="17"/>
        <v>165.1304345995112</v>
      </c>
      <c r="AG38" s="19">
        <v>29</v>
      </c>
      <c r="AH38" s="19">
        <f t="shared" si="24"/>
        <v>0.81328464483593665</v>
      </c>
      <c r="AI38" s="19">
        <f t="shared" si="18"/>
        <v>1.794279681519307E-2</v>
      </c>
      <c r="AJ38" s="19">
        <f>ROUND((1000*NPV($B$18,$AI39:$AI$85)-$AJ$6*($AH39+NPV($B$18,$AH40:$AH$85)))/AH39,3)</f>
        <v>505.12099999999998</v>
      </c>
      <c r="AK38" s="19">
        <f>ROUND(MAX(0,1000*NPV($B$19,$AI39:$AI$84)-$AJ$7*($AH39+NPV($B$19,$AH40:$AH$84)))/AH39,3)</f>
        <v>405.209</v>
      </c>
    </row>
    <row r="39" spans="5:37">
      <c r="E39">
        <v>30</v>
      </c>
      <c r="F39" s="13"/>
      <c r="G39" s="13">
        <f t="shared" si="19"/>
        <v>0</v>
      </c>
      <c r="H39" s="13">
        <f t="shared" si="20"/>
        <v>196.20000000000002</v>
      </c>
      <c r="I39" s="13">
        <f t="shared" si="0"/>
        <v>50000</v>
      </c>
      <c r="J39" s="13">
        <f t="shared" si="3"/>
        <v>426.49599999999998</v>
      </c>
      <c r="K39" s="5">
        <f t="shared" si="4"/>
        <v>525.10299999999995</v>
      </c>
      <c r="L39" s="21">
        <f t="shared" si="5"/>
        <v>21324.799999999999</v>
      </c>
      <c r="M39">
        <f t="shared" si="6"/>
        <v>26255.149999999998</v>
      </c>
      <c r="N39" cm="1">
        <f t="array" ref="N39">_xlfn.IFS($J$1="Base Case After Incentive",Mortality_Table!E76,$J$1="Lower Bound Mortality After Incentive",Mortality_Table!F76,$J$1="Upper Bound Mortality After Incentive",Mortality_Table!G76)</f>
        <v>2.4701014520000002E-2</v>
      </c>
      <c r="O39">
        <f t="shared" si="25"/>
        <v>0.99977243762730494</v>
      </c>
      <c r="P39">
        <f t="shared" si="26"/>
        <v>2.4695393498527853E-5</v>
      </c>
      <c r="Q39">
        <f t="shared" si="27"/>
        <v>0.99974774223380647</v>
      </c>
      <c r="R39">
        <f t="shared" si="28"/>
        <v>25250.302673337093</v>
      </c>
      <c r="S39">
        <f t="shared" si="29"/>
        <v>499.88621881365248</v>
      </c>
      <c r="T39">
        <f t="shared" si="8"/>
        <v>26248.526934509922</v>
      </c>
      <c r="U39" s="22">
        <f t="shared" si="2"/>
        <v>499.87387111690322</v>
      </c>
      <c r="V39" s="1">
        <f t="shared" si="9"/>
        <v>0</v>
      </c>
      <c r="W39" s="1">
        <f t="shared" si="10"/>
        <v>0</v>
      </c>
      <c r="X39" s="1">
        <f t="shared" si="11"/>
        <v>-196.15535226247724</v>
      </c>
      <c r="Y39" s="1">
        <f t="shared" si="23"/>
        <v>-1.2347696749263926</v>
      </c>
      <c r="Z39" s="1">
        <f t="shared" si="12"/>
        <v>-197.39012193740362</v>
      </c>
      <c r="AA39" s="1">
        <f t="shared" si="13"/>
        <v>-998.22426117282885</v>
      </c>
      <c r="AB39" s="1">
        <f t="shared" si="14"/>
        <v>1416.260389068291</v>
      </c>
      <c r="AC39" s="1">
        <f t="shared" si="15"/>
        <v>220.64600595805859</v>
      </c>
      <c r="AD39" s="1">
        <f t="shared" si="16"/>
        <v>1.2347696749259285E-2</v>
      </c>
      <c r="AE39">
        <f t="shared" si="17"/>
        <v>220.65835365480785</v>
      </c>
      <c r="AG39" s="19">
        <v>30</v>
      </c>
      <c r="AH39" s="19">
        <f t="shared" si="24"/>
        <v>0.79534184802074359</v>
      </c>
      <c r="AI39" s="19">
        <f t="shared" si="18"/>
        <v>1.9645750536324023E-2</v>
      </c>
      <c r="AJ39" s="19">
        <f>ROUND((1000*NPV($B$18,$AI40:$AI$85)-$AJ$6*($AH40+NPV($B$18,$AH41:$AH$85)))/AH40,3)</f>
        <v>525.10299999999995</v>
      </c>
      <c r="AK39" s="19">
        <f>ROUND(MAX(0,1000*NPV($B$19,$AI40:$AI$84)-$AJ$7*($AH40+NPV($B$19,$AH41:$AH$84)))/AH40,3)</f>
        <v>426.49599999999998</v>
      </c>
    </row>
    <row r="40" spans="5:37">
      <c r="E40">
        <v>31</v>
      </c>
      <c r="F40" s="13"/>
      <c r="G40" s="13">
        <f t="shared" si="19"/>
        <v>0</v>
      </c>
      <c r="H40" s="13">
        <f t="shared" si="20"/>
        <v>196.20000000000002</v>
      </c>
      <c r="I40" s="13">
        <f t="shared" si="0"/>
        <v>50000</v>
      </c>
      <c r="J40" s="13">
        <f t="shared" si="3"/>
        <v>447.90800000000002</v>
      </c>
      <c r="K40" s="5">
        <f t="shared" si="4"/>
        <v>544.99099999999999</v>
      </c>
      <c r="L40" s="21">
        <f t="shared" si="5"/>
        <v>22395.4</v>
      </c>
      <c r="M40">
        <f t="shared" si="6"/>
        <v>27249.55</v>
      </c>
      <c r="N40" cm="1">
        <f t="array" ref="N40">_xlfn.IFS($J$1="Base Case After Incentive",Mortality_Table!E77,$J$1="Lower Bound Mortality After Incentive",Mortality_Table!F77,$J$1="Upper Bound Mortality After Incentive",Mortality_Table!G77)</f>
        <v>2.77443985E-2</v>
      </c>
      <c r="O40">
        <f t="shared" si="25"/>
        <v>0.99974774223380647</v>
      </c>
      <c r="P40">
        <f t="shared" si="26"/>
        <v>2.7737399760010006E-5</v>
      </c>
      <c r="Q40">
        <f t="shared" si="27"/>
        <v>0.99972000483404644</v>
      </c>
      <c r="R40">
        <f t="shared" si="28"/>
        <v>26248.526934509922</v>
      </c>
      <c r="S40">
        <f t="shared" si="29"/>
        <v>499.87387111690322</v>
      </c>
      <c r="T40">
        <f t="shared" si="8"/>
        <v>27241.920257725589</v>
      </c>
      <c r="U40" s="22">
        <f t="shared" si="2"/>
        <v>499.86000241702322</v>
      </c>
      <c r="V40" s="1">
        <f t="shared" si="9"/>
        <v>0</v>
      </c>
      <c r="W40" s="1">
        <f t="shared" si="10"/>
        <v>0</v>
      </c>
      <c r="X40" s="1">
        <f t="shared" si="11"/>
        <v>-196.15050702627283</v>
      </c>
      <c r="Y40" s="1">
        <f t="shared" si="23"/>
        <v>-1.3868699880005002</v>
      </c>
      <c r="Z40" s="1">
        <f t="shared" si="12"/>
        <v>-197.53737701427335</v>
      </c>
      <c r="AA40" s="1">
        <f t="shared" si="13"/>
        <v>-993.3933232156669</v>
      </c>
      <c r="AB40" s="1">
        <f t="shared" si="14"/>
        <v>1471.1620443094753</v>
      </c>
      <c r="AC40" s="1">
        <f t="shared" si="15"/>
        <v>280.23134407953512</v>
      </c>
      <c r="AD40" s="1">
        <f t="shared" si="16"/>
        <v>1.3868699879992619E-2</v>
      </c>
      <c r="AE40">
        <f t="shared" si="17"/>
        <v>280.24521277941511</v>
      </c>
      <c r="AG40" s="19">
        <v>31</v>
      </c>
      <c r="AH40" s="19">
        <f t="shared" si="24"/>
        <v>0.77569609748441959</v>
      </c>
      <c r="AI40" s="19">
        <f t="shared" si="18"/>
        <v>2.1521221643502585E-2</v>
      </c>
      <c r="AJ40" s="19">
        <f>ROUND((1000*NPV($B$18,$AI41:$AI$85)-$AJ$6*($AH41+NPV($B$18,$AH42:$AH$85)))/AH41,3)</f>
        <v>544.99099999999999</v>
      </c>
      <c r="AK40" s="19">
        <f>ROUND(MAX(0,1000*NPV($B$19,$AI41:$AI$84)-$AJ$7*($AH41+NPV($B$19,$AH42:$AH$84)))/AH41,3)</f>
        <v>447.90800000000002</v>
      </c>
    </row>
    <row r="41" spans="5:37">
      <c r="E41">
        <v>32</v>
      </c>
      <c r="F41" s="13"/>
      <c r="G41" s="13">
        <f t="shared" si="19"/>
        <v>0</v>
      </c>
      <c r="H41" s="13">
        <f t="shared" si="20"/>
        <v>196.20000000000002</v>
      </c>
      <c r="I41" s="13">
        <f t="shared" ref="I41:I72" si="30">$B$10</f>
        <v>50000</v>
      </c>
      <c r="J41" s="13">
        <f t="shared" si="3"/>
        <v>469.34500000000003</v>
      </c>
      <c r="K41" s="5">
        <f t="shared" si="4"/>
        <v>564.70000000000005</v>
      </c>
      <c r="L41" s="21">
        <f t="shared" si="5"/>
        <v>23467.25</v>
      </c>
      <c r="M41">
        <f t="shared" si="6"/>
        <v>28235.000000000004</v>
      </c>
      <c r="N41" cm="1">
        <f t="array" ref="N41">_xlfn.IFS($J$1="Base Case After Incentive",Mortality_Table!E78,$J$1="Lower Bound Mortality After Incentive",Mortality_Table!F78,$J$1="Upper Bound Mortality After Incentive",Mortality_Table!G78)</f>
        <v>3.1239364519999997E-2</v>
      </c>
      <c r="O41">
        <f t="shared" si="25"/>
        <v>0.99972000483404644</v>
      </c>
      <c r="P41">
        <f t="shared" si="26"/>
        <v>3.1230617648946939E-5</v>
      </c>
      <c r="Q41">
        <f t="shared" si="27"/>
        <v>0.99968877421639746</v>
      </c>
      <c r="R41">
        <f t="shared" si="28"/>
        <v>27241.920257725589</v>
      </c>
      <c r="S41">
        <f t="shared" si="29"/>
        <v>499.86000241702322</v>
      </c>
      <c r="T41">
        <f t="shared" si="8"/>
        <v>28226.212539999986</v>
      </c>
      <c r="U41" s="22">
        <f t="shared" ref="U41:U72" si="31">$B$11*I41*Q41</f>
        <v>499.8443871081987</v>
      </c>
      <c r="V41" s="1">
        <f t="shared" si="9"/>
        <v>0</v>
      </c>
      <c r="W41" s="1">
        <f t="shared" si="10"/>
        <v>0</v>
      </c>
      <c r="X41" s="1">
        <f t="shared" si="11"/>
        <v>-196.14506494843994</v>
      </c>
      <c r="Y41" s="1">
        <f t="shared" si="23"/>
        <v>-1.5615308824473468</v>
      </c>
      <c r="Z41" s="1">
        <f t="shared" si="12"/>
        <v>-197.7065958308873</v>
      </c>
      <c r="AA41" s="1">
        <f t="shared" si="13"/>
        <v>-984.29228227439671</v>
      </c>
      <c r="AB41" s="1">
        <f t="shared" si="14"/>
        <v>1525.7979143078437</v>
      </c>
      <c r="AC41" s="1">
        <f t="shared" si="15"/>
        <v>343.79903620255982</v>
      </c>
      <c r="AD41" s="1">
        <f t="shared" si="16"/>
        <v>1.561530882452189E-2</v>
      </c>
      <c r="AE41">
        <f t="shared" si="17"/>
        <v>343.81465151138434</v>
      </c>
      <c r="AG41" s="19">
        <v>32</v>
      </c>
      <c r="AH41" s="19">
        <f t="shared" si="24"/>
        <v>0.75417487584091703</v>
      </c>
      <c r="AI41" s="19">
        <f t="shared" si="18"/>
        <v>2.3559943858220148E-2</v>
      </c>
      <c r="AJ41" s="19">
        <f>ROUND((1000*NPV($B$18,$AI42:$AI$85)-$AJ$6*($AH42+NPV($B$18,$AH43:$AH$85)))/AH42,3)</f>
        <v>564.70000000000005</v>
      </c>
      <c r="AK41" s="19">
        <f>ROUND(MAX(0,1000*NPV($B$19,$AI42:$AI$84)-$AJ$7*($AH42+NPV($B$19,$AH43:$AH$84)))/AH42,3)</f>
        <v>469.34500000000003</v>
      </c>
    </row>
    <row r="42" spans="5:37">
      <c r="E42">
        <v>33</v>
      </c>
      <c r="F42" s="13"/>
      <c r="G42" s="13">
        <f t="shared" si="19"/>
        <v>0</v>
      </c>
      <c r="H42" s="13">
        <f t="shared" si="20"/>
        <v>196.20000000000002</v>
      </c>
      <c r="I42" s="13">
        <f t="shared" si="30"/>
        <v>50000</v>
      </c>
      <c r="J42" s="13">
        <f t="shared" si="3"/>
        <v>490.67899999999997</v>
      </c>
      <c r="K42" s="5">
        <f t="shared" si="4"/>
        <v>584.125</v>
      </c>
      <c r="L42" s="21">
        <f t="shared" si="5"/>
        <v>24533.95</v>
      </c>
      <c r="M42">
        <f t="shared" si="6"/>
        <v>29206.25</v>
      </c>
      <c r="N42" cm="1">
        <f t="array" ref="N42">_xlfn.IFS($J$1="Base Case After Incentive",Mortality_Table!E79,$J$1="Lower Bound Mortality After Incentive",Mortality_Table!F79,$J$1="Upper Bound Mortality After Incentive",Mortality_Table!G79)</f>
        <v>3.5276577699999999E-2</v>
      </c>
      <c r="O42">
        <f t="shared" si="25"/>
        <v>0.99968877421639746</v>
      </c>
      <c r="P42">
        <f t="shared" si="26"/>
        <v>3.5265598719462499E-5</v>
      </c>
      <c r="Q42">
        <f t="shared" si="27"/>
        <v>0.99965350861767799</v>
      </c>
      <c r="R42">
        <f t="shared" si="28"/>
        <v>28226.212539999986</v>
      </c>
      <c r="S42">
        <f t="shared" si="29"/>
        <v>499.8443871081987</v>
      </c>
      <c r="T42">
        <f t="shared" si="8"/>
        <v>29196.130286065058</v>
      </c>
      <c r="U42" s="22">
        <f t="shared" si="31"/>
        <v>499.82675430883899</v>
      </c>
      <c r="V42" s="1">
        <f t="shared" si="9"/>
        <v>0</v>
      </c>
      <c r="W42" s="1">
        <f t="shared" si="10"/>
        <v>0</v>
      </c>
      <c r="X42" s="1">
        <f t="shared" si="11"/>
        <v>-196.1389375012572</v>
      </c>
      <c r="Y42" s="1">
        <f t="shared" si="23"/>
        <v>-1.763279935973125</v>
      </c>
      <c r="Z42" s="1">
        <f t="shared" si="12"/>
        <v>-197.90221743723032</v>
      </c>
      <c r="AA42" s="1">
        <f t="shared" si="13"/>
        <v>-969.9177460650717</v>
      </c>
      <c r="AB42" s="1">
        <f t="shared" ref="AB42:AB73" si="32">$B$12*SUM(R42:S42,V42:W42)</f>
        <v>1579.9331309909501</v>
      </c>
      <c r="AC42" s="1">
        <f t="shared" si="15"/>
        <v>412.11316748864806</v>
      </c>
      <c r="AD42" s="1">
        <f t="shared" si="16"/>
        <v>1.7632799359716955E-2</v>
      </c>
      <c r="AE42">
        <f t="shared" si="17"/>
        <v>412.13080028800778</v>
      </c>
      <c r="AG42" s="19">
        <v>33</v>
      </c>
      <c r="AH42" s="19">
        <f t="shared" si="24"/>
        <v>0.73061493198269689</v>
      </c>
      <c r="AI42" s="19">
        <f t="shared" ref="AI42:AI73" si="33">N42*AH42</f>
        <v>2.5773594416867822E-2</v>
      </c>
      <c r="AJ42" s="19">
        <f>ROUND((1000*NPV($B$18,$AI43:$AI$85)-$AJ$6*($AH43+NPV($B$18,$AH44:$AH$85)))/AH43,3)</f>
        <v>584.125</v>
      </c>
      <c r="AK42" s="19">
        <f>ROUND(MAX(0,1000*NPV($B$19,$AI43:$AI$84)-$AJ$7*($AH43+NPV($B$19,$AH44:$AH$84)))/AH43,3)</f>
        <v>490.67899999999997</v>
      </c>
    </row>
    <row r="43" spans="5:37">
      <c r="E43">
        <v>34</v>
      </c>
      <c r="F43" s="13"/>
      <c r="G43" s="13">
        <f t="shared" ref="G43:G74" si="34">F43*$B$15</f>
        <v>0</v>
      </c>
      <c r="H43" s="13">
        <f t="shared" ref="H43:H74" si="35">$B$17</f>
        <v>196.20000000000002</v>
      </c>
      <c r="I43" s="13">
        <f t="shared" si="30"/>
        <v>50000</v>
      </c>
      <c r="J43" s="13">
        <f t="shared" si="3"/>
        <v>511.83499999999998</v>
      </c>
      <c r="K43" s="5">
        <f t="shared" si="4"/>
        <v>603.20899999999995</v>
      </c>
      <c r="L43" s="21">
        <f t="shared" si="5"/>
        <v>25591.75</v>
      </c>
      <c r="M43">
        <f t="shared" si="6"/>
        <v>30160.449999999997</v>
      </c>
      <c r="N43" cm="1">
        <f t="array" ref="N43">_xlfn.IFS($J$1="Base Case After Incentive",Mortality_Table!E80,$J$1="Lower Bound Mortality After Incentive",Mortality_Table!F80,$J$1="Upper Bound Mortality After Incentive",Mortality_Table!G80)</f>
        <v>3.9790654540000005E-2</v>
      </c>
      <c r="O43">
        <f t="shared" si="25"/>
        <v>0.99965350861767799</v>
      </c>
      <c r="P43">
        <f t="shared" si="26"/>
        <v>3.9776867421104942E-5</v>
      </c>
      <c r="Q43">
        <f t="shared" si="27"/>
        <v>0.99961373175025692</v>
      </c>
      <c r="R43">
        <f t="shared" si="28"/>
        <v>29196.130286065058</v>
      </c>
      <c r="S43">
        <f t="shared" si="29"/>
        <v>499.82675430883899</v>
      </c>
      <c r="T43">
        <f t="shared" si="8"/>
        <v>30148.799975767033</v>
      </c>
      <c r="U43" s="22">
        <f t="shared" si="31"/>
        <v>499.80686587512844</v>
      </c>
      <c r="V43" s="1">
        <f t="shared" si="9"/>
        <v>0</v>
      </c>
      <c r="W43" s="1">
        <f t="shared" si="10"/>
        <v>0</v>
      </c>
      <c r="X43" s="1">
        <f t="shared" si="11"/>
        <v>-196.13201839078843</v>
      </c>
      <c r="Y43" s="1">
        <f t="shared" si="23"/>
        <v>-1.9888433710552471</v>
      </c>
      <c r="Z43" s="1">
        <f t="shared" si="12"/>
        <v>-198.12086176184368</v>
      </c>
      <c r="AA43" s="1">
        <f t="shared" si="13"/>
        <v>-952.66968970197559</v>
      </c>
      <c r="AB43" s="1">
        <f t="shared" si="32"/>
        <v>1633.2776372205644</v>
      </c>
      <c r="AC43" s="1">
        <f t="shared" si="15"/>
        <v>482.48708575674527</v>
      </c>
      <c r="AD43" s="1">
        <f t="shared" si="16"/>
        <v>1.988843371054827E-2</v>
      </c>
      <c r="AE43">
        <f t="shared" si="17"/>
        <v>482.50697419045582</v>
      </c>
      <c r="AG43" s="19">
        <v>34</v>
      </c>
      <c r="AH43" s="19">
        <f t="shared" si="24"/>
        <v>0.70484133756582912</v>
      </c>
      <c r="AI43" s="19">
        <f t="shared" si="33"/>
        <v>2.8046098168593433E-2</v>
      </c>
      <c r="AJ43" s="19">
        <f>ROUND((1000*NPV($B$18,$AI44:$AI$85)-$AJ$6*($AH44+NPV($B$18,$AH45:$AH$85)))/AH44,3)</f>
        <v>603.20899999999995</v>
      </c>
      <c r="AK43" s="19">
        <f>ROUND(MAX(0,1000*NPV($B$19,$AI44:$AI$84)-$AJ$7*($AH44+NPV($B$19,$AH45:$AH$84)))/AH44,3)</f>
        <v>511.83499999999998</v>
      </c>
    </row>
    <row r="44" spans="5:37">
      <c r="E44">
        <v>35</v>
      </c>
      <c r="F44" s="13"/>
      <c r="G44" s="13">
        <f t="shared" si="34"/>
        <v>0</v>
      </c>
      <c r="H44" s="13">
        <f t="shared" si="35"/>
        <v>196.20000000000002</v>
      </c>
      <c r="I44" s="13">
        <f t="shared" si="30"/>
        <v>50000</v>
      </c>
      <c r="J44" s="13">
        <f t="shared" si="3"/>
        <v>532.745</v>
      </c>
      <c r="K44" s="5">
        <f t="shared" si="4"/>
        <v>621.9</v>
      </c>
      <c r="L44" s="21">
        <f t="shared" si="5"/>
        <v>26637.25</v>
      </c>
      <c r="M44">
        <f t="shared" si="6"/>
        <v>31095</v>
      </c>
      <c r="N44" cm="1">
        <f t="array" ref="N44">_xlfn.IFS($J$1="Base Case After Incentive",Mortality_Table!E81,$J$1="Lower Bound Mortality After Incentive",Mortality_Table!F81,$J$1="Upper Bound Mortality After Incentive",Mortality_Table!G81)</f>
        <v>4.4814722680000002E-2</v>
      </c>
      <c r="O44">
        <f t="shared" si="25"/>
        <v>0.99961373175025692</v>
      </c>
      <c r="P44">
        <f t="shared" si="26"/>
        <v>4.4797412175507678E-5</v>
      </c>
      <c r="Q44">
        <f t="shared" si="27"/>
        <v>0.99956893433808136</v>
      </c>
      <c r="R44">
        <f t="shared" si="28"/>
        <v>30148.799975767033</v>
      </c>
      <c r="S44">
        <f t="shared" si="29"/>
        <v>499.80686587512844</v>
      </c>
      <c r="T44">
        <f t="shared" si="8"/>
        <v>31081.596013242641</v>
      </c>
      <c r="U44" s="22">
        <f t="shared" si="31"/>
        <v>499.78446716904068</v>
      </c>
      <c r="V44" s="1">
        <f t="shared" si="9"/>
        <v>0</v>
      </c>
      <c r="W44" s="1">
        <f t="shared" si="10"/>
        <v>0</v>
      </c>
      <c r="X44" s="1">
        <f t="shared" si="11"/>
        <v>-196.12421416940043</v>
      </c>
      <c r="Y44" s="1">
        <f t="shared" si="23"/>
        <v>-2.2398706087753841</v>
      </c>
      <c r="Z44" s="1">
        <f t="shared" si="12"/>
        <v>-198.36408477817582</v>
      </c>
      <c r="AA44" s="1">
        <f t="shared" si="13"/>
        <v>-932.79603747560759</v>
      </c>
      <c r="AB44" s="1">
        <f t="shared" si="32"/>
        <v>1685.6733762903189</v>
      </c>
      <c r="AC44" s="1">
        <f t="shared" si="15"/>
        <v>554.5132540365355</v>
      </c>
      <c r="AD44" s="1">
        <f t="shared" si="16"/>
        <v>2.2398706087756182E-2</v>
      </c>
      <c r="AE44">
        <f t="shared" si="17"/>
        <v>554.53565274262326</v>
      </c>
      <c r="AG44" s="19">
        <v>35</v>
      </c>
      <c r="AH44" s="19">
        <f t="shared" si="24"/>
        <v>0.67679523939723574</v>
      </c>
      <c r="AI44" s="19">
        <f t="shared" si="33"/>
        <v>3.0330390964731332E-2</v>
      </c>
      <c r="AJ44" s="19">
        <f>ROUND((1000*NPV($B$18,$AI45:$AI$85)-$AJ$6*($AH45+NPV($B$18,$AH46:$AH$85)))/AH45,3)</f>
        <v>621.9</v>
      </c>
      <c r="AK44" s="19">
        <f>ROUND(MAX(0,1000*NPV($B$19,$AI45:$AI$84)-$AJ$7*($AH45+NPV($B$19,$AH46:$AH$84)))/AH45,3)</f>
        <v>532.745</v>
      </c>
    </row>
    <row r="45" spans="5:37">
      <c r="E45">
        <v>36</v>
      </c>
      <c r="F45" s="13"/>
      <c r="G45" s="13">
        <f t="shared" si="34"/>
        <v>0</v>
      </c>
      <c r="H45" s="13">
        <f t="shared" si="35"/>
        <v>196.20000000000002</v>
      </c>
      <c r="I45" s="13">
        <f t="shared" si="30"/>
        <v>50000</v>
      </c>
      <c r="J45" s="13">
        <f t="shared" si="3"/>
        <v>553.38599999999997</v>
      </c>
      <c r="K45" s="5">
        <f t="shared" si="4"/>
        <v>640.18600000000004</v>
      </c>
      <c r="L45" s="21">
        <f t="shared" si="5"/>
        <v>27669.3</v>
      </c>
      <c r="M45">
        <f t="shared" si="6"/>
        <v>32009.3</v>
      </c>
      <c r="N45" cm="1">
        <f t="array" ref="N45">_xlfn.IFS($J$1="Base Case After Incentive",Mortality_Table!E82,$J$1="Lower Bound Mortality After Incentive",Mortality_Table!F82,$J$1="Upper Bound Mortality After Incentive",Mortality_Table!G82)</f>
        <v>5.0298218879999995E-2</v>
      </c>
      <c r="O45">
        <f t="shared" si="25"/>
        <v>0.99956893433808136</v>
      </c>
      <c r="P45">
        <f t="shared" si="26"/>
        <v>5.0276537044985161E-5</v>
      </c>
      <c r="Q45">
        <f t="shared" si="27"/>
        <v>0.99951865780103633</v>
      </c>
      <c r="R45">
        <f t="shared" si="28"/>
        <v>31081.596013242641</v>
      </c>
      <c r="S45">
        <f t="shared" si="29"/>
        <v>499.78446716904068</v>
      </c>
      <c r="T45">
        <f t="shared" si="8"/>
        <v>31993.892573150712</v>
      </c>
      <c r="U45" s="22">
        <f t="shared" si="31"/>
        <v>499.75932890051814</v>
      </c>
      <c r="V45" s="1">
        <f t="shared" si="9"/>
        <v>0</v>
      </c>
      <c r="W45" s="1">
        <f t="shared" si="10"/>
        <v>0</v>
      </c>
      <c r="X45" s="1">
        <f t="shared" si="11"/>
        <v>-196.11542491713158</v>
      </c>
      <c r="Y45" s="1">
        <f t="shared" si="23"/>
        <v>-2.5138268522492582</v>
      </c>
      <c r="Z45" s="1">
        <f t="shared" si="12"/>
        <v>-198.62925176938083</v>
      </c>
      <c r="AA45" s="1">
        <f t="shared" si="13"/>
        <v>-912.29655990807078</v>
      </c>
      <c r="AB45" s="1">
        <f t="shared" si="32"/>
        <v>1736.9759264226425</v>
      </c>
      <c r="AC45" s="1">
        <f t="shared" si="15"/>
        <v>626.05011474519097</v>
      </c>
      <c r="AD45" s="1">
        <f t="shared" si="16"/>
        <v>2.513826852253942E-2</v>
      </c>
      <c r="AE45">
        <f t="shared" si="17"/>
        <v>626.07525301371356</v>
      </c>
      <c r="AG45" s="19">
        <v>36</v>
      </c>
      <c r="AH45" s="19">
        <f t="shared" si="24"/>
        <v>0.6464648484325044</v>
      </c>
      <c r="AI45" s="19">
        <f t="shared" si="33"/>
        <v>3.2516030444684131E-2</v>
      </c>
      <c r="AJ45" s="19">
        <f>ROUND((1000*NPV($B$18,$AI46:$AI$85)-$AJ$6*($AH46+NPV($B$18,$AH47:$AH$85)))/AH46,3)</f>
        <v>640.18600000000004</v>
      </c>
      <c r="AK45" s="19">
        <f>ROUND(MAX(0,1000*NPV($B$19,$AI46:$AI$84)-$AJ$7*($AH46+NPV($B$19,$AH47:$AH$84)))/AH46,3)</f>
        <v>553.38599999999997</v>
      </c>
    </row>
    <row r="46" spans="5:37">
      <c r="E46">
        <v>37</v>
      </c>
      <c r="F46" s="13"/>
      <c r="G46" s="13">
        <f t="shared" si="34"/>
        <v>0</v>
      </c>
      <c r="H46" s="13">
        <f t="shared" si="35"/>
        <v>196.20000000000002</v>
      </c>
      <c r="I46" s="13">
        <f t="shared" si="30"/>
        <v>50000</v>
      </c>
      <c r="J46" s="13">
        <f t="shared" si="3"/>
        <v>573.71799999999996</v>
      </c>
      <c r="K46" s="5">
        <f t="shared" si="4"/>
        <v>658.04</v>
      </c>
      <c r="L46" s="21">
        <f t="shared" si="5"/>
        <v>28685.899999999998</v>
      </c>
      <c r="M46">
        <f t="shared" si="6"/>
        <v>32902</v>
      </c>
      <c r="N46" cm="1">
        <f t="array" ref="N46">_xlfn.IFS($J$1="Base Case After Incentive",Mortality_Table!E83,$J$1="Lower Bound Mortality After Incentive",Mortality_Table!F83,$J$1="Upper Bound Mortality After Incentive",Mortality_Table!G83)</f>
        <v>5.63257058E-2</v>
      </c>
      <c r="O46">
        <f t="shared" si="25"/>
        <v>0.99951865780103633</v>
      </c>
      <c r="P46">
        <f t="shared" si="26"/>
        <v>5.6298593860912054E-5</v>
      </c>
      <c r="Q46">
        <f t="shared" si="27"/>
        <v>0.99946235920717541</v>
      </c>
      <c r="R46">
        <f t="shared" si="28"/>
        <v>31993.892573150712</v>
      </c>
      <c r="S46">
        <f t="shared" si="29"/>
        <v>499.75932890051814</v>
      </c>
      <c r="T46">
        <f t="shared" si="8"/>
        <v>32884.310542634485</v>
      </c>
      <c r="U46" s="22">
        <f t="shared" si="31"/>
        <v>499.73117960358769</v>
      </c>
      <c r="V46" s="1">
        <f t="shared" si="9"/>
        <v>0</v>
      </c>
      <c r="W46" s="1">
        <f t="shared" si="10"/>
        <v>0</v>
      </c>
      <c r="X46" s="1">
        <f t="shared" si="11"/>
        <v>-196.10556066056336</v>
      </c>
      <c r="Y46" s="1">
        <f t="shared" si="23"/>
        <v>-2.8149296930456025</v>
      </c>
      <c r="Z46" s="1">
        <f t="shared" si="12"/>
        <v>-198.92049035360895</v>
      </c>
      <c r="AA46" s="1">
        <f t="shared" si="13"/>
        <v>-890.41796948377305</v>
      </c>
      <c r="AB46" s="1">
        <f t="shared" si="32"/>
        <v>1787.1508546128177</v>
      </c>
      <c r="AC46" s="1">
        <f t="shared" si="15"/>
        <v>697.81239477543568</v>
      </c>
      <c r="AD46" s="1">
        <f t="shared" si="16"/>
        <v>2.8149296930450873E-2</v>
      </c>
      <c r="AE46">
        <f t="shared" si="17"/>
        <v>697.84054407236613</v>
      </c>
      <c r="AG46" s="19">
        <v>37</v>
      </c>
      <c r="AH46" s="19">
        <f t="shared" si="24"/>
        <v>0.61394881798782031</v>
      </c>
      <c r="AI46" s="19">
        <f t="shared" si="33"/>
        <v>3.4581100498239717E-2</v>
      </c>
      <c r="AJ46" s="19">
        <f>ROUND((1000*NPV($B$18,$AI47:$AI$85)-$AJ$6*($AH47+NPV($B$18,$AH48:$AH$85)))/AH47,3)</f>
        <v>658.04</v>
      </c>
      <c r="AK46" s="19">
        <f>ROUND(MAX(0,1000*NPV($B$19,$AI47:$AI$84)-$AJ$7*($AH47+NPV($B$19,$AH48:$AH$84)))/AH47,3)</f>
        <v>573.71799999999996</v>
      </c>
    </row>
    <row r="47" spans="5:37">
      <c r="E47">
        <v>38</v>
      </c>
      <c r="F47" s="13"/>
      <c r="G47" s="13">
        <f t="shared" si="34"/>
        <v>0</v>
      </c>
      <c r="H47" s="13">
        <f t="shared" si="35"/>
        <v>196.20000000000002</v>
      </c>
      <c r="I47" s="13">
        <f t="shared" si="30"/>
        <v>50000</v>
      </c>
      <c r="J47" s="13">
        <f t="shared" si="3"/>
        <v>593.63699999999994</v>
      </c>
      <c r="K47" s="5">
        <f t="shared" si="4"/>
        <v>675.38400000000001</v>
      </c>
      <c r="L47" s="21">
        <f t="shared" si="5"/>
        <v>29681.849999999995</v>
      </c>
      <c r="M47">
        <f t="shared" si="6"/>
        <v>33769.199999999997</v>
      </c>
      <c r="N47" cm="1">
        <f t="array" ref="N47">_xlfn.IFS($J$1="Base Case After Incentive",Mortality_Table!E84,$J$1="Lower Bound Mortality After Incentive",Mortality_Table!F84,$J$1="Upper Bound Mortality After Incentive",Mortality_Table!G84)</f>
        <v>6.3106410639999999E-2</v>
      </c>
      <c r="O47">
        <f t="shared" si="25"/>
        <v>0.99946235920717541</v>
      </c>
      <c r="P47">
        <f t="shared" si="26"/>
        <v>6.3072482059351186E-5</v>
      </c>
      <c r="Q47">
        <f t="shared" si="27"/>
        <v>0.99939928672511602</v>
      </c>
      <c r="R47">
        <f t="shared" si="28"/>
        <v>32884.310542634485</v>
      </c>
      <c r="S47">
        <f t="shared" si="29"/>
        <v>499.73117960358769</v>
      </c>
      <c r="T47">
        <f t="shared" si="8"/>
        <v>33748.914393277788</v>
      </c>
      <c r="U47" s="22">
        <f t="shared" si="31"/>
        <v>499.69964336255799</v>
      </c>
      <c r="V47" s="1">
        <f t="shared" si="9"/>
        <v>0</v>
      </c>
      <c r="W47" s="1">
        <f t="shared" si="10"/>
        <v>0</v>
      </c>
      <c r="X47" s="1">
        <f t="shared" si="11"/>
        <v>-196.09451487644785</v>
      </c>
      <c r="Y47" s="1">
        <f t="shared" si="23"/>
        <v>-3.1536241029675591</v>
      </c>
      <c r="Z47" s="1">
        <f t="shared" si="12"/>
        <v>-199.24813897941542</v>
      </c>
      <c r="AA47" s="1">
        <f t="shared" si="13"/>
        <v>-864.6038506433033</v>
      </c>
      <c r="AB47" s="1">
        <f t="shared" si="32"/>
        <v>1836.122294723094</v>
      </c>
      <c r="AC47" s="1">
        <f t="shared" si="15"/>
        <v>772.27030510037525</v>
      </c>
      <c r="AD47" s="1">
        <f t="shared" si="16"/>
        <v>3.1536241029698431E-2</v>
      </c>
      <c r="AE47">
        <f t="shared" si="17"/>
        <v>772.30184134140495</v>
      </c>
      <c r="AG47" s="19">
        <v>38</v>
      </c>
      <c r="AH47" s="19">
        <f t="shared" si="24"/>
        <v>0.5793677174895806</v>
      </c>
      <c r="AI47" s="19">
        <f t="shared" si="33"/>
        <v>3.6561817091456984E-2</v>
      </c>
      <c r="AJ47" s="19">
        <f>ROUND((1000*NPV($B$18,$AI48:$AI$85)-$AJ$6*($AH48+NPV($B$18,$AH49:$AH$85)))/AH48,3)</f>
        <v>675.38400000000001</v>
      </c>
      <c r="AK47" s="19">
        <f>ROUND(MAX(0,1000*NPV($B$19,$AI48:$AI$84)-$AJ$7*($AH48+NPV($B$19,$AH49:$AH$84)))/AH48,3)</f>
        <v>593.63699999999994</v>
      </c>
    </row>
    <row r="48" spans="5:37">
      <c r="E48">
        <v>39</v>
      </c>
      <c r="F48" s="13"/>
      <c r="G48" s="13">
        <f t="shared" si="34"/>
        <v>0</v>
      </c>
      <c r="H48" s="13">
        <f t="shared" si="35"/>
        <v>196.20000000000002</v>
      </c>
      <c r="I48" s="13">
        <f t="shared" si="30"/>
        <v>50000</v>
      </c>
      <c r="J48" s="13">
        <f t="shared" si="3"/>
        <v>613.02599999999995</v>
      </c>
      <c r="K48" s="5">
        <f t="shared" si="4"/>
        <v>692.13199999999995</v>
      </c>
      <c r="L48" s="21">
        <f t="shared" si="5"/>
        <v>30651.299999999996</v>
      </c>
      <c r="M48">
        <f t="shared" si="6"/>
        <v>34606.6</v>
      </c>
      <c r="N48" cm="1">
        <f t="array" ref="N48">_xlfn.IFS($J$1="Base Case After Incentive",Mortality_Table!E85,$J$1="Lower Bound Mortality After Incentive",Mortality_Table!F85,$J$1="Upper Bound Mortality After Incentive",Mortality_Table!G85)</f>
        <v>7.0726639620000004E-2</v>
      </c>
      <c r="O48">
        <f t="shared" si="25"/>
        <v>0.99939928672511602</v>
      </c>
      <c r="P48">
        <f t="shared" si="26"/>
        <v>7.0684153188692338E-5</v>
      </c>
      <c r="Q48">
        <f t="shared" si="27"/>
        <v>0.99932860257192735</v>
      </c>
      <c r="R48">
        <f t="shared" si="28"/>
        <v>33748.914393277788</v>
      </c>
      <c r="S48">
        <f t="shared" si="29"/>
        <v>499.69964336255799</v>
      </c>
      <c r="T48">
        <f t="shared" si="8"/>
        <v>34583.365217765662</v>
      </c>
      <c r="U48" s="22">
        <f t="shared" si="31"/>
        <v>499.66430128596369</v>
      </c>
      <c r="V48" s="1">
        <f t="shared" si="9"/>
        <v>0</v>
      </c>
      <c r="W48" s="1">
        <f t="shared" si="10"/>
        <v>0</v>
      </c>
      <c r="X48" s="1">
        <f t="shared" si="11"/>
        <v>-196.08214005546779</v>
      </c>
      <c r="Y48" s="1">
        <f t="shared" si="23"/>
        <v>-3.534207659434617</v>
      </c>
      <c r="Z48" s="1">
        <f t="shared" si="12"/>
        <v>-199.61634771490242</v>
      </c>
      <c r="AA48" s="1">
        <f t="shared" si="13"/>
        <v>-834.45082448787434</v>
      </c>
      <c r="AB48" s="1">
        <f t="shared" si="32"/>
        <v>1883.6737720152191</v>
      </c>
      <c r="AC48" s="1">
        <f t="shared" si="15"/>
        <v>849.60659981244225</v>
      </c>
      <c r="AD48" s="1">
        <f t="shared" si="16"/>
        <v>3.5342076594304217E-2</v>
      </c>
      <c r="AE48">
        <f t="shared" si="17"/>
        <v>849.64194188903662</v>
      </c>
      <c r="AG48" s="19">
        <v>39</v>
      </c>
      <c r="AH48" s="19">
        <f t="shared" si="24"/>
        <v>0.5428059003981236</v>
      </c>
      <c r="AI48" s="19">
        <f t="shared" si="33"/>
        <v>3.8390837301067703E-2</v>
      </c>
      <c r="AJ48" s="19">
        <f>ROUND((1000*NPV($B$18,$AI49:$AI$85)-$AJ$6*($AH49+NPV($B$18,$AH50:$AH$85)))/AH49,3)</f>
        <v>692.13199999999995</v>
      </c>
      <c r="AK48" s="19">
        <f>ROUND(MAX(0,1000*NPV($B$19,$AI49:$AI$84)-$AJ$7*($AH49+NPV($B$19,$AH50:$AH$84)))/AH49,3)</f>
        <v>613.02599999999995</v>
      </c>
    </row>
    <row r="49" spans="5:37">
      <c r="E49">
        <v>40</v>
      </c>
      <c r="F49" s="13"/>
      <c r="G49" s="13">
        <f t="shared" si="34"/>
        <v>0</v>
      </c>
      <c r="H49" s="13">
        <f t="shared" si="35"/>
        <v>196.20000000000002</v>
      </c>
      <c r="I49" s="13">
        <f t="shared" si="30"/>
        <v>50000</v>
      </c>
      <c r="J49" s="13">
        <f t="shared" si="3"/>
        <v>631.73699999999997</v>
      </c>
      <c r="K49" s="5">
        <f t="shared" si="4"/>
        <v>708.17700000000002</v>
      </c>
      <c r="L49" s="21">
        <f t="shared" si="5"/>
        <v>31586.85</v>
      </c>
      <c r="M49">
        <f t="shared" si="6"/>
        <v>35408.85</v>
      </c>
      <c r="N49" cm="1">
        <f t="array" ref="N49">_xlfn.IFS($J$1="Base Case After Incentive",Mortality_Table!E86,$J$1="Lower Bound Mortality After Incentive",Mortality_Table!F86,$J$1="Upper Bound Mortality After Incentive",Mortality_Table!G86)</f>
        <v>7.9320646859999996E-2</v>
      </c>
      <c r="O49">
        <f t="shared" si="25"/>
        <v>0.99932860257192735</v>
      </c>
      <c r="P49">
        <f t="shared" si="26"/>
        <v>7.9267391181705123E-5</v>
      </c>
      <c r="Q49">
        <f t="shared" si="27"/>
        <v>0.99924933518074566</v>
      </c>
      <c r="R49">
        <f t="shared" si="28"/>
        <v>34583.365217765662</v>
      </c>
      <c r="S49">
        <f t="shared" si="29"/>
        <v>499.66430128596369</v>
      </c>
      <c r="T49">
        <f t="shared" si="8"/>
        <v>35382.269822014743</v>
      </c>
      <c r="U49" s="22">
        <f t="shared" si="31"/>
        <v>499.62466759037284</v>
      </c>
      <c r="V49" s="1">
        <f t="shared" si="9"/>
        <v>0</v>
      </c>
      <c r="W49" s="1">
        <f t="shared" si="10"/>
        <v>0</v>
      </c>
      <c r="X49" s="1">
        <f t="shared" si="11"/>
        <v>-196.06827182461217</v>
      </c>
      <c r="Y49" s="1">
        <f t="shared" si="23"/>
        <v>-3.963369559085256</v>
      </c>
      <c r="Z49" s="1">
        <f t="shared" si="12"/>
        <v>-200.03164138369743</v>
      </c>
      <c r="AA49" s="1">
        <f t="shared" si="13"/>
        <v>-798.90460424908088</v>
      </c>
      <c r="AB49" s="1">
        <f t="shared" si="32"/>
        <v>1929.5666235478395</v>
      </c>
      <c r="AC49" s="1">
        <f t="shared" si="15"/>
        <v>930.63037791506122</v>
      </c>
      <c r="AD49" s="1">
        <f t="shared" si="16"/>
        <v>3.9633695590850948E-2</v>
      </c>
      <c r="AE49">
        <f t="shared" si="17"/>
        <v>930.67001161065207</v>
      </c>
      <c r="AG49" s="19">
        <v>40</v>
      </c>
      <c r="AH49" s="19">
        <f t="shared" si="24"/>
        <v>0.50441506309705586</v>
      </c>
      <c r="AI49" s="19">
        <f t="shared" si="33"/>
        <v>4.0010529090786187E-2</v>
      </c>
      <c r="AJ49" s="19">
        <f>ROUND((1000*NPV($B$18,$AI50:$AI$85)-$AJ$6*($AH50+NPV($B$18,$AH51:$AH$85)))/AH50,3)</f>
        <v>708.17700000000002</v>
      </c>
      <c r="AK49" s="19">
        <f>ROUND(MAX(0,1000*NPV($B$19,$AI50:$AI$84)-$AJ$7*($AH50+NPV($B$19,$AH51:$AH$84)))/AH50,3)</f>
        <v>631.73699999999997</v>
      </c>
    </row>
    <row r="50" spans="5:37">
      <c r="E50">
        <v>41</v>
      </c>
      <c r="F50" s="13"/>
      <c r="G50" s="13">
        <f t="shared" si="34"/>
        <v>0</v>
      </c>
      <c r="H50" s="13">
        <f t="shared" si="35"/>
        <v>196.20000000000002</v>
      </c>
      <c r="I50" s="13">
        <f t="shared" si="30"/>
        <v>50000</v>
      </c>
      <c r="J50" s="13">
        <f t="shared" si="3"/>
        <v>649.74699999999996</v>
      </c>
      <c r="K50" s="5">
        <f t="shared" si="4"/>
        <v>723.51400000000001</v>
      </c>
      <c r="L50" s="21">
        <f t="shared" si="5"/>
        <v>32487.349999999995</v>
      </c>
      <c r="M50">
        <f t="shared" si="6"/>
        <v>36175.699999999997</v>
      </c>
      <c r="N50" cm="1">
        <f t="array" ref="N50">_xlfn.IFS($J$1="Base Case After Incentive",Mortality_Table!E87,$J$1="Lower Bound Mortality After Incentive",Mortality_Table!F87,$J$1="Upper Bound Mortality After Incentive",Mortality_Table!G87)</f>
        <v>8.8604232079999998E-2</v>
      </c>
      <c r="O50">
        <f t="shared" si="25"/>
        <v>0.99924933518074566</v>
      </c>
      <c r="P50">
        <f t="shared" si="26"/>
        <v>8.8537720000140505E-5</v>
      </c>
      <c r="Q50">
        <f t="shared" si="27"/>
        <v>0.99916079746074549</v>
      </c>
      <c r="R50">
        <f t="shared" si="28"/>
        <v>35382.269822014743</v>
      </c>
      <c r="S50">
        <f t="shared" si="29"/>
        <v>499.62466759037284</v>
      </c>
      <c r="T50">
        <f t="shared" si="8"/>
        <v>36145.34126070069</v>
      </c>
      <c r="U50" s="22">
        <f t="shared" si="31"/>
        <v>499.58039873037274</v>
      </c>
      <c r="V50" s="1">
        <f t="shared" si="9"/>
        <v>0</v>
      </c>
      <c r="W50" s="1">
        <f t="shared" si="10"/>
        <v>0</v>
      </c>
      <c r="X50" s="1">
        <f t="shared" si="11"/>
        <v>-196.05271956246233</v>
      </c>
      <c r="Y50" s="1">
        <f t="shared" si="23"/>
        <v>-4.4268860000070251</v>
      </c>
      <c r="Z50" s="1">
        <f t="shared" si="12"/>
        <v>-200.47960556246935</v>
      </c>
      <c r="AA50" s="1">
        <f t="shared" si="13"/>
        <v>-763.07143868594721</v>
      </c>
      <c r="AB50" s="1">
        <f t="shared" si="32"/>
        <v>1973.5041969282815</v>
      </c>
      <c r="AC50" s="1">
        <f t="shared" si="15"/>
        <v>1009.953152679865</v>
      </c>
      <c r="AD50" s="1">
        <f t="shared" si="16"/>
        <v>4.4268860000101995E-2</v>
      </c>
      <c r="AE50">
        <f t="shared" si="17"/>
        <v>1009.9974215398651</v>
      </c>
      <c r="AG50" s="19">
        <v>41</v>
      </c>
      <c r="AH50" s="19">
        <f t="shared" si="24"/>
        <v>0.46440453400626969</v>
      </c>
      <c r="AI50" s="19">
        <f t="shared" si="33"/>
        <v>4.1148207110095772E-2</v>
      </c>
      <c r="AJ50" s="19">
        <f>ROUND((1000*NPV($B$18,$AI51:$AI$85)-$AJ$6*($AH51+NPV($B$18,$AH52:$AH$85)))/AH51,3)</f>
        <v>723.51400000000001</v>
      </c>
      <c r="AK50" s="19">
        <f>ROUND(MAX(0,1000*NPV($B$19,$AI51:$AI$84)-$AJ$7*($AH51+NPV($B$19,$AH52:$AH$84)))/AH51,3)</f>
        <v>649.74699999999996</v>
      </c>
    </row>
    <row r="51" spans="5:37">
      <c r="E51">
        <v>42</v>
      </c>
      <c r="F51" s="13"/>
      <c r="G51" s="13">
        <f t="shared" si="34"/>
        <v>0</v>
      </c>
      <c r="H51" s="13">
        <f t="shared" si="35"/>
        <v>196.20000000000002</v>
      </c>
      <c r="I51" s="13">
        <f t="shared" si="30"/>
        <v>50000</v>
      </c>
      <c r="J51" s="13">
        <f t="shared" si="3"/>
        <v>667.15099999999995</v>
      </c>
      <c r="K51" s="5">
        <f t="shared" si="4"/>
        <v>738.22900000000004</v>
      </c>
      <c r="L51" s="21">
        <f t="shared" si="5"/>
        <v>33357.549999999996</v>
      </c>
      <c r="M51">
        <f t="shared" si="6"/>
        <v>36911.449999999997</v>
      </c>
      <c r="N51" cm="1">
        <f t="array" ref="N51">_xlfn.IFS($J$1="Base Case After Incentive",Mortality_Table!E88,$J$1="Lower Bound Mortality After Incentive",Mortality_Table!F88,$J$1="Upper Bound Mortality After Incentive",Mortality_Table!G88)</f>
        <v>9.830452814E-2</v>
      </c>
      <c r="O51">
        <f t="shared" si="25"/>
        <v>0.99916079746074549</v>
      </c>
      <c r="P51">
        <f t="shared" si="26"/>
        <v>9.82220307303647E-5</v>
      </c>
      <c r="Q51">
        <f t="shared" si="27"/>
        <v>0.99906257543001509</v>
      </c>
      <c r="R51">
        <f t="shared" si="28"/>
        <v>36145.34126070069</v>
      </c>
      <c r="S51">
        <f t="shared" si="29"/>
        <v>499.58039873037274</v>
      </c>
      <c r="T51">
        <f t="shared" si="8"/>
        <v>36876.848299856225</v>
      </c>
      <c r="U51" s="22">
        <f t="shared" si="31"/>
        <v>499.53128771500752</v>
      </c>
      <c r="V51" s="1">
        <f t="shared" si="9"/>
        <v>0</v>
      </c>
      <c r="W51" s="1">
        <f t="shared" si="10"/>
        <v>0</v>
      </c>
      <c r="X51" s="1">
        <f t="shared" si="11"/>
        <v>-196.03534846179829</v>
      </c>
      <c r="Y51" s="1">
        <f t="shared" si="23"/>
        <v>-4.9111015365182347</v>
      </c>
      <c r="Z51" s="1">
        <f t="shared" si="12"/>
        <v>-200.94644999831652</v>
      </c>
      <c r="AA51" s="1">
        <f t="shared" si="13"/>
        <v>-731.50703915553459</v>
      </c>
      <c r="AB51" s="1">
        <f t="shared" si="32"/>
        <v>2015.4706912687086</v>
      </c>
      <c r="AC51" s="1">
        <f t="shared" si="15"/>
        <v>1083.0172021148574</v>
      </c>
      <c r="AD51" s="1">
        <f t="shared" si="16"/>
        <v>4.9111015365213007E-2</v>
      </c>
      <c r="AE51">
        <f t="shared" si="17"/>
        <v>1083.0663131302226</v>
      </c>
      <c r="AG51" s="19">
        <v>42</v>
      </c>
      <c r="AH51" s="19">
        <f t="shared" si="24"/>
        <v>0.42325632689617393</v>
      </c>
      <c r="AI51" s="19">
        <f t="shared" si="33"/>
        <v>4.1608013497797969E-2</v>
      </c>
      <c r="AJ51" s="19">
        <f>ROUND((1000*NPV($B$18,$AI52:$AI$85)-$AJ$6*($AH52+NPV($B$18,$AH53:$AH$85)))/AH52,3)</f>
        <v>738.22900000000004</v>
      </c>
      <c r="AK51" s="19">
        <f>ROUND(MAX(0,1000*NPV($B$19,$AI52:$AI$84)-$AJ$7*($AH52+NPV($B$19,$AH53:$AH$84)))/AH52,3)</f>
        <v>667.15099999999995</v>
      </c>
    </row>
    <row r="52" spans="5:37">
      <c r="E52">
        <v>43</v>
      </c>
      <c r="F52" s="13"/>
      <c r="G52" s="13">
        <f t="shared" si="34"/>
        <v>0</v>
      </c>
      <c r="H52" s="13">
        <f t="shared" si="35"/>
        <v>196.20000000000002</v>
      </c>
      <c r="I52" s="13">
        <f t="shared" si="30"/>
        <v>50000</v>
      </c>
      <c r="J52" s="13">
        <f t="shared" si="3"/>
        <v>683.899</v>
      </c>
      <c r="K52" s="5">
        <f t="shared" si="4"/>
        <v>752.29200000000003</v>
      </c>
      <c r="L52" s="21">
        <f t="shared" si="5"/>
        <v>34194.949999999997</v>
      </c>
      <c r="M52">
        <f t="shared" si="6"/>
        <v>37614.6</v>
      </c>
      <c r="N52" cm="1">
        <f t="array" ref="N52">_xlfn.IFS($J$1="Base Case After Incentive",Mortality_Table!E89,$J$1="Lower Bound Mortality After Incentive",Mortality_Table!F89,$J$1="Upper Bound Mortality After Incentive",Mortality_Table!G89)</f>
        <v>0.10889403979999999</v>
      </c>
      <c r="O52">
        <f t="shared" si="25"/>
        <v>0.99906257543001509</v>
      </c>
      <c r="P52">
        <f t="shared" si="26"/>
        <v>1.0879195985156656E-4</v>
      </c>
      <c r="Q52">
        <f t="shared" si="27"/>
        <v>0.9989537834701635</v>
      </c>
      <c r="R52">
        <f t="shared" si="28"/>
        <v>36876.848299856225</v>
      </c>
      <c r="S52">
        <f t="shared" si="29"/>
        <v>499.53128771500752</v>
      </c>
      <c r="T52">
        <f t="shared" si="8"/>
        <v>37575.24698371681</v>
      </c>
      <c r="U52" s="22">
        <f t="shared" si="31"/>
        <v>499.47689173508178</v>
      </c>
      <c r="V52" s="1">
        <f t="shared" si="9"/>
        <v>0</v>
      </c>
      <c r="W52" s="1">
        <f t="shared" si="10"/>
        <v>0</v>
      </c>
      <c r="X52" s="1">
        <f t="shared" si="11"/>
        <v>-196.01607729936899</v>
      </c>
      <c r="Y52" s="1">
        <f t="shared" si="23"/>
        <v>-5.439597992578328</v>
      </c>
      <c r="Z52" s="1">
        <f t="shared" si="12"/>
        <v>-201.45567529194733</v>
      </c>
      <c r="AA52" s="1">
        <f t="shared" si="13"/>
        <v>-698.39868386058515</v>
      </c>
      <c r="AB52" s="1">
        <f t="shared" si="32"/>
        <v>2055.7008773164175</v>
      </c>
      <c r="AC52" s="1">
        <f t="shared" si="15"/>
        <v>1155.8465181638851</v>
      </c>
      <c r="AD52" s="1">
        <f t="shared" si="16"/>
        <v>5.4395979925743632E-2</v>
      </c>
      <c r="AE52">
        <f t="shared" si="17"/>
        <v>1155.900914143811</v>
      </c>
      <c r="AG52" s="19">
        <v>43</v>
      </c>
      <c r="AH52" s="19">
        <f t="shared" si="24"/>
        <v>0.38164831339837596</v>
      </c>
      <c r="AI52" s="19">
        <f t="shared" si="33"/>
        <v>4.1559226628805623E-2</v>
      </c>
      <c r="AJ52" s="19">
        <f>ROUND((1000*NPV($B$18,$AI53:$AI$85)-$AJ$6*($AH53+NPV($B$18,$AH54:$AH$85)))/AH53,3)</f>
        <v>752.29200000000003</v>
      </c>
      <c r="AK52" s="19">
        <f>ROUND(MAX(0,1000*NPV($B$19,$AI53:$AI$84)-$AJ$7*($AH53+NPV($B$19,$AH54:$AH$84)))/AH53,3)</f>
        <v>683.899</v>
      </c>
    </row>
    <row r="53" spans="5:37">
      <c r="E53">
        <v>44</v>
      </c>
      <c r="F53" s="13"/>
      <c r="G53" s="13">
        <f t="shared" si="34"/>
        <v>0</v>
      </c>
      <c r="H53" s="13">
        <f t="shared" si="35"/>
        <v>196.20000000000002</v>
      </c>
      <c r="I53" s="13">
        <f t="shared" si="30"/>
        <v>50000</v>
      </c>
      <c r="J53" s="13">
        <f t="shared" si="3"/>
        <v>699.96900000000005</v>
      </c>
      <c r="K53" s="5">
        <f t="shared" si="4"/>
        <v>765.697</v>
      </c>
      <c r="L53" s="21">
        <f t="shared" si="5"/>
        <v>34998.449999999997</v>
      </c>
      <c r="M53">
        <f t="shared" si="6"/>
        <v>38284.85</v>
      </c>
      <c r="N53" cm="1">
        <f t="array" ref="N53">_xlfn.IFS($J$1="Base Case After Incentive",Mortality_Table!E90,$J$1="Lower Bound Mortality After Incentive",Mortality_Table!F90,$J$1="Upper Bound Mortality After Incentive",Mortality_Table!G90)</f>
        <v>0.12033266517999999</v>
      </c>
      <c r="O53">
        <f t="shared" si="25"/>
        <v>0.9989537834701635</v>
      </c>
      <c r="P53">
        <f t="shared" si="26"/>
        <v>1.202067711566094E-4</v>
      </c>
      <c r="Q53">
        <f t="shared" si="27"/>
        <v>0.99883357669900685</v>
      </c>
      <c r="R53">
        <f t="shared" si="28"/>
        <v>37575.24698371681</v>
      </c>
      <c r="S53">
        <f t="shared" si="29"/>
        <v>499.47689173508178</v>
      </c>
      <c r="T53">
        <f t="shared" si="8"/>
        <v>38240.193658884971</v>
      </c>
      <c r="U53" s="22">
        <f t="shared" si="31"/>
        <v>499.41678834950341</v>
      </c>
      <c r="V53" s="1">
        <f t="shared" si="9"/>
        <v>0</v>
      </c>
      <c r="W53" s="1">
        <f t="shared" si="10"/>
        <v>0</v>
      </c>
      <c r="X53" s="1">
        <f t="shared" si="11"/>
        <v>-195.9947323168461</v>
      </c>
      <c r="Y53" s="1">
        <f t="shared" si="23"/>
        <v>-6.0103385578304698</v>
      </c>
      <c r="Z53" s="1">
        <f t="shared" si="12"/>
        <v>-202.00507087467656</v>
      </c>
      <c r="AA53" s="1">
        <f t="shared" si="13"/>
        <v>-664.94667516816116</v>
      </c>
      <c r="AB53" s="1">
        <f t="shared" si="32"/>
        <v>2094.1098131498538</v>
      </c>
      <c r="AC53" s="1">
        <f t="shared" si="15"/>
        <v>1227.158067107016</v>
      </c>
      <c r="AD53" s="1">
        <f t="shared" si="16"/>
        <v>6.0103385578372581E-2</v>
      </c>
      <c r="AE53">
        <f t="shared" si="17"/>
        <v>1227.2181704925943</v>
      </c>
      <c r="AG53" s="19">
        <v>44</v>
      </c>
      <c r="AH53" s="19">
        <f t="shared" si="24"/>
        <v>0.34008908676957034</v>
      </c>
      <c r="AI53" s="19">
        <f t="shared" si="33"/>
        <v>4.0923826209614669E-2</v>
      </c>
      <c r="AJ53" s="19">
        <f>ROUND((1000*NPV($B$18,$AI54:$AI$85)-$AJ$6*($AH54+NPV($B$18,$AH55:$AH$85)))/AH54,3)</f>
        <v>765.697</v>
      </c>
      <c r="AK53" s="19">
        <f>ROUND(MAX(0,1000*NPV($B$19,$AI54:$AI$84)-$AJ$7*($AH54+NPV($B$19,$AH55:$AH$84)))/AH54,3)</f>
        <v>699.96900000000005</v>
      </c>
    </row>
    <row r="54" spans="5:37">
      <c r="E54">
        <v>45</v>
      </c>
      <c r="F54" s="13"/>
      <c r="G54" s="13">
        <f t="shared" si="34"/>
        <v>0</v>
      </c>
      <c r="H54" s="13">
        <f t="shared" si="35"/>
        <v>196.20000000000002</v>
      </c>
      <c r="I54" s="13">
        <f t="shared" si="30"/>
        <v>50000</v>
      </c>
      <c r="J54" s="13">
        <f t="shared" si="3"/>
        <v>715.25400000000002</v>
      </c>
      <c r="K54" s="5">
        <f t="shared" si="4"/>
        <v>778.37</v>
      </c>
      <c r="L54" s="21">
        <f t="shared" si="5"/>
        <v>35762.699999999997</v>
      </c>
      <c r="M54">
        <f t="shared" si="6"/>
        <v>38918.5</v>
      </c>
      <c r="N54" cm="1">
        <f t="array" ref="N54">_xlfn.IFS($J$1="Base Case After Incentive",Mortality_Table!E91,$J$1="Lower Bound Mortality After Incentive",Mortality_Table!F91,$J$1="Upper Bound Mortality After Incentive",Mortality_Table!G91)</f>
        <v>0.13293686042000002</v>
      </c>
      <c r="O54">
        <f t="shared" si="25"/>
        <v>0.99883357669900685</v>
      </c>
      <c r="P54">
        <f t="shared" si="26"/>
        <v>1.3278179976844526E-4</v>
      </c>
      <c r="Q54">
        <f t="shared" si="27"/>
        <v>0.99870079489923835</v>
      </c>
      <c r="R54">
        <f t="shared" si="28"/>
        <v>38240.193658884971</v>
      </c>
      <c r="S54">
        <f t="shared" si="29"/>
        <v>499.41678834950341</v>
      </c>
      <c r="T54">
        <f t="shared" si="8"/>
        <v>38867.936886286006</v>
      </c>
      <c r="U54" s="22">
        <f t="shared" si="31"/>
        <v>499.35039744961915</v>
      </c>
      <c r="V54" s="1">
        <f t="shared" si="9"/>
        <v>0</v>
      </c>
      <c r="W54" s="1">
        <f t="shared" si="10"/>
        <v>0</v>
      </c>
      <c r="X54" s="1">
        <f t="shared" si="11"/>
        <v>-195.97114774834517</v>
      </c>
      <c r="Y54" s="1">
        <f t="shared" si="23"/>
        <v>-6.6390899884222634</v>
      </c>
      <c r="Z54" s="1">
        <f t="shared" si="12"/>
        <v>-202.61023773676743</v>
      </c>
      <c r="AA54" s="1">
        <f t="shared" si="13"/>
        <v>-627.74322740103526</v>
      </c>
      <c r="AB54" s="1">
        <f t="shared" si="32"/>
        <v>2130.6785745978959</v>
      </c>
      <c r="AC54" s="1">
        <f t="shared" si="15"/>
        <v>1300.3251094600932</v>
      </c>
      <c r="AD54" s="1">
        <f t="shared" si="16"/>
        <v>6.6390899884254395E-2</v>
      </c>
      <c r="AE54">
        <f t="shared" si="17"/>
        <v>1300.3915003599775</v>
      </c>
      <c r="AG54" s="19">
        <v>45</v>
      </c>
      <c r="AH54" s="19">
        <f t="shared" si="24"/>
        <v>0.29916526055995568</v>
      </c>
      <c r="AI54" s="19">
        <f t="shared" si="33"/>
        <v>3.9770090485571764E-2</v>
      </c>
      <c r="AJ54" s="19">
        <f>ROUND((1000*NPV($B$18,$AI55:$AI$85)-$AJ$6*($AH55+NPV($B$18,$AH56:$AH$85)))/AH55,3)</f>
        <v>778.37</v>
      </c>
      <c r="AK54" s="19">
        <f>ROUND(MAX(0,1000*NPV($B$19,$AI55:$AI$84)-$AJ$7*($AH55+NPV($B$19,$AH56:$AH$84)))/AH55,3)</f>
        <v>715.25400000000002</v>
      </c>
    </row>
    <row r="55" spans="5:37">
      <c r="E55">
        <v>46</v>
      </c>
      <c r="F55" s="13"/>
      <c r="G55" s="13">
        <f t="shared" si="34"/>
        <v>0</v>
      </c>
      <c r="H55" s="13">
        <f t="shared" si="35"/>
        <v>196.20000000000002</v>
      </c>
      <c r="I55" s="13">
        <f t="shared" si="30"/>
        <v>50000</v>
      </c>
      <c r="J55" s="13">
        <f t="shared" si="3"/>
        <v>729.59299999999996</v>
      </c>
      <c r="K55" s="5">
        <f t="shared" si="4"/>
        <v>790.197</v>
      </c>
      <c r="L55" s="21">
        <f t="shared" si="5"/>
        <v>36479.65</v>
      </c>
      <c r="M55">
        <f t="shared" si="6"/>
        <v>39509.85</v>
      </c>
      <c r="N55" cm="1">
        <f t="array" ref="N55">_xlfn.IFS($J$1="Base Case After Incentive",Mortality_Table!E92,$J$1="Lower Bound Mortality After Incentive",Mortality_Table!F92,$J$1="Upper Bound Mortality After Incentive",Mortality_Table!G92)</f>
        <v>0.14687575083999999</v>
      </c>
      <c r="O55">
        <f t="shared" si="25"/>
        <v>0.99870079489923835</v>
      </c>
      <c r="P55">
        <f t="shared" si="26"/>
        <v>1.4668492911533047E-4</v>
      </c>
      <c r="Q55">
        <f t="shared" si="27"/>
        <v>0.99855410997012306</v>
      </c>
      <c r="R55">
        <f t="shared" si="28"/>
        <v>38867.936886286006</v>
      </c>
      <c r="S55">
        <f t="shared" si="29"/>
        <v>499.35039744961915</v>
      </c>
      <c r="T55">
        <f t="shared" si="8"/>
        <v>39452.723101803065</v>
      </c>
      <c r="U55" s="22">
        <f t="shared" si="31"/>
        <v>499.27705498506151</v>
      </c>
      <c r="V55" s="1">
        <f t="shared" si="9"/>
        <v>0</v>
      </c>
      <c r="W55" s="1">
        <f t="shared" si="10"/>
        <v>0</v>
      </c>
      <c r="X55" s="1">
        <f t="shared" si="11"/>
        <v>-195.94509595923057</v>
      </c>
      <c r="Y55" s="1">
        <f t="shared" si="23"/>
        <v>-7.3342464557665235</v>
      </c>
      <c r="Z55" s="1">
        <f t="shared" si="12"/>
        <v>-203.2793424149971</v>
      </c>
      <c r="AA55" s="1">
        <f t="shared" si="13"/>
        <v>-584.78621551705874</v>
      </c>
      <c r="AB55" s="1">
        <f t="shared" si="32"/>
        <v>2165.2008006054593</v>
      </c>
      <c r="AC55" s="1">
        <f t="shared" si="15"/>
        <v>1377.1352426734034</v>
      </c>
      <c r="AD55" s="1">
        <f t="shared" si="16"/>
        <v>7.3342464557640596E-2</v>
      </c>
      <c r="AE55">
        <f t="shared" si="17"/>
        <v>1377.2085851379611</v>
      </c>
      <c r="AG55" s="19">
        <v>46</v>
      </c>
      <c r="AH55" s="19">
        <f t="shared" si="24"/>
        <v>0.2593951700743839</v>
      </c>
      <c r="AI55" s="19">
        <f t="shared" si="33"/>
        <v>3.809886036894463E-2</v>
      </c>
      <c r="AJ55" s="19">
        <f>ROUND((1000*NPV($B$18,$AI56:$AI$85)-$AJ$6*($AH56+NPV($B$18,$AH57:$AH$85)))/AH56,3)</f>
        <v>790.197</v>
      </c>
      <c r="AK55" s="19">
        <f>ROUND(MAX(0,1000*NPV($B$19,$AI56:$AI$84)-$AJ$7*($AH56+NPV($B$19,$AH57:$AH$84)))/AH56,3)</f>
        <v>729.59299999999996</v>
      </c>
    </row>
    <row r="56" spans="5:37">
      <c r="E56">
        <v>47</v>
      </c>
      <c r="F56" s="13"/>
      <c r="G56" s="13">
        <f t="shared" si="34"/>
        <v>0</v>
      </c>
      <c r="H56" s="13">
        <f t="shared" si="35"/>
        <v>196.20000000000002</v>
      </c>
      <c r="I56" s="13">
        <f t="shared" si="30"/>
        <v>50000</v>
      </c>
      <c r="J56" s="13">
        <f t="shared" si="3"/>
        <v>743.24300000000005</v>
      </c>
      <c r="K56" s="5">
        <f t="shared" si="4"/>
        <v>801.39300000000003</v>
      </c>
      <c r="L56" s="21">
        <f t="shared" si="5"/>
        <v>37162.15</v>
      </c>
      <c r="M56">
        <f t="shared" si="6"/>
        <v>40069.65</v>
      </c>
      <c r="N56" cm="1">
        <f t="array" ref="N56">_xlfn.IFS($J$1="Base Case After Incentive",Mortality_Table!E93,$J$1="Lower Bound Mortality After Incentive",Mortality_Table!F93,$J$1="Upper Bound Mortality After Incentive",Mortality_Table!G93)</f>
        <v>0.16071961724</v>
      </c>
      <c r="O56">
        <f t="shared" si="25"/>
        <v>0.99855410997012306</v>
      </c>
      <c r="P56">
        <f t="shared" si="26"/>
        <v>1.6048723434782704E-4</v>
      </c>
      <c r="Q56">
        <f t="shared" si="27"/>
        <v>0.99839362273577525</v>
      </c>
      <c r="R56">
        <f t="shared" si="28"/>
        <v>39452.723101803065</v>
      </c>
      <c r="S56">
        <f t="shared" si="29"/>
        <v>499.27705498506151</v>
      </c>
      <c r="T56">
        <f t="shared" si="8"/>
        <v>40005.283025254561</v>
      </c>
      <c r="U56" s="22">
        <f t="shared" si="31"/>
        <v>499.19681136788762</v>
      </c>
      <c r="V56" s="1">
        <f t="shared" si="9"/>
        <v>0</v>
      </c>
      <c r="W56" s="1">
        <f t="shared" si="10"/>
        <v>0</v>
      </c>
      <c r="X56" s="1">
        <f t="shared" si="11"/>
        <v>-195.91631637613816</v>
      </c>
      <c r="Y56" s="1">
        <f t="shared" si="23"/>
        <v>-8.0243617173913524</v>
      </c>
      <c r="Z56" s="1">
        <f t="shared" si="12"/>
        <v>-203.9406780935295</v>
      </c>
      <c r="AA56" s="1">
        <f t="shared" si="13"/>
        <v>-552.55992345149571</v>
      </c>
      <c r="AB56" s="1">
        <f t="shared" si="32"/>
        <v>2197.3600086233469</v>
      </c>
      <c r="AC56" s="1">
        <f t="shared" si="15"/>
        <v>1440.8594070783215</v>
      </c>
      <c r="AD56" s="1">
        <f t="shared" si="16"/>
        <v>8.0243617173891835E-2</v>
      </c>
      <c r="AE56">
        <f t="shared" si="17"/>
        <v>1440.9396506954954</v>
      </c>
      <c r="AG56" s="19">
        <v>47</v>
      </c>
      <c r="AH56" s="19">
        <f t="shared" si="24"/>
        <v>0.22129630970543926</v>
      </c>
      <c r="AI56" s="19">
        <f t="shared" si="33"/>
        <v>3.5566658192482697E-2</v>
      </c>
      <c r="AJ56" s="19">
        <f>ROUND((1000*NPV($B$18,$AI57:$AI$85)-$AJ$6*($AH57+NPV($B$18,$AH58:$AH$85)))/AH57,3)</f>
        <v>801.39300000000003</v>
      </c>
      <c r="AK56" s="19">
        <f>ROUND(MAX(0,1000*NPV($B$19,$AI57:$AI$84)-$AJ$7*($AH57+NPV($B$19,$AH58:$AH$84)))/AH57,3)</f>
        <v>743.24300000000005</v>
      </c>
    </row>
    <row r="57" spans="5:37">
      <c r="E57">
        <v>48</v>
      </c>
      <c r="F57" s="13"/>
      <c r="G57" s="13">
        <f t="shared" si="34"/>
        <v>0</v>
      </c>
      <c r="H57" s="13">
        <f t="shared" si="35"/>
        <v>196.20000000000002</v>
      </c>
      <c r="I57" s="13">
        <f t="shared" si="30"/>
        <v>50000</v>
      </c>
      <c r="J57" s="13">
        <f t="shared" si="3"/>
        <v>756.13800000000003</v>
      </c>
      <c r="K57" s="5">
        <f t="shared" si="4"/>
        <v>811.91499999999996</v>
      </c>
      <c r="L57" s="21">
        <f t="shared" si="5"/>
        <v>37806.9</v>
      </c>
      <c r="M57">
        <f t="shared" si="6"/>
        <v>40595.75</v>
      </c>
      <c r="N57" cm="1">
        <f t="array" ref="N57">_xlfn.IFS($J$1="Base Case After Incentive",Mortality_Table!E94,$J$1="Lower Bound Mortality After Incentive",Mortality_Table!F94,$J$1="Upper Bound Mortality After Incentive",Mortality_Table!G94)</f>
        <v>0.17567064424000001</v>
      </c>
      <c r="O57">
        <f t="shared" si="25"/>
        <v>0.99839362273577525</v>
      </c>
      <c r="P57">
        <f t="shared" si="26"/>
        <v>1.7538845091110116E-4</v>
      </c>
      <c r="Q57">
        <f t="shared" si="27"/>
        <v>0.99821823428486411</v>
      </c>
      <c r="R57">
        <f t="shared" si="28"/>
        <v>40005.283025254561</v>
      </c>
      <c r="S57">
        <f t="shared" si="29"/>
        <v>499.19681136788762</v>
      </c>
      <c r="T57">
        <f t="shared" si="8"/>
        <v>40523.417884469774</v>
      </c>
      <c r="U57" s="22">
        <f t="shared" si="31"/>
        <v>499.10911714243207</v>
      </c>
      <c r="V57" s="1">
        <f t="shared" si="9"/>
        <v>0</v>
      </c>
      <c r="W57" s="1">
        <f t="shared" si="10"/>
        <v>0</v>
      </c>
      <c r="X57" s="1">
        <f t="shared" si="11"/>
        <v>-195.88482878075914</v>
      </c>
      <c r="Y57" s="1">
        <f t="shared" si="23"/>
        <v>-8.7694225455550576</v>
      </c>
      <c r="Z57" s="1">
        <f t="shared" si="12"/>
        <v>-204.65425132631418</v>
      </c>
      <c r="AA57" s="1">
        <f t="shared" si="13"/>
        <v>-518.13485921521351</v>
      </c>
      <c r="AB57" s="1">
        <f t="shared" si="32"/>
        <v>2227.7463910142346</v>
      </c>
      <c r="AC57" s="1">
        <f t="shared" si="15"/>
        <v>1504.957280472707</v>
      </c>
      <c r="AD57" s="1">
        <f t="shared" si="16"/>
        <v>8.7694225455550168E-2</v>
      </c>
      <c r="AE57">
        <f t="shared" si="17"/>
        <v>1505.0449746981626</v>
      </c>
      <c r="AG57" s="19">
        <v>48</v>
      </c>
      <c r="AH57" s="19">
        <f t="shared" si="24"/>
        <v>0.18572965151295656</v>
      </c>
      <c r="AI57" s="19">
        <f t="shared" si="33"/>
        <v>3.2627247535751774E-2</v>
      </c>
      <c r="AJ57" s="19">
        <f>ROUND((1000*NPV($B$18,$AI58:$AI$85)-$AJ$6*($AH58+NPV($B$18,$AH59:$AH$85)))/AH58,3)</f>
        <v>811.91499999999996</v>
      </c>
      <c r="AK57" s="19">
        <f>ROUND(MAX(0,1000*NPV($B$19,$AI58:$AI$84)-$AJ$7*($AH58+NPV($B$19,$AH59:$AH$84)))/AH58,3)</f>
        <v>756.13800000000003</v>
      </c>
    </row>
    <row r="58" spans="5:37">
      <c r="E58">
        <v>49</v>
      </c>
      <c r="F58" s="13"/>
      <c r="G58" s="13">
        <f t="shared" si="34"/>
        <v>0</v>
      </c>
      <c r="H58" s="13">
        <f t="shared" si="35"/>
        <v>196.20000000000002</v>
      </c>
      <c r="I58" s="13">
        <f t="shared" si="30"/>
        <v>50000</v>
      </c>
      <c r="J58" s="13">
        <f t="shared" si="3"/>
        <v>768.31600000000003</v>
      </c>
      <c r="K58" s="5">
        <f t="shared" si="4"/>
        <v>821.80399999999997</v>
      </c>
      <c r="L58" s="21">
        <f t="shared" si="5"/>
        <v>38415.800000000003</v>
      </c>
      <c r="M58">
        <f t="shared" si="6"/>
        <v>41090.199999999997</v>
      </c>
      <c r="N58" cm="1">
        <f t="array" ref="N58">_xlfn.IFS($J$1="Base Case After Incentive",Mortality_Table!E95,$J$1="Lower Bound Mortality After Incentive",Mortality_Table!F95,$J$1="Upper Bound Mortality After Incentive",Mortality_Table!G95)</f>
        <v>0.19133653084000002</v>
      </c>
      <c r="O58">
        <f t="shared" si="25"/>
        <v>0.99821823428486411</v>
      </c>
      <c r="P58">
        <f t="shared" si="26"/>
        <v>1.9099561396929626E-4</v>
      </c>
      <c r="Q58">
        <f t="shared" si="27"/>
        <v>0.99802723867089482</v>
      </c>
      <c r="R58">
        <f t="shared" si="28"/>
        <v>40523.417884469774</v>
      </c>
      <c r="S58">
        <f t="shared" si="29"/>
        <v>499.10911714243207</v>
      </c>
      <c r="T58">
        <f t="shared" si="8"/>
        <v>41009.138842434797</v>
      </c>
      <c r="U58" s="22">
        <f t="shared" si="31"/>
        <v>499.0136193354474</v>
      </c>
      <c r="V58" s="1">
        <f t="shared" si="9"/>
        <v>0</v>
      </c>
      <c r="W58" s="1">
        <f t="shared" si="10"/>
        <v>0</v>
      </c>
      <c r="X58" s="1">
        <f t="shared" si="11"/>
        <v>-195.85041756669037</v>
      </c>
      <c r="Y58" s="1">
        <f t="shared" si="23"/>
        <v>-9.5497806984648133</v>
      </c>
      <c r="Z58" s="1">
        <f t="shared" si="12"/>
        <v>-205.40019826515518</v>
      </c>
      <c r="AA58" s="1">
        <f t="shared" si="13"/>
        <v>-485.72095796502254</v>
      </c>
      <c r="AB58" s="1">
        <f t="shared" si="32"/>
        <v>2256.2389850886716</v>
      </c>
      <c r="AC58" s="1">
        <f t="shared" si="15"/>
        <v>1565.1178288584938</v>
      </c>
      <c r="AD58" s="1">
        <f t="shared" si="16"/>
        <v>9.5497806984667477E-2</v>
      </c>
      <c r="AE58">
        <f t="shared" si="17"/>
        <v>1565.2133266654785</v>
      </c>
      <c r="AG58" s="19">
        <v>49</v>
      </c>
      <c r="AH58" s="19">
        <f t="shared" si="24"/>
        <v>0.15310240397720479</v>
      </c>
      <c r="AI58" s="19">
        <f t="shared" si="33"/>
        <v>2.9294082840262584E-2</v>
      </c>
      <c r="AJ58" s="19">
        <f>ROUND((1000*NPV($B$18,$AI59:$AI$85)-$AJ$6*($AH59+NPV($B$18,$AH60:$AH$85)))/AH59,3)</f>
        <v>821.80399999999997</v>
      </c>
      <c r="AK58" s="19">
        <f>ROUND(MAX(0,1000*NPV($B$19,$AI59:$AI$84)-$AJ$7*($AH59+NPV($B$19,$AH60:$AH$84)))/AH59,3)</f>
        <v>768.31600000000003</v>
      </c>
    </row>
    <row r="59" spans="5:37">
      <c r="E59">
        <v>50</v>
      </c>
      <c r="F59" s="13"/>
      <c r="G59" s="13">
        <f t="shared" si="34"/>
        <v>0</v>
      </c>
      <c r="H59" s="13">
        <f t="shared" si="35"/>
        <v>196.20000000000002</v>
      </c>
      <c r="I59" s="13">
        <f t="shared" si="30"/>
        <v>50000</v>
      </c>
      <c r="J59" s="13">
        <f t="shared" si="3"/>
        <v>779.87400000000002</v>
      </c>
      <c r="K59" s="5">
        <f t="shared" si="4"/>
        <v>831.14099999999996</v>
      </c>
      <c r="L59" s="21">
        <f t="shared" si="5"/>
        <v>38993.699999999997</v>
      </c>
      <c r="M59">
        <f t="shared" si="6"/>
        <v>41557.050000000003</v>
      </c>
      <c r="N59" cm="1">
        <f t="array" ref="N59">_xlfn.IFS($J$1="Base Case After Incentive",Mortality_Table!E96,$J$1="Lower Bound Mortality After Incentive",Mortality_Table!F96,$J$1="Upper Bound Mortality After Incentive",Mortality_Table!G96)</f>
        <v>0.20752287010000001</v>
      </c>
      <c r="O59">
        <f t="shared" si="25"/>
        <v>0.99802723867089482</v>
      </c>
      <c r="P59">
        <f t="shared" si="26"/>
        <v>2.0711347700696182E-4</v>
      </c>
      <c r="Q59">
        <f t="shared" si="27"/>
        <v>0.99782012519388785</v>
      </c>
      <c r="R59">
        <f t="shared" si="28"/>
        <v>41009.138842434797</v>
      </c>
      <c r="S59">
        <f t="shared" si="29"/>
        <v>499.0136193354474</v>
      </c>
      <c r="T59">
        <f t="shared" si="8"/>
        <v>41466.460833688659</v>
      </c>
      <c r="U59" s="22">
        <f t="shared" si="31"/>
        <v>498.91006259694393</v>
      </c>
      <c r="V59" s="1">
        <f t="shared" si="9"/>
        <v>0</v>
      </c>
      <c r="W59" s="1">
        <f t="shared" si="10"/>
        <v>0</v>
      </c>
      <c r="X59" s="1">
        <f t="shared" si="11"/>
        <v>-195.81294422722959</v>
      </c>
      <c r="Y59" s="1">
        <f t="shared" si="23"/>
        <v>-10.355673850348092</v>
      </c>
      <c r="Z59" s="1">
        <f t="shared" si="12"/>
        <v>-206.16861807757769</v>
      </c>
      <c r="AA59" s="1">
        <f t="shared" si="13"/>
        <v>-457.32199125386251</v>
      </c>
      <c r="AB59" s="1">
        <f t="shared" si="32"/>
        <v>2282.9483853973634</v>
      </c>
      <c r="AC59" s="1">
        <f t="shared" si="15"/>
        <v>1619.4577760659231</v>
      </c>
      <c r="AD59" s="1">
        <f t="shared" si="16"/>
        <v>0.10355673850347102</v>
      </c>
      <c r="AE59">
        <f t="shared" si="17"/>
        <v>1619.5613328044265</v>
      </c>
      <c r="AG59" s="19">
        <v>50</v>
      </c>
      <c r="AH59" s="19">
        <f t="shared" si="24"/>
        <v>0.12380832113694221</v>
      </c>
      <c r="AI59" s="19">
        <f t="shared" si="33"/>
        <v>2.5693058144600742E-2</v>
      </c>
      <c r="AJ59" s="19">
        <f>ROUND((1000*NPV($B$18,$AI60:$AI$85)-$AJ$6*($AH60+NPV($B$18,$AH61:$AH$85)))/AH60,3)</f>
        <v>831.14099999999996</v>
      </c>
      <c r="AK59" s="19">
        <f>ROUND(MAX(0,1000*NPV($B$19,$AI60:$AI$84)-$AJ$7*($AH60+NPV($B$19,$AH61:$AH$84)))/AH60,3)</f>
        <v>779.87400000000002</v>
      </c>
    </row>
    <row r="60" spans="5:37">
      <c r="E60">
        <v>51</v>
      </c>
      <c r="F60" s="13"/>
      <c r="G60" s="13">
        <f t="shared" si="34"/>
        <v>0</v>
      </c>
      <c r="H60" s="13">
        <f t="shared" si="35"/>
        <v>196.20000000000002</v>
      </c>
      <c r="I60" s="13">
        <f t="shared" si="30"/>
        <v>50000</v>
      </c>
      <c r="J60" s="13">
        <f t="shared" si="3"/>
        <v>790.74800000000005</v>
      </c>
      <c r="K60" s="5">
        <f t="shared" si="4"/>
        <v>839.88699999999994</v>
      </c>
      <c r="L60" s="21">
        <f t="shared" si="5"/>
        <v>39537.4</v>
      </c>
      <c r="M60">
        <f t="shared" si="6"/>
        <v>41994.35</v>
      </c>
      <c r="N60" cm="1">
        <f t="array" ref="N60">_xlfn.IFS($J$1="Base Case After Incentive",Mortality_Table!E97,$J$1="Lower Bound Mortality After Incentive",Mortality_Table!F97,$J$1="Upper Bound Mortality After Incentive",Mortality_Table!G97)</f>
        <v>0.22489047126</v>
      </c>
      <c r="O60">
        <f t="shared" si="25"/>
        <v>0.99782012519388785</v>
      </c>
      <c r="P60">
        <f t="shared" si="26"/>
        <v>2.2440023818756562E-4</v>
      </c>
      <c r="Q60">
        <f t="shared" si="27"/>
        <v>0.99759572495570026</v>
      </c>
      <c r="R60">
        <f t="shared" si="28"/>
        <v>41466.460833688659</v>
      </c>
      <c r="S60">
        <f t="shared" si="29"/>
        <v>498.91006259694393</v>
      </c>
      <c r="T60">
        <f t="shared" si="8"/>
        <v>41893.384032293412</v>
      </c>
      <c r="U60" s="22">
        <f t="shared" si="31"/>
        <v>498.79786247785012</v>
      </c>
      <c r="V60" s="1">
        <f t="shared" si="9"/>
        <v>0</v>
      </c>
      <c r="W60" s="1">
        <f t="shared" si="10"/>
        <v>0</v>
      </c>
      <c r="X60" s="1">
        <f t="shared" si="11"/>
        <v>-195.77230856304081</v>
      </c>
      <c r="Y60" s="1">
        <f t="shared" si="23"/>
        <v>-11.220011909378281</v>
      </c>
      <c r="Z60" s="1">
        <f t="shared" si="12"/>
        <v>-206.9923204724191</v>
      </c>
      <c r="AA60" s="1">
        <f t="shared" si="13"/>
        <v>-426.92319860475254</v>
      </c>
      <c r="AB60" s="1">
        <f t="shared" si="32"/>
        <v>2308.0953992957084</v>
      </c>
      <c r="AC60" s="1">
        <f t="shared" si="15"/>
        <v>1674.1798802185367</v>
      </c>
      <c r="AD60" s="1">
        <f t="shared" si="16"/>
        <v>0.11220011909381356</v>
      </c>
      <c r="AE60">
        <f t="shared" si="17"/>
        <v>1674.2920803376305</v>
      </c>
      <c r="AG60" s="19">
        <v>51</v>
      </c>
      <c r="AH60" s="19">
        <f t="shared" si="24"/>
        <v>9.8115262992341468E-2</v>
      </c>
      <c r="AI60" s="19">
        <f t="shared" si="33"/>
        <v>2.206518773214651E-2</v>
      </c>
      <c r="AJ60" s="19">
        <f>ROUND((1000*NPV($B$18,$AI61:$AI$85)-$AJ$6*($AH61+NPV($B$18,$AH62:$AH$85)))/AH61,3)</f>
        <v>839.88699999999994</v>
      </c>
      <c r="AK60" s="19">
        <f>ROUND(MAX(0,1000*NPV($B$19,$AI61:$AI$84)-$AJ$7*($AH61+NPV($B$19,$AH62:$AH$84)))/AH61,3)</f>
        <v>790.74800000000005</v>
      </c>
    </row>
    <row r="61" spans="5:37">
      <c r="E61">
        <v>52</v>
      </c>
      <c r="F61" s="13"/>
      <c r="G61" s="13">
        <f t="shared" si="34"/>
        <v>0</v>
      </c>
      <c r="H61" s="13">
        <f t="shared" si="35"/>
        <v>196.20000000000002</v>
      </c>
      <c r="I61" s="13">
        <f t="shared" si="30"/>
        <v>50000</v>
      </c>
      <c r="J61" s="13">
        <f t="shared" si="3"/>
        <v>801.03300000000002</v>
      </c>
      <c r="K61" s="5">
        <f t="shared" si="4"/>
        <v>848.12099999999998</v>
      </c>
      <c r="L61" s="21">
        <f t="shared" si="5"/>
        <v>40051.65</v>
      </c>
      <c r="M61">
        <f t="shared" si="6"/>
        <v>42406.05</v>
      </c>
      <c r="N61" cm="1">
        <f t="array" ref="N61">_xlfn.IFS($J$1="Base Case After Incentive",Mortality_Table!E98,$J$1="Lower Bound Mortality After Incentive",Mortality_Table!F98,$J$1="Upper Bound Mortality After Incentive",Mortality_Table!G98)</f>
        <v>0.2427514999</v>
      </c>
      <c r="O61">
        <f t="shared" si="25"/>
        <v>0.99759572495570026</v>
      </c>
      <c r="P61">
        <f t="shared" si="26"/>
        <v>2.421678585268241E-4</v>
      </c>
      <c r="Q61">
        <f t="shared" si="27"/>
        <v>0.99735355709717344</v>
      </c>
      <c r="R61">
        <f t="shared" si="28"/>
        <v>41893.384032293412</v>
      </c>
      <c r="S61">
        <f t="shared" si="29"/>
        <v>498.79786247785012</v>
      </c>
      <c r="T61">
        <f t="shared" si="8"/>
        <v>42293.824809940597</v>
      </c>
      <c r="U61" s="22">
        <f t="shared" si="31"/>
        <v>498.6767785485867</v>
      </c>
      <c r="V61" s="1">
        <f t="shared" si="9"/>
        <v>0</v>
      </c>
      <c r="W61" s="1">
        <f t="shared" si="10"/>
        <v>0</v>
      </c>
      <c r="X61" s="1">
        <f t="shared" si="11"/>
        <v>-195.72828123630842</v>
      </c>
      <c r="Y61" s="1">
        <f t="shared" si="23"/>
        <v>-12.108392926341205</v>
      </c>
      <c r="Z61" s="1">
        <f t="shared" si="12"/>
        <v>-207.83667416264962</v>
      </c>
      <c r="AA61" s="1">
        <f t="shared" si="13"/>
        <v>-400.44077764718531</v>
      </c>
      <c r="AB61" s="1">
        <f t="shared" si="32"/>
        <v>2331.5700042124195</v>
      </c>
      <c r="AC61" s="1">
        <f t="shared" si="15"/>
        <v>1723.2925524025845</v>
      </c>
      <c r="AD61" s="1">
        <f t="shared" si="16"/>
        <v>0.12108392926342049</v>
      </c>
      <c r="AE61">
        <f t="shared" si="17"/>
        <v>1723.413636331848</v>
      </c>
      <c r="AG61" s="19">
        <v>52</v>
      </c>
      <c r="AH61" s="19">
        <f t="shared" si="24"/>
        <v>7.6050075260194958E-2</v>
      </c>
      <c r="AI61" s="19">
        <f t="shared" si="33"/>
        <v>1.8461269836920209E-2</v>
      </c>
      <c r="AJ61" s="19">
        <f>ROUND((1000*NPV($B$18,$AI62:$AI$85)-$AJ$6*($AH62+NPV($B$18,$AH63:$AH$85)))/AH62,3)</f>
        <v>848.12099999999998</v>
      </c>
      <c r="AK61" s="19">
        <f>ROUND(MAX(0,1000*NPV($B$19,$AI62:$AI$84)-$AJ$7*($AH62+NPV($B$19,$AH63:$AH$84)))/AH62,3)</f>
        <v>801.03300000000002</v>
      </c>
    </row>
    <row r="62" spans="5:37">
      <c r="E62">
        <v>53</v>
      </c>
      <c r="F62" s="13"/>
      <c r="G62" s="13">
        <f t="shared" si="34"/>
        <v>0</v>
      </c>
      <c r="H62" s="13">
        <f t="shared" si="35"/>
        <v>196.20000000000002</v>
      </c>
      <c r="I62" s="13">
        <f t="shared" si="30"/>
        <v>50000</v>
      </c>
      <c r="J62" s="13">
        <f t="shared" si="3"/>
        <v>810.702</v>
      </c>
      <c r="K62" s="5">
        <f t="shared" si="4"/>
        <v>855.82799999999997</v>
      </c>
      <c r="L62" s="21">
        <f t="shared" si="5"/>
        <v>40535.1</v>
      </c>
      <c r="M62">
        <f t="shared" si="6"/>
        <v>42791.4</v>
      </c>
      <c r="N62" cm="1">
        <f t="array" ref="N62">_xlfn.IFS($J$1="Base Case After Incentive",Mortality_Table!E99,$J$1="Lower Bound Mortality After Incentive",Mortality_Table!F99,$J$1="Upper Bound Mortality After Incentive",Mortality_Table!G99)</f>
        <v>0.26166912590000002</v>
      </c>
      <c r="O62">
        <f t="shared" si="25"/>
        <v>0.99735355709717344</v>
      </c>
      <c r="P62">
        <f t="shared" si="26"/>
        <v>2.609766334988731E-4</v>
      </c>
      <c r="Q62">
        <f t="shared" si="27"/>
        <v>0.99709258046367455</v>
      </c>
      <c r="R62">
        <f t="shared" si="28"/>
        <v>42293.824809940597</v>
      </c>
      <c r="S62">
        <f t="shared" si="29"/>
        <v>498.6767785485867</v>
      </c>
      <c r="T62">
        <f t="shared" si="8"/>
        <v>42666.987447653286</v>
      </c>
      <c r="U62" s="22">
        <f t="shared" si="31"/>
        <v>498.54629023183725</v>
      </c>
      <c r="V62" s="1">
        <f t="shared" si="9"/>
        <v>0</v>
      </c>
      <c r="W62" s="1">
        <f t="shared" si="10"/>
        <v>0</v>
      </c>
      <c r="X62" s="1">
        <f t="shared" si="11"/>
        <v>-195.68076790246545</v>
      </c>
      <c r="Y62" s="1">
        <f t="shared" si="23"/>
        <v>-13.048831674943655</v>
      </c>
      <c r="Z62" s="1">
        <f t="shared" si="12"/>
        <v>-208.72959957740909</v>
      </c>
      <c r="AA62" s="1">
        <f t="shared" si="13"/>
        <v>-373.16263771268859</v>
      </c>
      <c r="AB62" s="1">
        <f t="shared" si="32"/>
        <v>2353.5875873669052</v>
      </c>
      <c r="AC62" s="1">
        <f t="shared" si="15"/>
        <v>1771.6953500768075</v>
      </c>
      <c r="AD62" s="1">
        <f t="shared" si="16"/>
        <v>0.1304883167494495</v>
      </c>
      <c r="AE62">
        <f t="shared" si="17"/>
        <v>1771.825838393557</v>
      </c>
      <c r="AG62" s="19">
        <v>53</v>
      </c>
      <c r="AH62" s="19">
        <f t="shared" si="24"/>
        <v>5.7588805423274748E-2</v>
      </c>
      <c r="AI62" s="19">
        <f t="shared" si="33"/>
        <v>1.5069212376733485E-2</v>
      </c>
      <c r="AJ62" s="19">
        <f>ROUND((1000*NPV($B$18,$AI63:$AI$85)-$AJ$6*($AH63+NPV($B$18,$AH64:$AH$85)))/AH63,3)</f>
        <v>855.82799999999997</v>
      </c>
      <c r="AK62" s="19">
        <f>ROUND(MAX(0,1000*NPV($B$19,$AI63:$AI$84)-$AJ$7*($AH63+NPV($B$19,$AH64:$AH$84)))/AH63,3)</f>
        <v>810.702</v>
      </c>
    </row>
    <row r="63" spans="5:37">
      <c r="E63">
        <v>54</v>
      </c>
      <c r="F63" s="13"/>
      <c r="G63" s="13">
        <f t="shared" si="34"/>
        <v>0</v>
      </c>
      <c r="H63" s="13">
        <f t="shared" si="35"/>
        <v>196.20000000000002</v>
      </c>
      <c r="I63" s="13">
        <f t="shared" si="30"/>
        <v>50000</v>
      </c>
      <c r="J63" s="13">
        <f t="shared" si="3"/>
        <v>819.69200000000001</v>
      </c>
      <c r="K63" s="5">
        <f t="shared" si="4"/>
        <v>862.96699999999998</v>
      </c>
      <c r="L63" s="21">
        <f t="shared" si="5"/>
        <v>40984.6</v>
      </c>
      <c r="M63">
        <f t="shared" si="6"/>
        <v>43148.35</v>
      </c>
      <c r="N63" cm="1">
        <f t="array" ref="N63">_xlfn.IFS($J$1="Base Case After Incentive",Mortality_Table!E100,$J$1="Lower Bound Mortality After Incentive",Mortality_Table!F100,$J$1="Upper Bound Mortality After Incentive",Mortality_Table!G100)</f>
        <v>0.28169565606000002</v>
      </c>
      <c r="O63">
        <f t="shared" si="25"/>
        <v>0.99709258046367455</v>
      </c>
      <c r="P63">
        <f t="shared" si="26"/>
        <v>2.8087664860627313E-4</v>
      </c>
      <c r="Q63">
        <f t="shared" si="27"/>
        <v>0.99681170381506823</v>
      </c>
      <c r="R63">
        <f t="shared" si="28"/>
        <v>42666.987447653286</v>
      </c>
      <c r="S63">
        <f t="shared" si="29"/>
        <v>498.54629023183725</v>
      </c>
      <c r="T63">
        <f t="shared" si="8"/>
        <v>43010.7802803089</v>
      </c>
      <c r="U63" s="22">
        <f t="shared" si="31"/>
        <v>498.4058519075341</v>
      </c>
      <c r="V63" s="1">
        <f t="shared" si="9"/>
        <v>0</v>
      </c>
      <c r="W63" s="1">
        <f t="shared" si="10"/>
        <v>0</v>
      </c>
      <c r="X63" s="1">
        <f t="shared" si="11"/>
        <v>-195.62956428697296</v>
      </c>
      <c r="Y63" s="1">
        <f t="shared" si="23"/>
        <v>-14.043832430313657</v>
      </c>
      <c r="Z63" s="1">
        <f t="shared" si="12"/>
        <v>-209.67339671728661</v>
      </c>
      <c r="AA63" s="1">
        <f t="shared" si="13"/>
        <v>-343.79283265561389</v>
      </c>
      <c r="AB63" s="1">
        <f t="shared" si="32"/>
        <v>2374.1043555836818</v>
      </c>
      <c r="AC63" s="1">
        <f t="shared" si="15"/>
        <v>1820.6381262107814</v>
      </c>
      <c r="AD63" s="1">
        <f t="shared" si="16"/>
        <v>0.14043832430314751</v>
      </c>
      <c r="AE63">
        <f t="shared" si="17"/>
        <v>1820.7785645350846</v>
      </c>
      <c r="AG63" s="19">
        <v>54</v>
      </c>
      <c r="AH63" s="19">
        <f t="shared" si="24"/>
        <v>4.2519593046541265E-2</v>
      </c>
      <c r="AI63" s="19">
        <f t="shared" si="33"/>
        <v>1.1977584658649657E-2</v>
      </c>
      <c r="AJ63" s="19">
        <f>ROUND((1000*NPV($B$18,$AI64:$AI$85)-$AJ$6*($AH64+NPV($B$18,$AH65:$AH$85)))/AH64,3)</f>
        <v>862.96699999999998</v>
      </c>
      <c r="AK63" s="19">
        <f>ROUND(MAX(0,1000*NPV($B$19,$AI64:$AI$84)-$AJ$7*($AH64+NPV($B$19,$AH65:$AH$84)))/AH64,3)</f>
        <v>819.69200000000001</v>
      </c>
    </row>
    <row r="64" spans="5:37">
      <c r="E64">
        <v>55</v>
      </c>
      <c r="F64" s="13"/>
      <c r="G64" s="13">
        <f t="shared" si="34"/>
        <v>0</v>
      </c>
      <c r="H64" s="13">
        <f t="shared" si="35"/>
        <v>196.20000000000002</v>
      </c>
      <c r="I64" s="13">
        <f t="shared" si="30"/>
        <v>50000</v>
      </c>
      <c r="J64" s="13">
        <f t="shared" si="3"/>
        <v>828.077</v>
      </c>
      <c r="K64" s="5">
        <f t="shared" si="4"/>
        <v>869.6</v>
      </c>
      <c r="L64" s="21">
        <f t="shared" si="5"/>
        <v>41403.85</v>
      </c>
      <c r="M64">
        <f t="shared" si="6"/>
        <v>43480</v>
      </c>
      <c r="N64" cm="1">
        <f t="array" ref="N64">_xlfn.IFS($J$1="Base Case After Incentive",Mortality_Table!E101,$J$1="Lower Bound Mortality After Incentive",Mortality_Table!F101,$J$1="Upper Bound Mortality After Incentive",Mortality_Table!G101)</f>
        <v>0.30209182094000003</v>
      </c>
      <c r="O64">
        <f t="shared" si="25"/>
        <v>0.99681170381506823</v>
      </c>
      <c r="P64">
        <f t="shared" si="26"/>
        <v>3.0112866273979794E-4</v>
      </c>
      <c r="Q64">
        <f t="shared" si="27"/>
        <v>0.99651057515232844</v>
      </c>
      <c r="R64">
        <f t="shared" si="28"/>
        <v>43010.7802803089</v>
      </c>
      <c r="S64">
        <f t="shared" si="29"/>
        <v>498.4058519075341</v>
      </c>
      <c r="T64">
        <f t="shared" si="8"/>
        <v>43328.279807623243</v>
      </c>
      <c r="U64" s="22">
        <f t="shared" si="31"/>
        <v>498.25528757616422</v>
      </c>
      <c r="V64" s="1">
        <f t="shared" si="9"/>
        <v>0</v>
      </c>
      <c r="W64" s="1">
        <f t="shared" si="10"/>
        <v>0</v>
      </c>
      <c r="X64" s="1">
        <f t="shared" si="11"/>
        <v>-195.57445628851642</v>
      </c>
      <c r="Y64" s="1">
        <f t="shared" si="23"/>
        <v>-15.056433136989897</v>
      </c>
      <c r="Z64" s="1">
        <f t="shared" si="12"/>
        <v>-210.63088942550633</v>
      </c>
      <c r="AA64" s="1">
        <f t="shared" si="13"/>
        <v>-317.49952731434314</v>
      </c>
      <c r="AB64" s="1">
        <f t="shared" si="32"/>
        <v>2393.0052372719038</v>
      </c>
      <c r="AC64" s="1">
        <f t="shared" si="15"/>
        <v>1864.8748205320544</v>
      </c>
      <c r="AD64" s="1">
        <f t="shared" si="16"/>
        <v>0.15056433136987835</v>
      </c>
      <c r="AE64">
        <f t="shared" si="17"/>
        <v>1865.0253848634243</v>
      </c>
      <c r="AG64" s="19">
        <v>55</v>
      </c>
      <c r="AH64" s="19">
        <f t="shared" si="24"/>
        <v>3.054200838789161E-2</v>
      </c>
      <c r="AI64" s="19">
        <f t="shared" si="33"/>
        <v>9.2264909290629311E-3</v>
      </c>
      <c r="AJ64" s="19">
        <f>ROUND((1000*NPV($B$18,$AI65:$AI$85)-$AJ$6*($AH65+NPV($B$18,$AH66:$AH$85)))/AH65,3)</f>
        <v>869.6</v>
      </c>
      <c r="AK64" s="19">
        <f>ROUND(MAX(0,1000*NPV($B$19,$AI65:$AI$84)-$AJ$7*($AH65+NPV($B$19,$AH66:$AH$84)))/AH65,3)</f>
        <v>828.077</v>
      </c>
    </row>
    <row r="65" spans="5:37">
      <c r="E65">
        <v>56</v>
      </c>
      <c r="F65" s="13"/>
      <c r="G65" s="13">
        <f t="shared" si="34"/>
        <v>0</v>
      </c>
      <c r="H65" s="13">
        <f t="shared" si="35"/>
        <v>196.20000000000002</v>
      </c>
      <c r="I65" s="13">
        <f t="shared" si="30"/>
        <v>50000</v>
      </c>
      <c r="J65" s="13">
        <f t="shared" si="3"/>
        <v>835.79700000000003</v>
      </c>
      <c r="K65" s="5">
        <f t="shared" si="4"/>
        <v>875.68799999999999</v>
      </c>
      <c r="L65" s="21">
        <f t="shared" si="5"/>
        <v>41789.85</v>
      </c>
      <c r="M65">
        <f t="shared" si="6"/>
        <v>43784.4</v>
      </c>
      <c r="N65" cm="1">
        <f t="array" ref="N65">_xlfn.IFS($J$1="Base Case After Incentive",Mortality_Table!E102,$J$1="Lower Bound Mortality After Incentive",Mortality_Table!F102,$J$1="Upper Bound Mortality After Incentive",Mortality_Table!G102)</f>
        <v>0.32340684194000002</v>
      </c>
      <c r="O65">
        <f t="shared" si="25"/>
        <v>0.99651057515232844</v>
      </c>
      <c r="P65">
        <f t="shared" si="26"/>
        <v>3.2227833806982756E-4</v>
      </c>
      <c r="Q65">
        <f t="shared" si="27"/>
        <v>0.99618829681425858</v>
      </c>
      <c r="R65">
        <f t="shared" si="28"/>
        <v>43328.279807623243</v>
      </c>
      <c r="S65">
        <f t="shared" si="29"/>
        <v>498.25528757616422</v>
      </c>
      <c r="T65">
        <f t="shared" si="8"/>
        <v>43617.506863034221</v>
      </c>
      <c r="U65" s="22">
        <f t="shared" si="31"/>
        <v>498.0941484071293</v>
      </c>
      <c r="V65" s="1">
        <f t="shared" si="9"/>
        <v>0</v>
      </c>
      <c r="W65" s="1">
        <f t="shared" si="10"/>
        <v>0</v>
      </c>
      <c r="X65" s="1">
        <f t="shared" si="11"/>
        <v>-195.51537484488685</v>
      </c>
      <c r="Y65" s="1">
        <f t="shared" si="23"/>
        <v>-16.113916903491379</v>
      </c>
      <c r="Z65" s="1">
        <f t="shared" si="12"/>
        <v>-211.62929174837822</v>
      </c>
      <c r="AA65" s="1">
        <f t="shared" si="13"/>
        <v>-289.22705541097821</v>
      </c>
      <c r="AB65" s="1">
        <f t="shared" si="32"/>
        <v>2410.4594302359674</v>
      </c>
      <c r="AC65" s="1">
        <f t="shared" si="15"/>
        <v>1909.6030830766108</v>
      </c>
      <c r="AD65" s="1">
        <f t="shared" si="16"/>
        <v>0.16113916903492509</v>
      </c>
      <c r="AE65">
        <f t="shared" si="17"/>
        <v>1909.7642222456457</v>
      </c>
      <c r="AG65" s="19">
        <v>56</v>
      </c>
      <c r="AH65" s="19">
        <f t="shared" si="24"/>
        <v>2.1315517458828679E-2</v>
      </c>
      <c r="AI65" s="19">
        <f t="shared" si="33"/>
        <v>6.8935841856767174E-3</v>
      </c>
      <c r="AJ65" s="19">
        <f>ROUND((1000*NPV($B$18,$AI66:$AI$85)-$AJ$6*($AH66+NPV($B$18,$AH67:$AH$85)))/AH66,3)</f>
        <v>875.68799999999999</v>
      </c>
      <c r="AK65" s="19">
        <f>ROUND(MAX(0,1000*NPV($B$19,$AI66:$AI$84)-$AJ$7*($AH66+NPV($B$19,$AH67:$AH$84)))/AH66,3)</f>
        <v>835.79700000000003</v>
      </c>
    </row>
    <row r="66" spans="5:37">
      <c r="E66">
        <v>57</v>
      </c>
      <c r="F66" s="13"/>
      <c r="G66" s="13">
        <f t="shared" si="34"/>
        <v>0</v>
      </c>
      <c r="H66" s="13">
        <f t="shared" si="35"/>
        <v>196.20000000000002</v>
      </c>
      <c r="I66" s="13">
        <f t="shared" si="30"/>
        <v>50000</v>
      </c>
      <c r="J66" s="13">
        <f t="shared" si="3"/>
        <v>842.90899999999999</v>
      </c>
      <c r="K66" s="5">
        <f t="shared" si="4"/>
        <v>881.28200000000004</v>
      </c>
      <c r="L66" s="21">
        <f t="shared" si="5"/>
        <v>42145.45</v>
      </c>
      <c r="M66">
        <f t="shared" si="6"/>
        <v>44064.1</v>
      </c>
      <c r="N66" cm="1">
        <f t="array" ref="N66">_xlfn.IFS($J$1="Base Case After Incentive",Mortality_Table!E103,$J$1="Lower Bound Mortality After Incentive",Mortality_Table!F103,$J$1="Upper Bound Mortality After Incentive",Mortality_Table!G103)</f>
        <v>0.34486570663999999</v>
      </c>
      <c r="O66">
        <f t="shared" si="25"/>
        <v>0.99618829681425858</v>
      </c>
      <c r="P66">
        <f t="shared" si="26"/>
        <v>3.4355118092734731E-4</v>
      </c>
      <c r="Q66">
        <f t="shared" si="27"/>
        <v>0.99584474563333125</v>
      </c>
      <c r="R66">
        <f t="shared" si="28"/>
        <v>43617.506863034221</v>
      </c>
      <c r="S66">
        <f t="shared" si="29"/>
        <v>498.0941484071293</v>
      </c>
      <c r="T66">
        <f t="shared" si="8"/>
        <v>43881.002456061673</v>
      </c>
      <c r="U66" s="22">
        <f t="shared" si="31"/>
        <v>497.92237281666564</v>
      </c>
      <c r="V66" s="1">
        <f t="shared" si="9"/>
        <v>0</v>
      </c>
      <c r="W66" s="1">
        <f t="shared" si="10"/>
        <v>0</v>
      </c>
      <c r="X66" s="1">
        <f t="shared" si="11"/>
        <v>-195.45214383495755</v>
      </c>
      <c r="Y66" s="1">
        <f t="shared" si="23"/>
        <v>-17.177559046367367</v>
      </c>
      <c r="Z66" s="1">
        <f t="shared" si="12"/>
        <v>-212.62970288132493</v>
      </c>
      <c r="AA66" s="1">
        <f t="shared" si="13"/>
        <v>-263.49559302745183</v>
      </c>
      <c r="AB66" s="1">
        <f t="shared" si="32"/>
        <v>2426.3580556292745</v>
      </c>
      <c r="AC66" s="1">
        <f t="shared" si="15"/>
        <v>1950.2327597204978</v>
      </c>
      <c r="AD66" s="1">
        <f t="shared" si="16"/>
        <v>0.17177559046365332</v>
      </c>
      <c r="AE66">
        <f t="shared" si="17"/>
        <v>1950.4045353109614</v>
      </c>
      <c r="AG66" s="19">
        <v>57</v>
      </c>
      <c r="AH66" s="19">
        <f t="shared" si="24"/>
        <v>1.4421933273151961E-2</v>
      </c>
      <c r="AI66" s="19">
        <f t="shared" si="33"/>
        <v>4.9736302093604792E-3</v>
      </c>
      <c r="AJ66" s="19">
        <f>ROUND((1000*NPV($B$18,$AI67:$AI$85)-$AJ$6*($AH67+NPV($B$18,$AH68:$AH$85)))/AH67,3)</f>
        <v>881.28200000000004</v>
      </c>
      <c r="AK66" s="19">
        <f>ROUND(MAX(0,1000*NPV($B$19,$AI67:$AI$84)-$AJ$7*($AH67+NPV($B$19,$AH68:$AH$84)))/AH67,3)</f>
        <v>842.90899999999999</v>
      </c>
    </row>
    <row r="67" spans="5:37">
      <c r="E67">
        <v>58</v>
      </c>
      <c r="F67" s="13"/>
      <c r="G67" s="13">
        <f t="shared" si="34"/>
        <v>0</v>
      </c>
      <c r="H67" s="13">
        <f t="shared" si="35"/>
        <v>196.20000000000002</v>
      </c>
      <c r="I67" s="13">
        <f t="shared" si="30"/>
        <v>50000</v>
      </c>
      <c r="J67" s="13">
        <f t="shared" si="3"/>
        <v>849.57100000000003</v>
      </c>
      <c r="K67" s="5">
        <f t="shared" si="4"/>
        <v>886.50400000000002</v>
      </c>
      <c r="L67" s="21">
        <f t="shared" si="5"/>
        <v>42478.55</v>
      </c>
      <c r="M67">
        <f t="shared" si="6"/>
        <v>44325.2</v>
      </c>
      <c r="N67" cm="1">
        <f t="array" ref="N67">_xlfn.IFS($J$1="Base Case After Incentive",Mortality_Table!E104,$J$1="Lower Bound Mortality After Incentive",Mortality_Table!F104,$J$1="Upper Bound Mortality After Incentive",Mortality_Table!G104)</f>
        <v>0.36597324400000003</v>
      </c>
      <c r="O67">
        <f t="shared" si="25"/>
        <v>0.99584474563333125</v>
      </c>
      <c r="P67">
        <f t="shared" si="26"/>
        <v>3.644525320797851E-4</v>
      </c>
      <c r="Q67">
        <f t="shared" si="27"/>
        <v>0.99548029310125141</v>
      </c>
      <c r="R67">
        <f t="shared" si="28"/>
        <v>43881.002456061673</v>
      </c>
      <c r="S67">
        <f t="shared" si="29"/>
        <v>497.92237281666564</v>
      </c>
      <c r="T67">
        <f t="shared" si="8"/>
        <v>44124.863087771584</v>
      </c>
      <c r="U67" s="22">
        <f t="shared" si="31"/>
        <v>497.7401465506257</v>
      </c>
      <c r="V67" s="1">
        <f t="shared" si="9"/>
        <v>0</v>
      </c>
      <c r="W67" s="1">
        <f t="shared" si="10"/>
        <v>0</v>
      </c>
      <c r="X67" s="1">
        <f t="shared" si="11"/>
        <v>-195.38473909325961</v>
      </c>
      <c r="Y67" s="1">
        <f t="shared" si="23"/>
        <v>-18.222626603989255</v>
      </c>
      <c r="Z67" s="1">
        <f t="shared" si="12"/>
        <v>-213.60736569724887</v>
      </c>
      <c r="AA67" s="1">
        <f t="shared" si="13"/>
        <v>-243.8606317099111</v>
      </c>
      <c r="AB67" s="1">
        <f t="shared" si="32"/>
        <v>2440.840865588309</v>
      </c>
      <c r="AC67" s="1">
        <f t="shared" si="15"/>
        <v>1983.372868181149</v>
      </c>
      <c r="AD67" s="1">
        <f t="shared" si="16"/>
        <v>0.1822262660399474</v>
      </c>
      <c r="AE67">
        <f t="shared" si="17"/>
        <v>1983.5550944471888</v>
      </c>
      <c r="AG67" s="19">
        <v>58</v>
      </c>
      <c r="AH67" s="19">
        <f t="shared" si="24"/>
        <v>9.4483030637914807E-3</v>
      </c>
      <c r="AI67" s="19">
        <f t="shared" si="33"/>
        <v>3.4578261225509076E-3</v>
      </c>
      <c r="AJ67" s="19">
        <f>ROUND((1000*NPV($B$18,$AI68:$AI$85)-$AJ$6*($AH68+NPV($B$18,$AH69:$AH$85)))/AH68,3)</f>
        <v>886.50400000000002</v>
      </c>
      <c r="AK67" s="19">
        <f>ROUND(MAX(0,1000*NPV($B$19,$AI68:$AI$84)-$AJ$7*($AH68+NPV($B$19,$AH69:$AH$84)))/AH68,3)</f>
        <v>849.57100000000003</v>
      </c>
    </row>
    <row r="68" spans="5:37">
      <c r="E68">
        <v>59</v>
      </c>
      <c r="F68" s="13"/>
      <c r="G68" s="13">
        <f t="shared" si="34"/>
        <v>0</v>
      </c>
      <c r="H68" s="13">
        <f t="shared" si="35"/>
        <v>196.20000000000002</v>
      </c>
      <c r="I68" s="13">
        <f t="shared" si="30"/>
        <v>50000</v>
      </c>
      <c r="J68" s="13">
        <f t="shared" si="3"/>
        <v>855.79200000000003</v>
      </c>
      <c r="K68" s="5">
        <f t="shared" si="4"/>
        <v>891.36800000000005</v>
      </c>
      <c r="L68" s="21">
        <f t="shared" si="5"/>
        <v>42789.599999999999</v>
      </c>
      <c r="M68">
        <f t="shared" si="6"/>
        <v>44568.4</v>
      </c>
      <c r="N68" cm="1">
        <f t="array" ref="N68">_xlfn.IFS($J$1="Base Case After Incentive",Mortality_Table!E105,$J$1="Lower Bound Mortality After Incentive",Mortality_Table!F105,$J$1="Upper Bound Mortality After Incentive",Mortality_Table!G105)</f>
        <v>0.38758554198</v>
      </c>
      <c r="O68">
        <f t="shared" si="25"/>
        <v>0.99548029310125141</v>
      </c>
      <c r="P68">
        <f t="shared" si="26"/>
        <v>3.8583376893205776E-4</v>
      </c>
      <c r="Q68">
        <f t="shared" si="27"/>
        <v>0.99509445933231933</v>
      </c>
      <c r="R68">
        <f t="shared" si="28"/>
        <v>44124.863087771584</v>
      </c>
      <c r="S68">
        <f t="shared" si="29"/>
        <v>497.7401465506257</v>
      </c>
      <c r="T68">
        <f t="shared" si="8"/>
        <v>44349.767901306543</v>
      </c>
      <c r="U68" s="22">
        <f t="shared" si="31"/>
        <v>497.54722966615964</v>
      </c>
      <c r="V68" s="1">
        <f t="shared" si="9"/>
        <v>0</v>
      </c>
      <c r="W68" s="1">
        <f t="shared" si="10"/>
        <v>0</v>
      </c>
      <c r="X68" s="1">
        <f t="shared" si="11"/>
        <v>-195.31323350646554</v>
      </c>
      <c r="Y68" s="1">
        <f t="shared" si="23"/>
        <v>-19.291688446602887</v>
      </c>
      <c r="Z68" s="1">
        <f t="shared" si="12"/>
        <v>-214.60492195306841</v>
      </c>
      <c r="AA68" s="1">
        <f t="shared" si="13"/>
        <v>-224.90481353495852</v>
      </c>
      <c r="AB68" s="1">
        <f t="shared" si="32"/>
        <v>2454.2431778877217</v>
      </c>
      <c r="AC68" s="1">
        <f t="shared" si="15"/>
        <v>2014.7334423996947</v>
      </c>
      <c r="AD68" s="1">
        <f t="shared" si="16"/>
        <v>0.19291688446605804</v>
      </c>
      <c r="AE68">
        <f t="shared" si="17"/>
        <v>2014.9263592841608</v>
      </c>
      <c r="AG68" s="19">
        <v>59</v>
      </c>
      <c r="AH68" s="19">
        <f t="shared" si="24"/>
        <v>5.9904769412405731E-3</v>
      </c>
      <c r="AI68" s="19">
        <f t="shared" si="33"/>
        <v>2.3218222519894201E-3</v>
      </c>
      <c r="AJ68" s="19">
        <f>ROUND((1000*NPV($B$18,$AI69:$AI$85)-$AJ$6*($AH69+NPV($B$18,$AH70:$AH$85)))/AH69,3)</f>
        <v>891.36800000000005</v>
      </c>
      <c r="AK68" s="19">
        <f>ROUND(MAX(0,1000*NPV($B$19,$AI69:$AI$84)-$AJ$7*($AH69+NPV($B$19,$AH70:$AH$84)))/AH69,3)</f>
        <v>855.79200000000003</v>
      </c>
    </row>
    <row r="69" spans="5:37">
      <c r="E69">
        <v>60</v>
      </c>
      <c r="F69" s="13"/>
      <c r="G69" s="13">
        <f t="shared" si="34"/>
        <v>0</v>
      </c>
      <c r="H69" s="13">
        <f t="shared" si="35"/>
        <v>196.20000000000002</v>
      </c>
      <c r="I69" s="13">
        <f t="shared" si="30"/>
        <v>50000</v>
      </c>
      <c r="J69" s="13">
        <f t="shared" si="3"/>
        <v>861.59</v>
      </c>
      <c r="K69" s="5">
        <f t="shared" si="4"/>
        <v>895.88800000000003</v>
      </c>
      <c r="L69" s="21">
        <f t="shared" si="5"/>
        <v>43079.5</v>
      </c>
      <c r="M69">
        <f t="shared" si="6"/>
        <v>44794.400000000001</v>
      </c>
      <c r="N69" cm="1">
        <f t="array" ref="N69">_xlfn.IFS($J$1="Base Case After Incentive",Mortality_Table!E106,$J$1="Lower Bound Mortality After Incentive",Mortality_Table!F106,$J$1="Upper Bound Mortality After Incentive",Mortality_Table!G106)</f>
        <v>0.40957619247999999</v>
      </c>
      <c r="O69">
        <f t="shared" si="25"/>
        <v>0.99509445933231933</v>
      </c>
      <c r="P69">
        <f t="shared" si="26"/>
        <v>4.0756699981127554E-4</v>
      </c>
      <c r="Q69">
        <f t="shared" si="27"/>
        <v>0.99468689233250807</v>
      </c>
      <c r="R69">
        <f t="shared" si="28"/>
        <v>44349.767901306543</v>
      </c>
      <c r="S69">
        <f t="shared" si="29"/>
        <v>497.54722966615964</v>
      </c>
      <c r="T69">
        <f t="shared" si="8"/>
        <v>44556.4025298993</v>
      </c>
      <c r="U69" s="22">
        <f t="shared" si="31"/>
        <v>497.34344616625401</v>
      </c>
      <c r="V69" s="1">
        <f t="shared" si="9"/>
        <v>0</v>
      </c>
      <c r="W69" s="1">
        <f t="shared" si="10"/>
        <v>0</v>
      </c>
      <c r="X69" s="1">
        <f t="shared" si="11"/>
        <v>-195.23753292100108</v>
      </c>
      <c r="Y69" s="1">
        <f t="shared" si="23"/>
        <v>-20.378349990563777</v>
      </c>
      <c r="Z69" s="1">
        <f t="shared" si="12"/>
        <v>-215.61588291156485</v>
      </c>
      <c r="AA69" s="1">
        <f t="shared" si="13"/>
        <v>-206.63462859275751</v>
      </c>
      <c r="AB69" s="1">
        <f t="shared" si="32"/>
        <v>2466.6023322034989</v>
      </c>
      <c r="AC69" s="1">
        <f t="shared" si="15"/>
        <v>2044.3518206991766</v>
      </c>
      <c r="AD69" s="1">
        <f t="shared" si="16"/>
        <v>0.20378349990562583</v>
      </c>
      <c r="AE69">
        <f t="shared" si="17"/>
        <v>2044.5556041990822</v>
      </c>
      <c r="AG69" s="19">
        <v>60</v>
      </c>
      <c r="AH69" s="19">
        <f t="shared" si="24"/>
        <v>3.668654689251153E-3</v>
      </c>
      <c r="AI69" s="19">
        <f t="shared" si="33"/>
        <v>1.5025936191473848E-3</v>
      </c>
      <c r="AJ69" s="19">
        <f>ROUND((1000*NPV($B$18,$AI70:$AI$85)-$AJ$6*($AH70+NPV($B$18,$AH71:$AH$85)))/AH70,3)</f>
        <v>895.88800000000003</v>
      </c>
      <c r="AK69" s="19">
        <f>ROUND(MAX(0,1000*NPV($B$19,$AI70:$AI$84)-$AJ$7*($AH70+NPV($B$19,$AH71:$AH$84)))/AH70,3)</f>
        <v>861.59</v>
      </c>
    </row>
    <row r="70" spans="5:37">
      <c r="E70">
        <v>61</v>
      </c>
      <c r="F70" s="13"/>
      <c r="G70" s="13">
        <f t="shared" si="34"/>
        <v>0</v>
      </c>
      <c r="H70" s="13">
        <f t="shared" si="35"/>
        <v>196.20000000000002</v>
      </c>
      <c r="I70" s="13">
        <f t="shared" si="30"/>
        <v>50000</v>
      </c>
      <c r="J70" s="13">
        <f t="shared" si="3"/>
        <v>866.99099999999999</v>
      </c>
      <c r="K70" s="5">
        <f t="shared" si="4"/>
        <v>900.09</v>
      </c>
      <c r="L70" s="21">
        <f t="shared" si="5"/>
        <v>43349.55</v>
      </c>
      <c r="M70">
        <f t="shared" si="6"/>
        <v>45004.5</v>
      </c>
      <c r="N70" cm="1">
        <f t="array" ref="N70">_xlfn.IFS($J$1="Base Case After Incentive",Mortality_Table!E107,$J$1="Lower Bound Mortality After Incentive",Mortality_Table!F107,$J$1="Upper Bound Mortality After Incentive",Mortality_Table!G107)</f>
        <v>0.43180309536</v>
      </c>
      <c r="O70">
        <f t="shared" si="25"/>
        <v>0.99468689233250807</v>
      </c>
      <c r="P70">
        <f t="shared" si="26"/>
        <v>4.2950887902319602E-4</v>
      </c>
      <c r="Q70">
        <f t="shared" si="27"/>
        <v>0.99425738345348491</v>
      </c>
      <c r="R70">
        <f t="shared" si="28"/>
        <v>44556.4025298993</v>
      </c>
      <c r="S70">
        <f t="shared" si="29"/>
        <v>497.34344616625401</v>
      </c>
      <c r="T70">
        <f t="shared" si="8"/>
        <v>44746.056413632359</v>
      </c>
      <c r="U70" s="22">
        <f t="shared" si="31"/>
        <v>497.12869172674243</v>
      </c>
      <c r="V70" s="1">
        <f t="shared" si="9"/>
        <v>0</v>
      </c>
      <c r="W70" s="1">
        <f t="shared" si="10"/>
        <v>0</v>
      </c>
      <c r="X70" s="1">
        <f t="shared" si="11"/>
        <v>-195.15756827563811</v>
      </c>
      <c r="Y70" s="1">
        <f t="shared" si="23"/>
        <v>-21.4754439511598</v>
      </c>
      <c r="Z70" s="1">
        <f t="shared" si="12"/>
        <v>-216.63301222679792</v>
      </c>
      <c r="AA70" s="1">
        <f t="shared" si="13"/>
        <v>-189.65388373305905</v>
      </c>
      <c r="AB70" s="1">
        <f t="shared" si="32"/>
        <v>2477.9560286836054</v>
      </c>
      <c r="AC70" s="1">
        <f t="shared" si="15"/>
        <v>2071.6691327237486</v>
      </c>
      <c r="AD70" s="1">
        <f t="shared" si="16"/>
        <v>0.21475443951158013</v>
      </c>
      <c r="AE70">
        <f t="shared" si="17"/>
        <v>2071.8838871632602</v>
      </c>
      <c r="AG70" s="19">
        <v>61</v>
      </c>
      <c r="AH70" s="19">
        <f t="shared" si="24"/>
        <v>2.1660610701037682E-3</v>
      </c>
      <c r="AI70" s="19">
        <f t="shared" si="33"/>
        <v>9.3531187480960104E-4</v>
      </c>
      <c r="AJ70" s="19">
        <f>ROUND((1000*NPV($B$18,$AI71:$AI$85)-$AJ$6*($AH71+NPV($B$18,$AH72:$AH$85)))/AH71,3)</f>
        <v>900.09</v>
      </c>
      <c r="AK70" s="19">
        <f>ROUND(MAX(0,1000*NPV($B$19,$AI71:$AI$84)-$AJ$7*($AH71+NPV($B$19,$AH72:$AH$84)))/AH71,3)</f>
        <v>866.99099999999999</v>
      </c>
    </row>
    <row r="71" spans="5:37">
      <c r="E71">
        <v>62</v>
      </c>
      <c r="F71" s="13"/>
      <c r="G71" s="13">
        <f t="shared" si="34"/>
        <v>0</v>
      </c>
      <c r="H71" s="13">
        <f t="shared" si="35"/>
        <v>196.20000000000002</v>
      </c>
      <c r="I71" s="13">
        <f t="shared" si="30"/>
        <v>50000</v>
      </c>
      <c r="J71" s="13">
        <f t="shared" si="3"/>
        <v>872.04100000000005</v>
      </c>
      <c r="K71" s="5">
        <f t="shared" si="4"/>
        <v>904.00800000000004</v>
      </c>
      <c r="L71" s="21">
        <f t="shared" si="5"/>
        <v>43602.05</v>
      </c>
      <c r="M71">
        <f t="shared" si="6"/>
        <v>45200.4</v>
      </c>
      <c r="N71" cm="1">
        <f t="array" ref="N71">_xlfn.IFS($J$1="Base Case After Incentive",Mortality_Table!E108,$J$1="Lower Bound Mortality After Incentive",Mortality_Table!F108,$J$1="Upper Bound Mortality After Incentive",Mortality_Table!G108)</f>
        <v>0.45412589403999998</v>
      </c>
      <c r="O71">
        <f t="shared" si="25"/>
        <v>0.99425738345348491</v>
      </c>
      <c r="P71">
        <f t="shared" si="26"/>
        <v>4.5151802316668492E-4</v>
      </c>
      <c r="Q71">
        <f t="shared" si="27"/>
        <v>0.99380586543031824</v>
      </c>
      <c r="R71">
        <f t="shared" si="28"/>
        <v>44746.056413632359</v>
      </c>
      <c r="S71">
        <f t="shared" si="29"/>
        <v>497.12869172674243</v>
      </c>
      <c r="T71">
        <f t="shared" si="8"/>
        <v>44920.422639796561</v>
      </c>
      <c r="U71" s="22">
        <f t="shared" si="31"/>
        <v>496.90293271515912</v>
      </c>
      <c r="V71" s="1">
        <f t="shared" si="9"/>
        <v>0</v>
      </c>
      <c r="W71" s="1">
        <f t="shared" si="10"/>
        <v>0</v>
      </c>
      <c r="X71" s="1">
        <f t="shared" si="11"/>
        <v>-195.07329863357376</v>
      </c>
      <c r="Y71" s="1">
        <f t="shared" si="23"/>
        <v>-22.575901158334247</v>
      </c>
      <c r="Z71" s="1">
        <f t="shared" si="12"/>
        <v>-217.64919979190802</v>
      </c>
      <c r="AA71" s="1">
        <f t="shared" si="13"/>
        <v>-174.36622616420209</v>
      </c>
      <c r="AB71" s="1">
        <f t="shared" si="32"/>
        <v>2488.3751807947506</v>
      </c>
      <c r="AC71" s="1">
        <f t="shared" si="15"/>
        <v>2096.3597548386406</v>
      </c>
      <c r="AD71" s="1">
        <f t="shared" si="16"/>
        <v>0.2257590115833068</v>
      </c>
      <c r="AE71">
        <f t="shared" si="17"/>
        <v>2096.5855138502238</v>
      </c>
      <c r="AG71" s="19">
        <v>62</v>
      </c>
      <c r="AH71" s="19">
        <f t="shared" si="24"/>
        <v>1.2307491952941673E-3</v>
      </c>
      <c r="AI71" s="19">
        <f t="shared" si="33"/>
        <v>5.5891507865197425E-4</v>
      </c>
      <c r="AJ71" s="19">
        <f>ROUND((1000*NPV($B$18,$AI72:$AI$85)-$AJ$6*($AH72+NPV($B$18,$AH73:$AH$85)))/AH72,3)</f>
        <v>904.00800000000004</v>
      </c>
      <c r="AK71" s="19">
        <f>ROUND(MAX(0,1000*NPV($B$19,$AI72:$AI$84)-$AJ$7*($AH72+NPV($B$19,$AH73:$AH$84)))/AH72,3)</f>
        <v>872.04100000000005</v>
      </c>
    </row>
    <row r="72" spans="5:37">
      <c r="E72">
        <v>63</v>
      </c>
      <c r="F72" s="13"/>
      <c r="G72" s="13">
        <f t="shared" si="34"/>
        <v>0</v>
      </c>
      <c r="H72" s="13">
        <f t="shared" si="35"/>
        <v>196.20000000000002</v>
      </c>
      <c r="I72" s="13">
        <f t="shared" si="30"/>
        <v>50000</v>
      </c>
      <c r="J72" s="13">
        <f t="shared" si="3"/>
        <v>876.78200000000004</v>
      </c>
      <c r="K72" s="5">
        <f t="shared" si="4"/>
        <v>907.67899999999997</v>
      </c>
      <c r="L72" s="21">
        <f t="shared" si="5"/>
        <v>43839.1</v>
      </c>
      <c r="M72">
        <f t="shared" si="6"/>
        <v>45383.95</v>
      </c>
      <c r="N72" cm="1">
        <f t="array" ref="N72">_xlfn.IFS($J$1="Base Case After Incentive",Mortality_Table!E109,$J$1="Lower Bound Mortality After Incentive",Mortality_Table!F109,$J$1="Upper Bound Mortality After Incentive",Mortality_Table!G109)</f>
        <v>0.47656725480000001</v>
      </c>
      <c r="O72">
        <f t="shared" si="25"/>
        <v>0.99380586543031824</v>
      </c>
      <c r="P72">
        <f t="shared" si="26"/>
        <v>4.7361533309226502E-4</v>
      </c>
      <c r="Q72">
        <f t="shared" si="27"/>
        <v>0.99333225009722592</v>
      </c>
      <c r="R72">
        <f t="shared" si="28"/>
        <v>44920.422639796561</v>
      </c>
      <c r="S72">
        <f t="shared" si="29"/>
        <v>496.90293271515912</v>
      </c>
      <c r="T72">
        <f t="shared" si="8"/>
        <v>45081.341171799992</v>
      </c>
      <c r="U72" s="22">
        <f t="shared" si="31"/>
        <v>496.66612504861297</v>
      </c>
      <c r="V72" s="1">
        <f t="shared" si="9"/>
        <v>0</v>
      </c>
      <c r="W72" s="1">
        <f t="shared" si="10"/>
        <v>0</v>
      </c>
      <c r="X72" s="1">
        <f t="shared" si="11"/>
        <v>-194.98471079742845</v>
      </c>
      <c r="Y72" s="1">
        <f t="shared" si="23"/>
        <v>-23.680766654613251</v>
      </c>
      <c r="Z72" s="1">
        <f t="shared" si="12"/>
        <v>-218.6654774520417</v>
      </c>
      <c r="AA72" s="1">
        <f t="shared" si="13"/>
        <v>-160.9185320034303</v>
      </c>
      <c r="AB72" s="1">
        <f t="shared" si="32"/>
        <v>2497.9529064881444</v>
      </c>
      <c r="AC72" s="1">
        <f t="shared" si="15"/>
        <v>2118.3688970326725</v>
      </c>
      <c r="AD72" s="1">
        <f t="shared" si="16"/>
        <v>0.23680766654615582</v>
      </c>
      <c r="AE72">
        <f t="shared" si="17"/>
        <v>2118.6057046992187</v>
      </c>
      <c r="AG72" s="19">
        <v>63</v>
      </c>
      <c r="AH72" s="19">
        <f t="shared" si="24"/>
        <v>6.7183411664219303E-4</v>
      </c>
      <c r="AI72" s="19">
        <f t="shared" si="33"/>
        <v>3.2017414064915292E-4</v>
      </c>
      <c r="AJ72" s="19">
        <f>ROUND((1000*NPV($B$18,$AI73:$AI$85)-$AJ$6*($AH73+NPV($B$18,$AH74:$AH$85)))/AH73,3)</f>
        <v>907.67899999999997</v>
      </c>
      <c r="AK72" s="19">
        <f>ROUND(MAX(0,1000*NPV($B$19,$AI73:$AI$84)-$AJ$7*($AH73+NPV($B$19,$AH74:$AH$84)))/AH73,3)</f>
        <v>876.78200000000004</v>
      </c>
    </row>
    <row r="73" spans="5:37">
      <c r="E73">
        <v>64</v>
      </c>
      <c r="F73" s="13"/>
      <c r="G73" s="13">
        <f t="shared" si="34"/>
        <v>0</v>
      </c>
      <c r="H73" s="13">
        <f t="shared" si="35"/>
        <v>196.20000000000002</v>
      </c>
      <c r="I73" s="13">
        <f t="shared" ref="I73:I84" si="36">$B$10</f>
        <v>50000</v>
      </c>
      <c r="J73" s="13">
        <f t="shared" si="3"/>
        <v>881.25599999999997</v>
      </c>
      <c r="K73" s="5">
        <f t="shared" si="4"/>
        <v>911.13599999999997</v>
      </c>
      <c r="L73" s="21">
        <f t="shared" si="5"/>
        <v>44062.8</v>
      </c>
      <c r="M73">
        <f t="shared" si="6"/>
        <v>45556.800000000003</v>
      </c>
      <c r="N73" cm="1">
        <f t="array" ref="N73">_xlfn.IFS($J$1="Base Case After Incentive",Mortality_Table!E110,$J$1="Lower Bound Mortality After Incentive",Mortality_Table!F110,$J$1="Upper Bound Mortality After Incentive",Mortality_Table!G110)</f>
        <v>0.49916815130000003</v>
      </c>
      <c r="O73">
        <f t="shared" si="25"/>
        <v>0.99333225009722592</v>
      </c>
      <c r="P73">
        <f t="shared" si="26"/>
        <v>4.9583982290770149E-4</v>
      </c>
      <c r="Q73">
        <f t="shared" si="27"/>
        <v>0.99283641027431824</v>
      </c>
      <c r="R73">
        <f t="shared" si="28"/>
        <v>45081.341171799992</v>
      </c>
      <c r="S73">
        <f t="shared" si="29"/>
        <v>496.66612504861297</v>
      </c>
      <c r="T73">
        <f t="shared" si="8"/>
        <v>45230.449775585061</v>
      </c>
      <c r="U73" s="22">
        <f t="shared" ref="U73:U84" si="37">$B$11*I73*Q73</f>
        <v>496.41820513715913</v>
      </c>
      <c r="V73" s="1">
        <f t="shared" si="9"/>
        <v>0</v>
      </c>
      <c r="W73" s="1">
        <f t="shared" si="10"/>
        <v>0</v>
      </c>
      <c r="X73" s="1">
        <f t="shared" si="11"/>
        <v>-194.89178746907575</v>
      </c>
      <c r="Y73" s="1">
        <f t="shared" si="23"/>
        <v>-24.791991145385076</v>
      </c>
      <c r="Z73" s="1">
        <f t="shared" si="12"/>
        <v>-219.68377861446083</v>
      </c>
      <c r="AA73" s="1">
        <f t="shared" si="13"/>
        <v>-149.10860378506914</v>
      </c>
      <c r="AB73" s="1">
        <f t="shared" si="32"/>
        <v>2506.7904013266734</v>
      </c>
      <c r="AC73" s="1">
        <f t="shared" si="15"/>
        <v>2137.9980189271437</v>
      </c>
      <c r="AD73" s="1">
        <f t="shared" si="16"/>
        <v>0.24791991145383463</v>
      </c>
      <c r="AE73">
        <f t="shared" si="17"/>
        <v>2138.2459388385973</v>
      </c>
      <c r="AG73" s="19">
        <v>64</v>
      </c>
      <c r="AH73" s="19">
        <f t="shared" si="24"/>
        <v>3.5165997599304012E-4</v>
      </c>
      <c r="AI73" s="19">
        <f t="shared" si="33"/>
        <v>1.7553746010264822E-4</v>
      </c>
      <c r="AJ73" s="19">
        <f>ROUND((1000*NPV($B$18,$AI74:$AI$85)-$AJ$6*($AH74+NPV($B$18,$AH75:$AH$85)))/AH74,3)</f>
        <v>911.13599999999997</v>
      </c>
      <c r="AK73" s="19">
        <f>ROUND(MAX(0,1000*NPV($B$19,$AI74:$AI$84)-$AJ$7*($AH74+NPV($B$19,$AH75:$AH$84)))/AH74,3)</f>
        <v>881.25599999999997</v>
      </c>
    </row>
    <row r="74" spans="5:37">
      <c r="E74">
        <v>65</v>
      </c>
      <c r="F74" s="13"/>
      <c r="G74" s="13">
        <f t="shared" si="34"/>
        <v>0</v>
      </c>
      <c r="H74" s="13">
        <f t="shared" si="35"/>
        <v>196.20000000000002</v>
      </c>
      <c r="I74" s="13">
        <f t="shared" si="36"/>
        <v>50000</v>
      </c>
      <c r="J74" s="13">
        <f t="shared" ref="J74:J84" si="38">AK74</f>
        <v>885.553</v>
      </c>
      <c r="K74" s="5">
        <f t="shared" ref="K74:K84" si="39">AJ74</f>
        <v>914.44899999999996</v>
      </c>
      <c r="L74" s="21">
        <f t="shared" ref="L74:L84" si="40">I74*J74/1000</f>
        <v>44277.65</v>
      </c>
      <c r="M74">
        <f t="shared" ref="M74:M84" si="41">I74*K74/1000</f>
        <v>45722.45</v>
      </c>
      <c r="N74" cm="1">
        <f t="array" ref="N74">_xlfn.IFS($J$1="Base Case After Incentive",Mortality_Table!E111,$J$1="Lower Bound Mortality After Incentive",Mortality_Table!F111,$J$1="Upper Bound Mortality After Incentive",Mortality_Table!G111)</f>
        <v>0.52180043188000003</v>
      </c>
      <c r="O74">
        <f t="shared" si="25"/>
        <v>0.99283641027431824</v>
      </c>
      <c r="P74">
        <f t="shared" si="26"/>
        <v>5.1806246766732806E-4</v>
      </c>
      <c r="Q74">
        <f t="shared" si="27"/>
        <v>0.99231834780665096</v>
      </c>
      <c r="R74">
        <f t="shared" si="28"/>
        <v>45230.449775585061</v>
      </c>
      <c r="S74">
        <f t="shared" si="29"/>
        <v>496.41820513715913</v>
      </c>
      <c r="T74">
        <f t="shared" ref="T74:T84" si="42">M74*Q74</f>
        <v>45371.226041672206</v>
      </c>
      <c r="U74" s="22">
        <f t="shared" si="37"/>
        <v>496.1591739033255</v>
      </c>
      <c r="V74" s="1">
        <f t="shared" ref="V74:V84" si="43">$O74*F74</f>
        <v>0</v>
      </c>
      <c r="W74" s="1">
        <f t="shared" ref="W74:W84" si="44">-$O74*G74</f>
        <v>0</v>
      </c>
      <c r="X74" s="1">
        <f t="shared" ref="X74:X84" si="45">-$O74*H74</f>
        <v>-194.79450369582125</v>
      </c>
      <c r="Y74" s="1">
        <f t="shared" si="23"/>
        <v>-25.903123383366403</v>
      </c>
      <c r="Z74" s="1">
        <f t="shared" ref="Z74:Z84" si="46">SUM(V74:Y74)</f>
        <v>-220.69762707918764</v>
      </c>
      <c r="AA74" s="1">
        <f t="shared" ref="AA74:AA84" si="47">R74-T74</f>
        <v>-140.7762660871449</v>
      </c>
      <c r="AB74" s="1">
        <f t="shared" ref="AB74:AB84" si="48">$B$12*SUM(R74:S74,V74:W74)</f>
        <v>2514.9777389397223</v>
      </c>
      <c r="AC74" s="1">
        <f t="shared" ref="AC74:AC84" si="49">SUM(Z74:AB74)</f>
        <v>2153.5038457733899</v>
      </c>
      <c r="AD74" s="1">
        <f t="shared" ref="AD74:AD84" si="50">S74-U74</f>
        <v>0.25903123383363891</v>
      </c>
      <c r="AE74">
        <f t="shared" ref="AE74:AE84" si="51">SUM(AC74:AD74)</f>
        <v>2153.7628770072233</v>
      </c>
      <c r="AG74" s="19">
        <v>65</v>
      </c>
      <c r="AH74" s="19">
        <f t="shared" si="24"/>
        <v>1.7612251589039189E-4</v>
      </c>
      <c r="AI74" s="19">
        <f t="shared" ref="AI74:AI84" si="52">N74*AH74</f>
        <v>9.1900804855398662E-5</v>
      </c>
      <c r="AJ74" s="19">
        <f>ROUND((1000*NPV($B$18,$AI75:$AI$85)-$AJ$6*($AH75+NPV($B$18,$AH76:$AH$85)))/AH75,3)</f>
        <v>914.44899999999996</v>
      </c>
      <c r="AK74" s="19">
        <f>ROUND(MAX(0,1000*NPV($B$19,$AI75:$AI$84)-$AJ$7*($AH75+NPV($B$19,$AH76:$AH$84)))/AH75,3)</f>
        <v>885.553</v>
      </c>
    </row>
    <row r="75" spans="5:37">
      <c r="E75">
        <v>66</v>
      </c>
      <c r="F75" s="13"/>
      <c r="G75" s="13">
        <f t="shared" ref="G75:G84" si="53">F75*$B$15</f>
        <v>0</v>
      </c>
      <c r="H75" s="13">
        <f t="shared" ref="H75:H84" si="54">$B$17</f>
        <v>196.20000000000002</v>
      </c>
      <c r="I75" s="13">
        <f t="shared" si="36"/>
        <v>50000</v>
      </c>
      <c r="J75" s="13">
        <f t="shared" si="38"/>
        <v>889.88900000000001</v>
      </c>
      <c r="K75" s="5">
        <f t="shared" si="39"/>
        <v>917.77800000000002</v>
      </c>
      <c r="L75" s="21">
        <f t="shared" si="40"/>
        <v>44494.45</v>
      </c>
      <c r="M75">
        <f t="shared" si="41"/>
        <v>45888.9</v>
      </c>
      <c r="N75" cm="1">
        <f t="array" ref="N75">_xlfn.IFS($J$1="Base Case After Incentive",Mortality_Table!E112,$J$1="Lower Bound Mortality After Incentive",Mortality_Table!F112,$J$1="Upper Bound Mortality After Incentive",Mortality_Table!G112)</f>
        <v>0.54433245775999994</v>
      </c>
      <c r="O75">
        <f t="shared" si="25"/>
        <v>0.99231834780665096</v>
      </c>
      <c r="P75">
        <f t="shared" si="26"/>
        <v>5.4015108514193679E-4</v>
      </c>
      <c r="Q75">
        <f t="shared" si="27"/>
        <v>0.99177819672150902</v>
      </c>
      <c r="R75">
        <f t="shared" si="28"/>
        <v>45371.226041672206</v>
      </c>
      <c r="S75">
        <f t="shared" si="29"/>
        <v>496.1591739033255</v>
      </c>
      <c r="T75">
        <f t="shared" si="42"/>
        <v>45511.610491533655</v>
      </c>
      <c r="U75" s="22">
        <f t="shared" si="37"/>
        <v>495.88909836075453</v>
      </c>
      <c r="V75" s="1">
        <f t="shared" si="43"/>
        <v>0</v>
      </c>
      <c r="W75" s="1">
        <f t="shared" si="44"/>
        <v>0</v>
      </c>
      <c r="X75" s="1">
        <f t="shared" si="45"/>
        <v>-194.69285983966495</v>
      </c>
      <c r="Y75" s="1">
        <f t="shared" ref="Y75:Y84" si="55">-P75*I75</f>
        <v>-27.007554257096839</v>
      </c>
      <c r="Z75" s="1">
        <f t="shared" si="46"/>
        <v>-221.70041409676179</v>
      </c>
      <c r="AA75" s="1">
        <f t="shared" si="47"/>
        <v>-140.38444986144896</v>
      </c>
      <c r="AB75" s="1">
        <f t="shared" si="48"/>
        <v>2522.7061868566543</v>
      </c>
      <c r="AC75" s="1">
        <f t="shared" si="49"/>
        <v>2160.6213228984434</v>
      </c>
      <c r="AD75" s="1">
        <f t="shared" si="50"/>
        <v>0.27007554257096444</v>
      </c>
      <c r="AE75">
        <f t="shared" si="51"/>
        <v>2160.8913984410142</v>
      </c>
      <c r="AG75" s="19">
        <v>66</v>
      </c>
      <c r="AH75" s="19">
        <f t="shared" si="24"/>
        <v>8.4221711034993232E-5</v>
      </c>
      <c r="AI75" s="19">
        <f t="shared" si="52"/>
        <v>4.5844610964430378E-5</v>
      </c>
      <c r="AJ75" s="19">
        <f>ROUND((1000*NPV($B$18,$AI76:$AI$85)-$AJ$6*($AH76+NPV($B$18,$AH77:$AH$85)))/AH76,3)</f>
        <v>917.77800000000002</v>
      </c>
      <c r="AK75" s="19">
        <f>ROUND(MAX(0,1000*NPV($B$19,$AI76:$AI$84)-$AJ$7*($AH76+NPV($B$19,$AH77:$AH$84)))/AH76,3)</f>
        <v>889.88900000000001</v>
      </c>
    </row>
    <row r="76" spans="5:37">
      <c r="E76">
        <v>67</v>
      </c>
      <c r="F76" s="13"/>
      <c r="G76" s="13">
        <f t="shared" si="53"/>
        <v>0</v>
      </c>
      <c r="H76" s="13">
        <f t="shared" si="54"/>
        <v>196.20000000000002</v>
      </c>
      <c r="I76" s="13">
        <f t="shared" si="36"/>
        <v>50000</v>
      </c>
      <c r="J76" s="13">
        <f t="shared" si="38"/>
        <v>893.88300000000004</v>
      </c>
      <c r="K76" s="5">
        <f t="shared" si="39"/>
        <v>920.83199999999999</v>
      </c>
      <c r="L76" s="21">
        <f t="shared" si="40"/>
        <v>44694.15</v>
      </c>
      <c r="M76">
        <f t="shared" si="41"/>
        <v>46041.599999999999</v>
      </c>
      <c r="N76" cm="1">
        <f t="array" ref="N76">_xlfn.IFS($J$1="Base Case After Incentive",Mortality_Table!E113,$J$1="Lower Bound Mortality After Incentive",Mortality_Table!F113,$J$1="Upper Bound Mortality After Incentive",Mortality_Table!G113)</f>
        <v>0.57049196021999993</v>
      </c>
      <c r="O76">
        <f t="shared" si="25"/>
        <v>0.99177819672150902</v>
      </c>
      <c r="P76">
        <f t="shared" si="26"/>
        <v>5.6580148755111038E-4</v>
      </c>
      <c r="Q76">
        <f t="shared" si="27"/>
        <v>0.99121239523395788</v>
      </c>
      <c r="R76">
        <f t="shared" si="28"/>
        <v>45511.610491533655</v>
      </c>
      <c r="S76">
        <f t="shared" si="29"/>
        <v>495.88909836075453</v>
      </c>
      <c r="T76">
        <f t="shared" si="42"/>
        <v>45637.004616403792</v>
      </c>
      <c r="U76" s="22">
        <f t="shared" si="37"/>
        <v>495.60619761697893</v>
      </c>
      <c r="V76" s="1">
        <f t="shared" si="43"/>
        <v>0</v>
      </c>
      <c r="W76" s="1">
        <f t="shared" si="44"/>
        <v>0</v>
      </c>
      <c r="X76" s="1">
        <f t="shared" si="45"/>
        <v>-194.58688219676009</v>
      </c>
      <c r="Y76" s="1">
        <f t="shared" si="55"/>
        <v>-28.29007437755552</v>
      </c>
      <c r="Z76" s="1">
        <f t="shared" si="46"/>
        <v>-222.87695657431561</v>
      </c>
      <c r="AA76" s="1">
        <f t="shared" si="47"/>
        <v>-125.3941248701376</v>
      </c>
      <c r="AB76" s="1">
        <f t="shared" si="48"/>
        <v>2530.4124774441925</v>
      </c>
      <c r="AC76" s="1">
        <f t="shared" si="49"/>
        <v>2182.1413959997394</v>
      </c>
      <c r="AD76" s="1">
        <f t="shared" si="50"/>
        <v>0.28290074377559904</v>
      </c>
      <c r="AE76">
        <f t="shared" si="51"/>
        <v>2182.4242967435148</v>
      </c>
      <c r="AG76" s="19">
        <v>67</v>
      </c>
      <c r="AH76" s="19">
        <f t="shared" ref="AH76:AH84" si="56">AH75-AI75</f>
        <v>3.8377100070562854E-5</v>
      </c>
      <c r="AI76" s="19">
        <f t="shared" si="52"/>
        <v>2.1893827046814499E-5</v>
      </c>
      <c r="AJ76" s="19">
        <f>ROUND((1000*NPV($B$18,$AI77:$AI$85)-$AJ$6*($AH77+NPV($B$18,$AH78:$AH$85)))/AH77,3)</f>
        <v>920.83199999999999</v>
      </c>
      <c r="AK76" s="19">
        <f>ROUND(MAX(0,1000*NPV($B$19,$AI77:$AI$84)-$AJ$7*($AH77+NPV($B$19,$AH78:$AH$84)))/AH77,3)</f>
        <v>893.88300000000004</v>
      </c>
    </row>
    <row r="77" spans="5:37">
      <c r="E77">
        <v>68</v>
      </c>
      <c r="F77" s="13"/>
      <c r="G77" s="13">
        <f t="shared" si="53"/>
        <v>0</v>
      </c>
      <c r="H77" s="13">
        <f t="shared" si="54"/>
        <v>196.20000000000002</v>
      </c>
      <c r="I77" s="13">
        <f t="shared" si="36"/>
        <v>50000</v>
      </c>
      <c r="J77" s="13">
        <f t="shared" si="38"/>
        <v>897.53399999999999</v>
      </c>
      <c r="K77" s="5">
        <f t="shared" si="39"/>
        <v>923.59900000000005</v>
      </c>
      <c r="L77" s="21">
        <f t="shared" si="40"/>
        <v>44876.7</v>
      </c>
      <c r="M77">
        <f t="shared" si="41"/>
        <v>46179.95</v>
      </c>
      <c r="N77" cm="1">
        <f t="array" ref="N77">_xlfn.IFS($J$1="Base Case After Incentive",Mortality_Table!E114,$J$1="Lower Bound Mortality After Incentive",Mortality_Table!F114,$J$1="Upper Bound Mortality After Incentive",Mortality_Table!G114)</f>
        <v>0.59650936254000009</v>
      </c>
      <c r="O77">
        <f t="shared" si="25"/>
        <v>0.99121239523395788</v>
      </c>
      <c r="P77">
        <f t="shared" si="26"/>
        <v>5.9126747402275478E-4</v>
      </c>
      <c r="Q77">
        <f t="shared" si="27"/>
        <v>0.99062112775993516</v>
      </c>
      <c r="R77">
        <f t="shared" si="28"/>
        <v>45637.004616403792</v>
      </c>
      <c r="S77">
        <f t="shared" si="29"/>
        <v>495.60619761697893</v>
      </c>
      <c r="T77">
        <f t="shared" si="42"/>
        <v>45746.834148897418</v>
      </c>
      <c r="U77" s="22">
        <f t="shared" si="37"/>
        <v>495.31056387996756</v>
      </c>
      <c r="V77" s="1">
        <f t="shared" si="43"/>
        <v>0</v>
      </c>
      <c r="W77" s="1">
        <f t="shared" si="44"/>
        <v>0</v>
      </c>
      <c r="X77" s="1">
        <f t="shared" si="45"/>
        <v>-194.47587194490256</v>
      </c>
      <c r="Y77" s="1">
        <f t="shared" si="55"/>
        <v>-29.563373701137738</v>
      </c>
      <c r="Z77" s="1">
        <f t="shared" si="46"/>
        <v>-224.03924564604031</v>
      </c>
      <c r="AA77" s="1">
        <f t="shared" si="47"/>
        <v>-109.82953249362617</v>
      </c>
      <c r="AB77" s="1">
        <f t="shared" si="48"/>
        <v>2537.2935947711426</v>
      </c>
      <c r="AC77" s="1">
        <f t="shared" si="49"/>
        <v>2203.424816631476</v>
      </c>
      <c r="AD77" s="1">
        <f t="shared" si="50"/>
        <v>0.29563373701137152</v>
      </c>
      <c r="AE77">
        <f t="shared" si="51"/>
        <v>2203.7204503684875</v>
      </c>
      <c r="AG77" s="19">
        <v>68</v>
      </c>
      <c r="AH77" s="19">
        <f t="shared" si="56"/>
        <v>1.6483273023748356E-5</v>
      </c>
      <c r="AI77" s="19">
        <f t="shared" si="52"/>
        <v>9.8324266839689121E-6</v>
      </c>
      <c r="AJ77" s="19">
        <f>ROUND((1000*NPV($B$18,$AI78:$AI$85)-$AJ$6*($AH78+NPV($B$18,$AH79:$AH$85)))/AH78,3)</f>
        <v>923.59900000000005</v>
      </c>
      <c r="AK77" s="19">
        <f>ROUND(MAX(0,1000*NPV($B$19,$AI78:$AI$84)-$AJ$7*($AH78+NPV($B$19,$AH79:$AH$84)))/AH78,3)</f>
        <v>897.53399999999999</v>
      </c>
    </row>
    <row r="78" spans="5:37">
      <c r="E78">
        <v>69</v>
      </c>
      <c r="F78" s="13"/>
      <c r="G78" s="13">
        <f t="shared" si="53"/>
        <v>0</v>
      </c>
      <c r="H78" s="13">
        <f t="shared" si="54"/>
        <v>196.20000000000002</v>
      </c>
      <c r="I78" s="13">
        <f t="shared" si="36"/>
        <v>50000</v>
      </c>
      <c r="J78" s="13">
        <f t="shared" si="38"/>
        <v>900.77</v>
      </c>
      <c r="K78" s="5">
        <f t="shared" si="39"/>
        <v>925.99</v>
      </c>
      <c r="L78" s="21">
        <f t="shared" si="40"/>
        <v>45038.5</v>
      </c>
      <c r="M78">
        <f t="shared" si="41"/>
        <v>46299.5</v>
      </c>
      <c r="N78" cm="1">
        <f t="array" ref="N78">_xlfn.IFS($J$1="Base Case After Incentive",Mortality_Table!E115,$J$1="Lower Bound Mortality After Incentive",Mortality_Table!F115,$J$1="Upper Bound Mortality After Incentive",Mortality_Table!G115)</f>
        <v>0.62235240886000009</v>
      </c>
      <c r="O78">
        <f t="shared" si="25"/>
        <v>0.99062112775993516</v>
      </c>
      <c r="P78">
        <f t="shared" si="26"/>
        <v>6.1651544512900558E-4</v>
      </c>
      <c r="Q78">
        <f t="shared" si="27"/>
        <v>0.99000461231480619</v>
      </c>
      <c r="R78">
        <f t="shared" si="28"/>
        <v>45746.834148897418</v>
      </c>
      <c r="S78">
        <f t="shared" si="29"/>
        <v>495.31056387996756</v>
      </c>
      <c r="T78">
        <f t="shared" si="42"/>
        <v>45836.718547869372</v>
      </c>
      <c r="U78" s="22">
        <f t="shared" si="37"/>
        <v>495.0023061574031</v>
      </c>
      <c r="V78" s="1">
        <f t="shared" si="43"/>
        <v>0</v>
      </c>
      <c r="W78" s="1">
        <f t="shared" si="44"/>
        <v>0</v>
      </c>
      <c r="X78" s="1">
        <f t="shared" si="45"/>
        <v>-194.3598652664993</v>
      </c>
      <c r="Y78" s="1">
        <f t="shared" si="55"/>
        <v>-30.825772256450279</v>
      </c>
      <c r="Z78" s="1">
        <f t="shared" si="46"/>
        <v>-225.18563752294958</v>
      </c>
      <c r="AA78" s="1">
        <f t="shared" si="47"/>
        <v>-89.884398971953487</v>
      </c>
      <c r="AB78" s="1">
        <f t="shared" si="48"/>
        <v>2543.3179592027564</v>
      </c>
      <c r="AC78" s="1">
        <f t="shared" si="49"/>
        <v>2228.2479227078534</v>
      </c>
      <c r="AD78" s="1">
        <f t="shared" si="50"/>
        <v>0.30825772256446271</v>
      </c>
      <c r="AE78">
        <f t="shared" si="51"/>
        <v>2228.556180430418</v>
      </c>
      <c r="AG78" s="19">
        <v>69</v>
      </c>
      <c r="AH78" s="19">
        <f t="shared" si="56"/>
        <v>6.6508463397794435E-6</v>
      </c>
      <c r="AI78" s="19">
        <f t="shared" si="52"/>
        <v>4.1391702405194512E-6</v>
      </c>
      <c r="AJ78" s="19">
        <f>ROUND((1000*NPV($B$18,$AI79:$AI$85)-$AJ$6*($AH79+NPV($B$18,$AH80:$AH$85)))/AH79,3)</f>
        <v>925.99</v>
      </c>
      <c r="AK78" s="19">
        <f>ROUND(MAX(0,1000*NPV($B$19,$AI79:$AI$84)-$AJ$7*($AH79+NPV($B$19,$AH80:$AH$84)))/AH79,3)</f>
        <v>900.77</v>
      </c>
    </row>
    <row r="79" spans="5:37">
      <c r="E79">
        <v>70</v>
      </c>
      <c r="F79" s="13"/>
      <c r="G79" s="13">
        <f t="shared" si="53"/>
        <v>0</v>
      </c>
      <c r="H79" s="13">
        <f t="shared" si="54"/>
        <v>196.20000000000002</v>
      </c>
      <c r="I79" s="13">
        <f t="shared" si="36"/>
        <v>50000</v>
      </c>
      <c r="J79" s="13">
        <f t="shared" si="38"/>
        <v>903.28700000000003</v>
      </c>
      <c r="K79" s="5">
        <f t="shared" si="39"/>
        <v>927.66499999999996</v>
      </c>
      <c r="L79" s="21">
        <f t="shared" si="40"/>
        <v>45164.35</v>
      </c>
      <c r="M79">
        <f t="shared" si="41"/>
        <v>46383.25</v>
      </c>
      <c r="N79" cm="1">
        <f t="array" ref="N79">_xlfn.IFS($J$1="Base Case After Incentive",Mortality_Table!E116,$J$1="Lower Bound Mortality After Incentive",Mortality_Table!F116,$J$1="Upper Bound Mortality After Incentive",Mortality_Table!G116)</f>
        <v>0.64798884332000006</v>
      </c>
      <c r="O79">
        <f t="shared" si="25"/>
        <v>0.99000461231480619</v>
      </c>
      <c r="P79">
        <f t="shared" si="26"/>
        <v>6.4151194361533636E-4</v>
      </c>
      <c r="Q79">
        <f t="shared" si="27"/>
        <v>0.9893631003711908</v>
      </c>
      <c r="R79">
        <f t="shared" si="28"/>
        <v>45836.718547869372</v>
      </c>
      <c r="S79">
        <f t="shared" si="29"/>
        <v>495.0023061574031</v>
      </c>
      <c r="T79">
        <f t="shared" si="42"/>
        <v>45889.876025292033</v>
      </c>
      <c r="U79" s="22">
        <f t="shared" si="37"/>
        <v>494.68155018559537</v>
      </c>
      <c r="V79" s="1">
        <f t="shared" si="43"/>
        <v>0</v>
      </c>
      <c r="W79" s="1">
        <f t="shared" si="44"/>
        <v>0</v>
      </c>
      <c r="X79" s="1">
        <f t="shared" si="45"/>
        <v>-194.238904936165</v>
      </c>
      <c r="Y79" s="1">
        <f t="shared" si="55"/>
        <v>-32.07559718076682</v>
      </c>
      <c r="Z79" s="1">
        <f t="shared" si="46"/>
        <v>-226.31450211693181</v>
      </c>
      <c r="AA79" s="1">
        <f t="shared" si="47"/>
        <v>-53.157477422661032</v>
      </c>
      <c r="AB79" s="1">
        <f t="shared" si="48"/>
        <v>2548.2446469714728</v>
      </c>
      <c r="AC79" s="1">
        <f t="shared" si="49"/>
        <v>2268.7726674318801</v>
      </c>
      <c r="AD79" s="1">
        <f t="shared" si="50"/>
        <v>0.32075597180772775</v>
      </c>
      <c r="AE79">
        <f t="shared" si="51"/>
        <v>2269.0934234036877</v>
      </c>
      <c r="AG79" s="19">
        <v>70</v>
      </c>
      <c r="AH79" s="19">
        <f t="shared" si="56"/>
        <v>2.5116760992599924E-6</v>
      </c>
      <c r="AI79" s="19">
        <f t="shared" si="52"/>
        <v>1.6275380903539721E-6</v>
      </c>
      <c r="AJ79" s="19">
        <f>ROUND((1000*NPV($B$18,$AI80:$AI$85)-$AJ$6*($AH80+NPV($B$18,$AH81:$AH$85)))/AH80,3)</f>
        <v>927.66499999999996</v>
      </c>
      <c r="AK79" s="19">
        <f>ROUND(MAX(0,1000*NPV($B$19,$AI80:$AI$84)-$AJ$7*($AH80+NPV($B$19,$AH81:$AH$84)))/AH80,3)</f>
        <v>903.28700000000003</v>
      </c>
    </row>
    <row r="80" spans="5:37">
      <c r="E80">
        <v>71</v>
      </c>
      <c r="F80" s="13"/>
      <c r="G80" s="13">
        <f t="shared" si="53"/>
        <v>0</v>
      </c>
      <c r="H80" s="13">
        <f t="shared" si="54"/>
        <v>196.20000000000002</v>
      </c>
      <c r="I80" s="13">
        <f t="shared" si="36"/>
        <v>50000</v>
      </c>
      <c r="J80" s="13">
        <f t="shared" si="38"/>
        <v>903.93499999999995</v>
      </c>
      <c r="K80" s="5">
        <f t="shared" si="39"/>
        <v>927.37199999999996</v>
      </c>
      <c r="L80" s="21">
        <f t="shared" si="40"/>
        <v>45196.75</v>
      </c>
      <c r="M80">
        <f t="shared" si="41"/>
        <v>46368.6</v>
      </c>
      <c r="N80" cm="1">
        <f t="array" ref="N80">_xlfn.IFS($J$1="Base Case After Incentive",Mortality_Table!E117,$J$1="Lower Bound Mortality After Incentive",Mortality_Table!F117,$J$1="Upper Bound Mortality After Incentive",Mortality_Table!G117)</f>
        <v>0.67338728183999996</v>
      </c>
      <c r="O80">
        <f t="shared" si="25"/>
        <v>0.9893631003711908</v>
      </c>
      <c r="P80">
        <f t="shared" si="26"/>
        <v>6.6622452891175118E-4</v>
      </c>
      <c r="Q80">
        <f t="shared" si="27"/>
        <v>0.98869687584227905</v>
      </c>
      <c r="R80">
        <f t="shared" si="28"/>
        <v>45889.876025292033</v>
      </c>
      <c r="S80">
        <f t="shared" si="29"/>
        <v>494.68155018559537</v>
      </c>
      <c r="T80">
        <f t="shared" si="42"/>
        <v>45844.489957180296</v>
      </c>
      <c r="U80" s="22">
        <f t="shared" si="37"/>
        <v>494.34843792113952</v>
      </c>
      <c r="V80" s="1">
        <f t="shared" si="43"/>
        <v>0</v>
      </c>
      <c r="W80" s="1">
        <f t="shared" si="44"/>
        <v>0</v>
      </c>
      <c r="X80" s="1">
        <f t="shared" si="45"/>
        <v>-194.11304029282766</v>
      </c>
      <c r="Y80" s="1">
        <f t="shared" si="55"/>
        <v>-33.311226445587558</v>
      </c>
      <c r="Z80" s="1">
        <f t="shared" si="46"/>
        <v>-227.42426673841521</v>
      </c>
      <c r="AA80" s="1">
        <f t="shared" si="47"/>
        <v>45.386068111736677</v>
      </c>
      <c r="AB80" s="1">
        <f t="shared" si="48"/>
        <v>2551.1506666512696</v>
      </c>
      <c r="AC80" s="1">
        <f t="shared" si="49"/>
        <v>2369.1124680245912</v>
      </c>
      <c r="AD80" s="1">
        <f t="shared" si="50"/>
        <v>0.33311226445584907</v>
      </c>
      <c r="AE80">
        <f t="shared" si="51"/>
        <v>2369.445580289047</v>
      </c>
      <c r="AG80" s="19">
        <v>71</v>
      </c>
      <c r="AH80" s="19">
        <f t="shared" si="56"/>
        <v>8.8413800890602027E-7</v>
      </c>
      <c r="AI80" s="19">
        <f t="shared" si="52"/>
        <v>5.9536729058865463E-7</v>
      </c>
      <c r="AJ80" s="19">
        <f>ROUND((1000*NPV($B$18,$AI81:$AI$85)-$AJ$6*($AH81+NPV($B$18,$AH82:$AH$85)))/AH81,3)</f>
        <v>927.37199999999996</v>
      </c>
      <c r="AK80" s="19">
        <f>ROUND(MAX(0,1000*NPV($B$19,$AI81:$AI$84)-$AJ$7*($AH81+NPV($B$19,$AH82:$AH$84)))/AH81,3)</f>
        <v>903.93499999999995</v>
      </c>
    </row>
    <row r="81" spans="1:37">
      <c r="E81">
        <v>72</v>
      </c>
      <c r="F81" s="13"/>
      <c r="G81" s="13">
        <f t="shared" si="53"/>
        <v>0</v>
      </c>
      <c r="H81" s="13">
        <f t="shared" si="54"/>
        <v>196.20000000000002</v>
      </c>
      <c r="I81" s="13">
        <f t="shared" si="36"/>
        <v>50000</v>
      </c>
      <c r="J81" s="13">
        <f t="shared" si="38"/>
        <v>898.16</v>
      </c>
      <c r="K81" s="5">
        <f t="shared" si="39"/>
        <v>920.27300000000002</v>
      </c>
      <c r="L81" s="21">
        <f t="shared" si="40"/>
        <v>44908</v>
      </c>
      <c r="M81">
        <f t="shared" si="41"/>
        <v>46013.65</v>
      </c>
      <c r="N81" cm="1">
        <f t="array" ref="N81">_xlfn.IFS($J$1="Base Case After Incentive",Mortality_Table!E118,$J$1="Lower Bound Mortality After Incentive",Mortality_Table!F118,$J$1="Upper Bound Mortality After Incentive",Mortality_Table!G118)</f>
        <v>0.69865669691999999</v>
      </c>
      <c r="O81">
        <f t="shared" si="25"/>
        <v>0.98869687584227905</v>
      </c>
      <c r="P81">
        <f t="shared" si="26"/>
        <v>6.9075969353108997E-4</v>
      </c>
      <c r="Q81">
        <f t="shared" si="27"/>
        <v>0.988006116148748</v>
      </c>
      <c r="R81">
        <f t="shared" si="28"/>
        <v>45844.489957180296</v>
      </c>
      <c r="S81">
        <f t="shared" si="29"/>
        <v>494.34843792113952</v>
      </c>
      <c r="T81">
        <f t="shared" si="42"/>
        <v>45461.767626327841</v>
      </c>
      <c r="U81" s="22">
        <f t="shared" si="37"/>
        <v>494.003058074374</v>
      </c>
      <c r="V81" s="1">
        <f t="shared" si="43"/>
        <v>0</v>
      </c>
      <c r="W81" s="1">
        <f t="shared" si="44"/>
        <v>0</v>
      </c>
      <c r="X81" s="1">
        <f t="shared" si="45"/>
        <v>-193.98232704025517</v>
      </c>
      <c r="Y81" s="1">
        <f t="shared" si="55"/>
        <v>-34.537984676554501</v>
      </c>
      <c r="Z81" s="1">
        <f t="shared" si="46"/>
        <v>-228.52031171680966</v>
      </c>
      <c r="AA81" s="1">
        <f t="shared" si="47"/>
        <v>382.72233085245534</v>
      </c>
      <c r="AB81" s="1">
        <f t="shared" si="48"/>
        <v>2548.6361117305787</v>
      </c>
      <c r="AC81" s="1">
        <f t="shared" si="49"/>
        <v>2702.8381308662242</v>
      </c>
      <c r="AD81" s="1">
        <f t="shared" si="50"/>
        <v>0.34537984676552469</v>
      </c>
      <c r="AE81">
        <f t="shared" si="51"/>
        <v>2703.1835107129896</v>
      </c>
      <c r="AG81" s="19">
        <v>72</v>
      </c>
      <c r="AH81" s="19">
        <f t="shared" si="56"/>
        <v>2.8877071831736564E-7</v>
      </c>
      <c r="AI81" s="19">
        <f t="shared" si="52"/>
        <v>2.0175159622682641E-7</v>
      </c>
      <c r="AJ81" s="19">
        <f>ROUND((1000*NPV($B$18,$AI82:$AI$85)-$AJ$6*($AH82+NPV($B$18,$AH83:$AH$85)))/AH82,3)</f>
        <v>920.27300000000002</v>
      </c>
      <c r="AK81" s="19">
        <f>ROUND(MAX(0,1000*NPV($B$19,$AI82:$AI$84)-$AJ$7*($AH82+NPV($B$19,$AH83:$AH$84)))/AH82,3)</f>
        <v>898.16</v>
      </c>
    </row>
    <row r="82" spans="1:37">
      <c r="E82">
        <v>73</v>
      </c>
      <c r="F82" s="13"/>
      <c r="G82" s="13">
        <f t="shared" si="53"/>
        <v>0</v>
      </c>
      <c r="H82" s="13">
        <f t="shared" si="54"/>
        <v>196.20000000000002</v>
      </c>
      <c r="I82" s="13">
        <f t="shared" si="36"/>
        <v>50000</v>
      </c>
      <c r="J82" s="13">
        <f t="shared" si="38"/>
        <v>866.66399999999999</v>
      </c>
      <c r="K82" s="5">
        <f t="shared" si="39"/>
        <v>886.23199999999997</v>
      </c>
      <c r="L82" s="21">
        <f t="shared" si="40"/>
        <v>43333.2</v>
      </c>
      <c r="M82">
        <f t="shared" si="41"/>
        <v>44311.6</v>
      </c>
      <c r="N82" cm="1">
        <f t="array" ref="N82">_xlfn.IFS($J$1="Base Case After Incentive",Mortality_Table!E119,$J$1="Lower Bound Mortality After Incentive",Mortality_Table!F119,$J$1="Upper Bound Mortality After Incentive",Mortality_Table!G119)</f>
        <v>0.72392524022000004</v>
      </c>
      <c r="O82">
        <f t="shared" si="25"/>
        <v>0.988006116148748</v>
      </c>
      <c r="P82">
        <f t="shared" si="26"/>
        <v>7.1524256497181168E-4</v>
      </c>
      <c r="Q82">
        <f t="shared" si="27"/>
        <v>0.98729087358377621</v>
      </c>
      <c r="R82">
        <f t="shared" si="28"/>
        <v>45461.767626327841</v>
      </c>
      <c r="S82">
        <f t="shared" si="29"/>
        <v>494.003058074374</v>
      </c>
      <c r="T82">
        <f t="shared" si="42"/>
        <v>43748.438273894855</v>
      </c>
      <c r="U82" s="22">
        <f t="shared" si="37"/>
        <v>493.64543679188813</v>
      </c>
      <c r="V82" s="1">
        <f t="shared" si="43"/>
        <v>0</v>
      </c>
      <c r="W82" s="1">
        <f t="shared" si="44"/>
        <v>0</v>
      </c>
      <c r="X82" s="1">
        <f t="shared" si="45"/>
        <v>-193.84679998838436</v>
      </c>
      <c r="Y82" s="1">
        <f t="shared" si="55"/>
        <v>-35.762128248590585</v>
      </c>
      <c r="Z82" s="1">
        <f t="shared" si="46"/>
        <v>-229.60892823697495</v>
      </c>
      <c r="AA82" s="1">
        <f t="shared" si="47"/>
        <v>1713.3293524329856</v>
      </c>
      <c r="AB82" s="1">
        <f t="shared" si="48"/>
        <v>2527.567387642122</v>
      </c>
      <c r="AC82" s="1">
        <f t="shared" si="49"/>
        <v>4011.2878118381327</v>
      </c>
      <c r="AD82" s="1">
        <f t="shared" si="50"/>
        <v>0.35762128248586578</v>
      </c>
      <c r="AE82">
        <f t="shared" si="51"/>
        <v>4011.6454331206187</v>
      </c>
      <c r="AG82" s="19">
        <v>73</v>
      </c>
      <c r="AH82" s="19">
        <f t="shared" si="56"/>
        <v>8.7019122090539232E-8</v>
      </c>
      <c r="AI82" s="19">
        <f t="shared" si="52"/>
        <v>6.2995338863127127E-8</v>
      </c>
      <c r="AJ82" s="19">
        <f>ROUND((1000*NPV($B$18,$AI83:$AI$85)-$AJ$6*($AH83+NPV($B$18,$AH84:$AH$85)))/AH83,3)</f>
        <v>886.23199999999997</v>
      </c>
      <c r="AK82" s="19">
        <f>ROUND(MAX(0,1000*NPV($B$19,$AI83:$AI$84)-$AJ$7*($AH83+NPV($B$19,$AH84:$AH$84)))/AH83,3)</f>
        <v>866.66399999999999</v>
      </c>
    </row>
    <row r="83" spans="1:37">
      <c r="E83">
        <v>74</v>
      </c>
      <c r="F83" s="13"/>
      <c r="G83" s="13">
        <f t="shared" si="53"/>
        <v>0</v>
      </c>
      <c r="H83" s="13">
        <f t="shared" si="54"/>
        <v>196.20000000000002</v>
      </c>
      <c r="I83" s="13">
        <f t="shared" si="36"/>
        <v>50000</v>
      </c>
      <c r="J83" s="13">
        <f t="shared" si="38"/>
        <v>710.20299999999997</v>
      </c>
      <c r="K83" s="5">
        <f t="shared" si="39"/>
        <v>733.61199999999997</v>
      </c>
      <c r="L83" s="21">
        <f t="shared" si="40"/>
        <v>35510.15</v>
      </c>
      <c r="M83">
        <f t="shared" si="41"/>
        <v>36680.6</v>
      </c>
      <c r="N83" cm="1">
        <f t="array" ref="N83">_xlfn.IFS($J$1="Base Case After Incentive",Mortality_Table!E120,$J$1="Lower Bound Mortality After Incentive",Mortality_Table!F120,$J$1="Upper Bound Mortality After Incentive",Mortality_Table!G120)</f>
        <v>0.74919465529999996</v>
      </c>
      <c r="O83">
        <f t="shared" si="25"/>
        <v>0.98729087358377621</v>
      </c>
      <c r="P83">
        <f t="shared" si="26"/>
        <v>7.39673045715433E-4</v>
      </c>
      <c r="Q83">
        <f t="shared" si="27"/>
        <v>0.98655120053806078</v>
      </c>
      <c r="R83">
        <f t="shared" si="28"/>
        <v>43748.438273894855</v>
      </c>
      <c r="S83">
        <f t="shared" si="29"/>
        <v>493.64543679188813</v>
      </c>
      <c r="T83">
        <f t="shared" si="42"/>
        <v>36187.289966456388</v>
      </c>
      <c r="U83" s="22">
        <f t="shared" si="37"/>
        <v>493.27560026903041</v>
      </c>
      <c r="V83" s="1">
        <f t="shared" si="43"/>
        <v>0</v>
      </c>
      <c r="W83" s="1">
        <f t="shared" si="44"/>
        <v>0</v>
      </c>
      <c r="X83" s="1">
        <f t="shared" si="45"/>
        <v>-193.70646939713691</v>
      </c>
      <c r="Y83" s="1">
        <f t="shared" si="55"/>
        <v>-36.983652285771647</v>
      </c>
      <c r="Z83" s="1">
        <f t="shared" si="46"/>
        <v>-230.69012168290857</v>
      </c>
      <c r="AA83" s="1">
        <f t="shared" si="47"/>
        <v>7561.1483074384669</v>
      </c>
      <c r="AB83" s="1">
        <f t="shared" si="48"/>
        <v>2433.3146040877709</v>
      </c>
      <c r="AC83" s="1">
        <f t="shared" si="49"/>
        <v>9763.7727898433295</v>
      </c>
      <c r="AD83" s="1">
        <f t="shared" si="50"/>
        <v>0.3698365228577245</v>
      </c>
      <c r="AE83">
        <f t="shared" si="51"/>
        <v>9764.142626366187</v>
      </c>
      <c r="AG83" s="19">
        <v>74</v>
      </c>
      <c r="AH83" s="19">
        <f t="shared" si="56"/>
        <v>2.4023783227412105E-8</v>
      </c>
      <c r="AI83" s="19">
        <f t="shared" si="52"/>
        <v>1.7998489994062932E-8</v>
      </c>
      <c r="AJ83" s="19">
        <f>ROUND((1000*NPV($B$18,$AI84:$AI$85)-$AJ$6*($AH84+NPV($B$18,$AH85:$AH$85)))/AH84,3)</f>
        <v>733.61199999999997</v>
      </c>
      <c r="AK83" s="19">
        <f>ROUND(MAX(0,1000*NPV($B$19,$AI84:$AI$84)-$AJ$7*($AH84+NPV($B$19,$AH$84:$AH85)))/AH84,3)</f>
        <v>710.20299999999997</v>
      </c>
    </row>
    <row r="84" spans="1:37">
      <c r="E84">
        <v>75</v>
      </c>
      <c r="F84" s="13"/>
      <c r="G84" s="13">
        <f t="shared" si="53"/>
        <v>0</v>
      </c>
      <c r="H84" s="13">
        <f t="shared" si="54"/>
        <v>196.20000000000002</v>
      </c>
      <c r="I84" s="13">
        <f t="shared" si="36"/>
        <v>50000</v>
      </c>
      <c r="J84" s="13">
        <f t="shared" si="38"/>
        <v>0</v>
      </c>
      <c r="K84" s="5">
        <f t="shared" si="39"/>
        <v>0</v>
      </c>
      <c r="L84" s="21">
        <f t="shared" si="40"/>
        <v>0</v>
      </c>
      <c r="M84">
        <f t="shared" si="41"/>
        <v>0</v>
      </c>
      <c r="N84" cm="1">
        <f t="array" ref="N84">_xlfn.IFS($J$1="Base Case After Incentive",Mortality_Table!E121,$J$1="Lower Bound Mortality After Incentive",Mortality_Table!F121,$J$1="Upper Bound Mortality After Incentive",Mortality_Table!G121)</f>
        <v>0.77446407037999998</v>
      </c>
      <c r="O84">
        <f t="shared" si="25"/>
        <v>0.98655120053806078</v>
      </c>
      <c r="P84">
        <f t="shared" si="26"/>
        <v>7.6404845840698221E-4</v>
      </c>
      <c r="Q84">
        <f t="shared" si="27"/>
        <v>0.98578715207965384</v>
      </c>
      <c r="R84">
        <f t="shared" si="28"/>
        <v>36187.289966456388</v>
      </c>
      <c r="S84">
        <f t="shared" si="29"/>
        <v>493.27560026903041</v>
      </c>
      <c r="T84">
        <f t="shared" si="42"/>
        <v>0</v>
      </c>
      <c r="U84" s="22">
        <f t="shared" si="37"/>
        <v>492.89357603982694</v>
      </c>
      <c r="V84" s="1">
        <f t="shared" si="43"/>
        <v>0</v>
      </c>
      <c r="W84" s="1">
        <f t="shared" si="44"/>
        <v>0</v>
      </c>
      <c r="X84" s="1">
        <f t="shared" si="45"/>
        <v>-193.56134554556755</v>
      </c>
      <c r="Y84" s="1">
        <f t="shared" si="55"/>
        <v>-38.202422920349107</v>
      </c>
      <c r="Z84" s="1">
        <f t="shared" si="46"/>
        <v>-231.76376846591666</v>
      </c>
      <c r="AA84" s="1">
        <f t="shared" si="47"/>
        <v>36187.289966456388</v>
      </c>
      <c r="AB84" s="1">
        <f t="shared" si="48"/>
        <v>2017.4311061698979</v>
      </c>
      <c r="AC84" s="1">
        <f t="shared" si="49"/>
        <v>37972.957304160373</v>
      </c>
      <c r="AD84" s="1">
        <f t="shared" si="50"/>
        <v>0.38202422920346635</v>
      </c>
      <c r="AE84">
        <f t="shared" si="51"/>
        <v>37973.339328389578</v>
      </c>
      <c r="AG84" s="19">
        <v>75</v>
      </c>
      <c r="AH84" s="19">
        <f t="shared" si="56"/>
        <v>6.0252932333491729E-9</v>
      </c>
      <c r="AI84" s="19">
        <f t="shared" si="52"/>
        <v>4.6663731227326711E-9</v>
      </c>
      <c r="AJ84" s="19"/>
      <c r="AK84" s="19"/>
    </row>
    <row r="85" spans="1:37">
      <c r="F85" s="13"/>
      <c r="G85" s="13"/>
      <c r="H85" s="13"/>
      <c r="I85" s="13"/>
      <c r="J85" s="13"/>
      <c r="AG85" s="19"/>
    </row>
    <row r="86" spans="1:37">
      <c r="T86" s="19"/>
      <c r="AG86" s="19"/>
      <c r="AH86" s="19"/>
      <c r="AI86" s="19"/>
      <c r="AJ86" s="19"/>
      <c r="AK86" s="19"/>
    </row>
    <row r="87" spans="1:37">
      <c r="T87" s="19"/>
      <c r="U87" s="19" t="s">
        <v>116</v>
      </c>
      <c r="V87" s="19">
        <f>SUM(V9:V84)</f>
        <v>6375.791229915978</v>
      </c>
      <c r="W87" s="19">
        <f t="shared" ref="W87:AE87" si="57">SUM(W9:W84)</f>
        <v>-637.57912299159784</v>
      </c>
      <c r="X87" s="19">
        <f t="shared" si="57"/>
        <v>-14751.482796915769</v>
      </c>
      <c r="Y87" s="19">
        <f t="shared" si="57"/>
        <v>-710.64239601730844</v>
      </c>
      <c r="Z87" s="19">
        <f t="shared" si="57"/>
        <v>-9723.9130860086989</v>
      </c>
      <c r="AA87" s="19">
        <f t="shared" si="57"/>
        <v>0</v>
      </c>
      <c r="AB87" s="19">
        <f t="shared" si="57"/>
        <v>121144.34660772279</v>
      </c>
      <c r="AC87" s="19">
        <f t="shared" si="57"/>
        <v>111420.43352171409</v>
      </c>
      <c r="AD87" s="19">
        <f t="shared" si="57"/>
        <v>-492.89357603982694</v>
      </c>
      <c r="AE87" s="19">
        <f t="shared" si="57"/>
        <v>110927.53994567427</v>
      </c>
      <c r="AF87" s="19"/>
      <c r="AG87" s="19"/>
      <c r="AH87" s="19"/>
      <c r="AI87" s="19"/>
      <c r="AJ87" s="19"/>
      <c r="AK87" s="19"/>
    </row>
    <row r="88" spans="1:37">
      <c r="T88" s="19"/>
      <c r="U88" t="str">
        <f>"PV at "&amp;$B$12</f>
        <v>PV at 0.055</v>
      </c>
      <c r="V88">
        <f>V9+NPV($B$12,V10:V84)</f>
        <v>6375.791229915978</v>
      </c>
      <c r="W88">
        <f t="shared" ref="W88:AE88" si="58">W9+NPV($B$12,W10:W84)</f>
        <v>-637.57912299159784</v>
      </c>
      <c r="X88">
        <f t="shared" si="58"/>
        <v>-3585.2093046726905</v>
      </c>
      <c r="Y88">
        <f t="shared" si="58"/>
        <v>-33.329117706955394</v>
      </c>
      <c r="Z88">
        <f t="shared" si="58"/>
        <v>2119.6736845447349</v>
      </c>
      <c r="AA88">
        <f t="shared" si="58"/>
        <v>-14136.518339481489</v>
      </c>
      <c r="AB88">
        <f t="shared" si="58"/>
        <v>14627.29674869647</v>
      </c>
      <c r="AC88">
        <f t="shared" si="58"/>
        <v>2610.4520937597208</v>
      </c>
      <c r="AD88">
        <f t="shared" si="58"/>
        <v>-499.66670882293045</v>
      </c>
      <c r="AE88">
        <f t="shared" si="58"/>
        <v>2110.7853849367857</v>
      </c>
      <c r="AH88" s="19"/>
      <c r="AI88" s="19"/>
      <c r="AJ88" s="19"/>
      <c r="AK88" s="19"/>
    </row>
    <row r="89" spans="1:37">
      <c r="T89" s="19"/>
      <c r="U89" t="str">
        <f>"PV at "&amp;$B$13</f>
        <v>PV at 0.12</v>
      </c>
      <c r="V89" s="19">
        <f>V9+NPV($B$13,V10:V84)</f>
        <v>6375.791229915978</v>
      </c>
      <c r="W89" s="19">
        <f t="shared" ref="W89:AE89" si="59">W9+NPV($B$13,W10:W84)</f>
        <v>-637.57912299159784</v>
      </c>
      <c r="X89" s="19">
        <f t="shared" si="59"/>
        <v>-1729.0974301343726</v>
      </c>
      <c r="Y89" s="19">
        <f t="shared" si="59"/>
        <v>-2.9339911808022681</v>
      </c>
      <c r="Z89" s="19">
        <f t="shared" si="59"/>
        <v>4006.1806856092062</v>
      </c>
      <c r="AA89" s="19">
        <f t="shared" si="59"/>
        <v>-7730.4245994237172</v>
      </c>
      <c r="AB89" s="19">
        <f t="shared" si="59"/>
        <v>3772.218512467673</v>
      </c>
      <c r="AC89" s="19">
        <f t="shared" si="59"/>
        <v>47.974598653167959</v>
      </c>
      <c r="AD89" s="19">
        <f t="shared" si="59"/>
        <v>-499.97066008819195</v>
      </c>
      <c r="AE89" s="19">
        <f t="shared" si="59"/>
        <v>-451.99606143502388</v>
      </c>
      <c r="AF89" s="19"/>
      <c r="AG89" s="19"/>
      <c r="AH89" s="19"/>
      <c r="AI89" s="19"/>
      <c r="AJ89" s="19"/>
      <c r="AK89" s="19"/>
    </row>
    <row r="90" spans="1:37">
      <c r="T90" s="19"/>
      <c r="AG90" s="19"/>
      <c r="AH90" s="19"/>
      <c r="AI90" s="19"/>
      <c r="AJ90" s="19"/>
      <c r="AK90" s="19"/>
    </row>
    <row r="91" spans="1:37">
      <c r="U91" t="s">
        <v>117</v>
      </c>
      <c r="V91">
        <f>AC89</f>
        <v>47.974598653167959</v>
      </c>
      <c r="AG91" s="19"/>
      <c r="AH91" s="19"/>
      <c r="AI91" s="19"/>
      <c r="AJ91" s="19"/>
      <c r="AK91" s="19"/>
    </row>
    <row r="92" spans="1:37">
      <c r="U92" t="s">
        <v>118</v>
      </c>
      <c r="V92">
        <f>AE89</f>
        <v>-451.99606143502388</v>
      </c>
      <c r="AG92" s="19"/>
      <c r="AH92" s="19"/>
      <c r="AI92" s="19"/>
      <c r="AJ92" s="19"/>
      <c r="AK92" s="19"/>
    </row>
    <row r="93" spans="1:37">
      <c r="AH93" s="19"/>
      <c r="AI93" s="19"/>
      <c r="AJ93" s="19"/>
      <c r="AK93" s="19"/>
    </row>
    <row r="94" spans="1:37">
      <c r="A94" s="4" t="str">
        <f>"Base Assumptions for "&amp;B97&amp;" Death benefit (M,NS,44,Moderate)"</f>
        <v>Base Assumptions for 100000 Death benefit (M,NS,44,Moderate)</v>
      </c>
      <c r="E94" s="8" t="s">
        <v>61</v>
      </c>
      <c r="F94" s="8"/>
      <c r="G94" s="8"/>
      <c r="H94" s="8"/>
      <c r="I94" s="8"/>
      <c r="J94" s="8"/>
      <c r="K94" s="8"/>
      <c r="L94" s="8"/>
      <c r="M94" s="8"/>
      <c r="N94" s="9" t="s">
        <v>62</v>
      </c>
      <c r="O94" s="9"/>
      <c r="P94" s="9"/>
      <c r="Q94" s="9"/>
      <c r="R94" s="10" t="s">
        <v>63</v>
      </c>
      <c r="S94" s="10"/>
      <c r="T94" s="10"/>
      <c r="U94" s="11"/>
      <c r="V94" s="48" t="s">
        <v>64</v>
      </c>
      <c r="W94" s="48" t="s">
        <v>65</v>
      </c>
      <c r="X94" s="48" t="s">
        <v>66</v>
      </c>
      <c r="Y94" s="48" t="s">
        <v>121</v>
      </c>
      <c r="Z94" s="48"/>
      <c r="AA94" s="48" t="s">
        <v>68</v>
      </c>
      <c r="AB94" s="48" t="s">
        <v>69</v>
      </c>
      <c r="AC94" s="48" t="s">
        <v>70</v>
      </c>
      <c r="AD94" s="48" t="s">
        <v>71</v>
      </c>
      <c r="AE94" s="48" t="s">
        <v>72</v>
      </c>
      <c r="AH94" s="19"/>
      <c r="AI94" s="19"/>
      <c r="AJ94" s="19"/>
      <c r="AK94" s="19"/>
    </row>
    <row r="95" spans="1:37" ht="42.95">
      <c r="E95" t="s">
        <v>73</v>
      </c>
      <c r="F95" s="19" t="s">
        <v>60</v>
      </c>
      <c r="G95" s="19" t="s">
        <v>74</v>
      </c>
      <c r="H95" s="19" t="s">
        <v>46</v>
      </c>
      <c r="I95" s="1" t="s">
        <v>75</v>
      </c>
      <c r="J95" s="1" t="s">
        <v>122</v>
      </c>
      <c r="K95" s="1" t="s">
        <v>76</v>
      </c>
      <c r="L95" s="1" t="s">
        <v>123</v>
      </c>
      <c r="M95" s="1" t="s">
        <v>77</v>
      </c>
      <c r="N95" s="1" t="s">
        <v>79</v>
      </c>
      <c r="O95" s="1" t="s">
        <v>81</v>
      </c>
      <c r="P95" s="1" t="s">
        <v>82</v>
      </c>
      <c r="Q95" s="1" t="s">
        <v>84</v>
      </c>
      <c r="R95" s="1" t="s">
        <v>85</v>
      </c>
      <c r="S95" s="1" t="s">
        <v>86</v>
      </c>
      <c r="T95" s="1" t="s">
        <v>87</v>
      </c>
      <c r="U95" s="1" t="s">
        <v>88</v>
      </c>
      <c r="V95" s="1" t="s">
        <v>89</v>
      </c>
      <c r="W95" s="1" t="s">
        <v>90</v>
      </c>
      <c r="X95" s="1" t="s">
        <v>91</v>
      </c>
      <c r="Y95" s="1" t="s">
        <v>124</v>
      </c>
      <c r="Z95" s="1" t="s">
        <v>93</v>
      </c>
      <c r="AA95" s="1" t="s">
        <v>94</v>
      </c>
      <c r="AB95" s="1" t="s">
        <v>95</v>
      </c>
      <c r="AC95" s="1" t="s">
        <v>44</v>
      </c>
      <c r="AD95" s="1" t="s">
        <v>96</v>
      </c>
      <c r="AE95" s="1" t="s">
        <v>97</v>
      </c>
      <c r="AG95" s="19" t="s">
        <v>73</v>
      </c>
      <c r="AH95" s="19" t="s">
        <v>125</v>
      </c>
      <c r="AI95" s="19" t="s">
        <v>82</v>
      </c>
      <c r="AJ95" s="19" t="s">
        <v>77</v>
      </c>
      <c r="AK95" s="19" t="s">
        <v>126</v>
      </c>
    </row>
    <row r="96" spans="1:37">
      <c r="A96" t="s">
        <v>60</v>
      </c>
      <c r="B96" s="12">
        <v>10830.390874328761</v>
      </c>
      <c r="E96">
        <v>0</v>
      </c>
      <c r="F96" s="13">
        <f>$B$96</f>
        <v>10830.390874328761</v>
      </c>
      <c r="G96" s="13">
        <f>F96*$B$14</f>
        <v>1083.0390874328762</v>
      </c>
      <c r="H96" s="13">
        <f>$B$16</f>
        <v>269.70000000000005</v>
      </c>
      <c r="I96" s="13">
        <f>B97</f>
        <v>100000</v>
      </c>
      <c r="J96" s="13">
        <f>AK96</f>
        <v>0</v>
      </c>
      <c r="K96" s="5">
        <f>AJ96</f>
        <v>37.930999999999997</v>
      </c>
      <c r="L96" s="21">
        <f>I96*J96/1000</f>
        <v>0</v>
      </c>
      <c r="M96">
        <f>I96*K96/1000</f>
        <v>3793.0999999999995</v>
      </c>
      <c r="O96">
        <v>1</v>
      </c>
      <c r="Q96">
        <f t="shared" ref="Q96:Q116" si="60">O96-SUM(P96:P96)</f>
        <v>1</v>
      </c>
      <c r="T96">
        <f>M96*Q96</f>
        <v>3793.0999999999995</v>
      </c>
      <c r="U96" s="22">
        <f t="shared" ref="U96:U127" si="61">$B$11*I96*Q96</f>
        <v>1000</v>
      </c>
      <c r="V96" s="1">
        <f>$O96*F96</f>
        <v>10830.390874328761</v>
      </c>
      <c r="W96" s="1">
        <f>-$O96*G96</f>
        <v>-1083.0390874328762</v>
      </c>
      <c r="X96" s="1">
        <f>-$O96*H96</f>
        <v>-269.70000000000005</v>
      </c>
      <c r="Y96" s="1"/>
      <c r="Z96" s="1">
        <f>SUM(V96:Y96)</f>
        <v>9477.6517868958836</v>
      </c>
      <c r="AA96" s="1">
        <f>R96-T96</f>
        <v>-3793.0999999999995</v>
      </c>
      <c r="AB96" s="1"/>
      <c r="AC96" s="1">
        <f>SUM(Z96:AB96)</f>
        <v>5684.5517868958841</v>
      </c>
      <c r="AD96" s="1">
        <f>S96-U96</f>
        <v>-1000</v>
      </c>
      <c r="AE96">
        <f>SUM(AC96:AD96)</f>
        <v>4684.5517868958841</v>
      </c>
      <c r="AG96" s="19">
        <v>0</v>
      </c>
      <c r="AH96" s="19">
        <f>AH9</f>
        <v>1</v>
      </c>
      <c r="AI96" s="19" t="str">
        <f t="shared" ref="AI96:AK96" si="62">AI9</f>
        <v xml:space="preserve">               -  </v>
      </c>
      <c r="AJ96" s="19">
        <f t="shared" si="62"/>
        <v>37.930999999999997</v>
      </c>
      <c r="AK96" s="19">
        <f t="shared" si="62"/>
        <v>0</v>
      </c>
    </row>
    <row r="97" spans="1:37">
      <c r="A97" t="s">
        <v>98</v>
      </c>
      <c r="B97" s="12">
        <v>100000</v>
      </c>
      <c r="E97">
        <v>1</v>
      </c>
      <c r="I97" s="13">
        <f>I96</f>
        <v>100000</v>
      </c>
      <c r="J97" s="13">
        <f t="shared" ref="J97:J160" si="63">AK97</f>
        <v>0</v>
      </c>
      <c r="K97" s="5">
        <f t="shared" ref="K97:K160" si="64">AJ97</f>
        <v>49.417000000000002</v>
      </c>
      <c r="L97" s="21">
        <f t="shared" ref="L97:L160" si="65">I97*J97/1000</f>
        <v>0</v>
      </c>
      <c r="M97">
        <f t="shared" ref="M97:M160" si="66">I97*K97/1000</f>
        <v>4941.7</v>
      </c>
      <c r="N97">
        <f>N10</f>
        <v>1.6188954599999999E-3</v>
      </c>
      <c r="O97">
        <f>Q96</f>
        <v>1</v>
      </c>
      <c r="P97">
        <f t="shared" ref="P97:P116" si="67">N97*O97/1000</f>
        <v>1.6188954599999999E-6</v>
      </c>
      <c r="Q97">
        <f t="shared" si="60"/>
        <v>0.99999838110453998</v>
      </c>
      <c r="R97">
        <f>T96</f>
        <v>3793.0999999999995</v>
      </c>
      <c r="S97">
        <f>U96</f>
        <v>1000</v>
      </c>
      <c r="T97">
        <f t="shared" ref="T97:T160" si="68">M97*Q97</f>
        <v>4941.6919999043048</v>
      </c>
      <c r="U97" s="22">
        <f t="shared" si="61"/>
        <v>999.99838110453993</v>
      </c>
      <c r="V97" s="1">
        <f t="shared" ref="V97:V160" si="69">$O97*F97</f>
        <v>0</v>
      </c>
      <c r="W97" s="1">
        <f t="shared" ref="W97:W160" si="70">-$O97*G97</f>
        <v>0</v>
      </c>
      <c r="X97" s="1">
        <f t="shared" ref="X97:X160" si="71">-$O97*H97</f>
        <v>0</v>
      </c>
      <c r="Y97" s="1">
        <f>-P97*I97</f>
        <v>-0.161889546</v>
      </c>
      <c r="Z97" s="1">
        <f t="shared" ref="Z97:Z160" si="72">SUM(V97:Y97)</f>
        <v>-0.161889546</v>
      </c>
      <c r="AA97" s="1">
        <f t="shared" ref="AA97:AA160" si="73">R97-T97</f>
        <v>-1148.5919999043053</v>
      </c>
      <c r="AB97" s="1">
        <f t="shared" ref="AB97:AB128" si="74">$B$12*SUM(R97:S97,V97:W97)</f>
        <v>263.62049999999999</v>
      </c>
      <c r="AC97" s="1">
        <f t="shared" ref="AC97:AC160" si="75">SUM(Z97:AB97)</f>
        <v>-885.13338945030546</v>
      </c>
      <c r="AD97" s="1">
        <f t="shared" ref="AD97:AD160" si="76">S97-U97</f>
        <v>1.6188954600693251E-3</v>
      </c>
      <c r="AE97">
        <f t="shared" ref="AE97:AE160" si="77">SUM(AC97:AD97)</f>
        <v>-885.13177055484539</v>
      </c>
      <c r="AG97" s="19">
        <v>1</v>
      </c>
      <c r="AH97" s="19">
        <f t="shared" ref="AH97:AK97" si="78">AH10</f>
        <v>1</v>
      </c>
      <c r="AI97" s="19">
        <f t="shared" si="78"/>
        <v>1.6188954599999999E-3</v>
      </c>
      <c r="AJ97" s="19">
        <f t="shared" si="78"/>
        <v>49.417000000000002</v>
      </c>
      <c r="AK97" s="19">
        <f t="shared" si="78"/>
        <v>0</v>
      </c>
    </row>
    <row r="98" spans="1:37">
      <c r="E98">
        <v>2</v>
      </c>
      <c r="F98" s="13"/>
      <c r="G98" s="13">
        <f t="shared" ref="G98:G129" si="79">F98*$B$15</f>
        <v>0</v>
      </c>
      <c r="H98" s="13">
        <f t="shared" ref="H98:H129" si="80">$B$17</f>
        <v>196.20000000000002</v>
      </c>
      <c r="I98" s="13">
        <f t="shared" ref="I98:I161" si="81">I97</f>
        <v>100000</v>
      </c>
      <c r="J98" s="13">
        <f t="shared" si="63"/>
        <v>0</v>
      </c>
      <c r="K98" s="5">
        <f t="shared" si="64"/>
        <v>61.253</v>
      </c>
      <c r="L98" s="21">
        <f t="shared" si="65"/>
        <v>0</v>
      </c>
      <c r="M98">
        <f t="shared" si="66"/>
        <v>6125.3</v>
      </c>
      <c r="N98">
        <f t="shared" ref="N98:N161" si="82">N11</f>
        <v>1.7557649200000002E-3</v>
      </c>
      <c r="O98">
        <f t="shared" ref="O98:O161" si="83">Q97</f>
        <v>0.99999838110453998</v>
      </c>
      <c r="P98">
        <f t="shared" si="67"/>
        <v>1.7557620776001423E-6</v>
      </c>
      <c r="Q98">
        <f t="shared" si="60"/>
        <v>0.99999662534246236</v>
      </c>
      <c r="R98">
        <f t="shared" ref="R98:R161" si="84">T97</f>
        <v>4941.6919999043048</v>
      </c>
      <c r="S98">
        <f t="shared" ref="S98:S161" si="85">U97</f>
        <v>999.99838110453993</v>
      </c>
      <c r="T98">
        <f t="shared" si="68"/>
        <v>6125.2793292101851</v>
      </c>
      <c r="U98" s="22">
        <f t="shared" si="61"/>
        <v>999.99662534246238</v>
      </c>
      <c r="V98" s="1">
        <f t="shared" si="69"/>
        <v>0</v>
      </c>
      <c r="W98" s="1">
        <f t="shared" si="70"/>
        <v>0</v>
      </c>
      <c r="X98" s="1">
        <f t="shared" si="71"/>
        <v>-196.19968237271075</v>
      </c>
      <c r="Y98" s="1">
        <f t="shared" ref="Y98:Y161" si="86">-P98*I98</f>
        <v>-0.17557620776001423</v>
      </c>
      <c r="Z98" s="1">
        <f t="shared" si="72"/>
        <v>-196.37525858047076</v>
      </c>
      <c r="AA98" s="1">
        <f t="shared" si="73"/>
        <v>-1183.5873293058803</v>
      </c>
      <c r="AB98" s="1">
        <f t="shared" si="74"/>
        <v>326.79297095548645</v>
      </c>
      <c r="AC98" s="1">
        <f t="shared" si="75"/>
        <v>-1053.1696169308645</v>
      </c>
      <c r="AD98" s="1">
        <f t="shared" si="76"/>
        <v>1.7557620775505711E-3</v>
      </c>
      <c r="AE98">
        <f t="shared" si="77"/>
        <v>-1053.1678611687871</v>
      </c>
      <c r="AG98" s="19">
        <v>2</v>
      </c>
      <c r="AH98" s="19">
        <f t="shared" ref="AH98:AK98" si="87">AH11</f>
        <v>0.99838110453999995</v>
      </c>
      <c r="AI98" s="19">
        <f t="shared" si="87"/>
        <v>1.7529225201421848E-3</v>
      </c>
      <c r="AJ98" s="19">
        <f t="shared" si="87"/>
        <v>61.253</v>
      </c>
      <c r="AK98" s="19">
        <f t="shared" si="87"/>
        <v>0</v>
      </c>
    </row>
    <row r="99" spans="1:37">
      <c r="E99">
        <v>3</v>
      </c>
      <c r="F99" s="13"/>
      <c r="G99" s="13">
        <f t="shared" si="79"/>
        <v>0</v>
      </c>
      <c r="H99" s="13">
        <f t="shared" si="80"/>
        <v>196.20000000000002</v>
      </c>
      <c r="I99" s="13">
        <f t="shared" si="81"/>
        <v>100000</v>
      </c>
      <c r="J99" s="13">
        <f t="shared" si="63"/>
        <v>8.91</v>
      </c>
      <c r="K99" s="5">
        <f t="shared" si="64"/>
        <v>73.433999999999997</v>
      </c>
      <c r="L99" s="21">
        <f t="shared" si="65"/>
        <v>891</v>
      </c>
      <c r="M99">
        <f t="shared" si="66"/>
        <v>7343.4</v>
      </c>
      <c r="N99">
        <f t="shared" si="82"/>
        <v>1.9170442199999999E-3</v>
      </c>
      <c r="O99">
        <f t="shared" si="83"/>
        <v>0.99999662534246236</v>
      </c>
      <c r="P99">
        <f t="shared" si="67"/>
        <v>1.9170377506322728E-6</v>
      </c>
      <c r="Q99">
        <f t="shared" si="60"/>
        <v>0.99999470830471171</v>
      </c>
      <c r="R99">
        <f t="shared" si="84"/>
        <v>6125.2793292101851</v>
      </c>
      <c r="S99">
        <f t="shared" si="85"/>
        <v>999.99662534246238</v>
      </c>
      <c r="T99">
        <f t="shared" si="68"/>
        <v>7343.3611409648192</v>
      </c>
      <c r="U99" s="22">
        <f t="shared" si="61"/>
        <v>999.99470830471171</v>
      </c>
      <c r="V99" s="1">
        <f t="shared" si="69"/>
        <v>0</v>
      </c>
      <c r="W99" s="1">
        <f t="shared" si="70"/>
        <v>0</v>
      </c>
      <c r="X99" s="1">
        <f t="shared" si="71"/>
        <v>-196.19933789219112</v>
      </c>
      <c r="Y99" s="1">
        <f t="shared" si="86"/>
        <v>-0.19170377506322728</v>
      </c>
      <c r="Z99" s="1">
        <f t="shared" si="72"/>
        <v>-196.39104166725434</v>
      </c>
      <c r="AA99" s="1">
        <f t="shared" si="73"/>
        <v>-1218.0818117546341</v>
      </c>
      <c r="AB99" s="1">
        <f t="shared" si="74"/>
        <v>391.89017750039562</v>
      </c>
      <c r="AC99" s="1">
        <f t="shared" si="75"/>
        <v>-1022.5826759214929</v>
      </c>
      <c r="AD99" s="1">
        <f t="shared" si="76"/>
        <v>1.9170377506725345E-3</v>
      </c>
      <c r="AE99">
        <f t="shared" si="77"/>
        <v>-1022.5807588837422</v>
      </c>
      <c r="AG99" s="19">
        <v>3</v>
      </c>
      <c r="AH99" s="19">
        <f t="shared" ref="AH99:AK99" si="88">AH12</f>
        <v>0.99662818201985781</v>
      </c>
      <c r="AI99" s="19">
        <f t="shared" si="88"/>
        <v>1.9105802958302763E-3</v>
      </c>
      <c r="AJ99" s="19">
        <f t="shared" si="88"/>
        <v>73.433999999999997</v>
      </c>
      <c r="AK99" s="19">
        <f t="shared" si="88"/>
        <v>8.91</v>
      </c>
    </row>
    <row r="100" spans="1:37">
      <c r="E100">
        <v>4</v>
      </c>
      <c r="F100" s="13"/>
      <c r="G100" s="13">
        <f t="shared" si="79"/>
        <v>0</v>
      </c>
      <c r="H100" s="13">
        <f t="shared" si="80"/>
        <v>196.20000000000002</v>
      </c>
      <c r="I100" s="13">
        <f t="shared" si="81"/>
        <v>100000</v>
      </c>
      <c r="J100" s="13">
        <f t="shared" si="63"/>
        <v>18.521000000000001</v>
      </c>
      <c r="K100" s="5">
        <f t="shared" si="64"/>
        <v>85.957999999999998</v>
      </c>
      <c r="L100" s="21">
        <f t="shared" si="65"/>
        <v>1852.1</v>
      </c>
      <c r="M100">
        <f t="shared" si="66"/>
        <v>8595.7999999999993</v>
      </c>
      <c r="N100">
        <f t="shared" si="82"/>
        <v>2.1018615799999999E-3</v>
      </c>
      <c r="O100">
        <f t="shared" si="83"/>
        <v>0.99999470830471171</v>
      </c>
      <c r="P100">
        <f t="shared" si="67"/>
        <v>2.1018504575889805E-6</v>
      </c>
      <c r="Q100">
        <f t="shared" si="60"/>
        <v>0.99999260645425414</v>
      </c>
      <c r="R100">
        <f t="shared" si="84"/>
        <v>7343.3611409648192</v>
      </c>
      <c r="S100">
        <f t="shared" si="85"/>
        <v>999.99470830471171</v>
      </c>
      <c r="T100">
        <f t="shared" si="68"/>
        <v>8595.7364465594765</v>
      </c>
      <c r="U100" s="22">
        <f t="shared" si="61"/>
        <v>999.99260645425409</v>
      </c>
      <c r="V100" s="1">
        <f t="shared" si="69"/>
        <v>0</v>
      </c>
      <c r="W100" s="1">
        <f t="shared" si="70"/>
        <v>0</v>
      </c>
      <c r="X100" s="1">
        <f t="shared" si="71"/>
        <v>-196.19896176938445</v>
      </c>
      <c r="Y100" s="1">
        <f t="shared" si="86"/>
        <v>-0.21018504575889804</v>
      </c>
      <c r="Z100" s="1">
        <f t="shared" si="72"/>
        <v>-196.40914681514334</v>
      </c>
      <c r="AA100" s="1">
        <f t="shared" si="73"/>
        <v>-1252.3753055946572</v>
      </c>
      <c r="AB100" s="1">
        <f t="shared" si="74"/>
        <v>458.88457170982417</v>
      </c>
      <c r="AC100" s="1">
        <f t="shared" si="75"/>
        <v>-989.89988069997628</v>
      </c>
      <c r="AD100" s="1">
        <f t="shared" si="76"/>
        <v>2.1018504576204577E-3</v>
      </c>
      <c r="AE100">
        <f t="shared" si="77"/>
        <v>-989.89777884951866</v>
      </c>
      <c r="AG100" s="19">
        <v>4</v>
      </c>
      <c r="AH100" s="19">
        <f t="shared" ref="AH100:AK100" si="89">AH13</f>
        <v>0.99471760172402757</v>
      </c>
      <c r="AI100" s="19">
        <f t="shared" si="89"/>
        <v>2.0907587100134749E-3</v>
      </c>
      <c r="AJ100" s="19">
        <f t="shared" si="89"/>
        <v>85.957999999999998</v>
      </c>
      <c r="AK100" s="19">
        <f t="shared" si="89"/>
        <v>18.521000000000001</v>
      </c>
    </row>
    <row r="101" spans="1:37">
      <c r="E101">
        <v>5</v>
      </c>
      <c r="F101" s="13"/>
      <c r="G101" s="13">
        <f t="shared" si="79"/>
        <v>0</v>
      </c>
      <c r="H101" s="13">
        <f t="shared" si="80"/>
        <v>196.20000000000002</v>
      </c>
      <c r="I101" s="13">
        <f t="shared" si="81"/>
        <v>100000</v>
      </c>
      <c r="J101" s="13">
        <f t="shared" si="63"/>
        <v>28.541</v>
      </c>
      <c r="K101" s="5">
        <f t="shared" si="64"/>
        <v>98.834000000000003</v>
      </c>
      <c r="L101" s="21">
        <f t="shared" si="65"/>
        <v>2854.1</v>
      </c>
      <c r="M101">
        <f t="shared" si="66"/>
        <v>9883.4</v>
      </c>
      <c r="N101">
        <f t="shared" si="82"/>
        <v>2.2971403000000001E-3</v>
      </c>
      <c r="O101">
        <f t="shared" si="83"/>
        <v>0.99999260645425414</v>
      </c>
      <c r="P101">
        <f t="shared" si="67"/>
        <v>2.2971233159881075E-6</v>
      </c>
      <c r="Q101">
        <f t="shared" si="60"/>
        <v>0.99999030933093813</v>
      </c>
      <c r="R101">
        <f t="shared" si="84"/>
        <v>8595.7364465594765</v>
      </c>
      <c r="S101">
        <f t="shared" si="85"/>
        <v>999.99260645425409</v>
      </c>
      <c r="T101">
        <f t="shared" si="68"/>
        <v>9883.3042232413936</v>
      </c>
      <c r="U101" s="22">
        <f t="shared" si="61"/>
        <v>999.99030933093809</v>
      </c>
      <c r="V101" s="1">
        <f t="shared" si="69"/>
        <v>0</v>
      </c>
      <c r="W101" s="1">
        <f t="shared" si="70"/>
        <v>0</v>
      </c>
      <c r="X101" s="1">
        <f t="shared" si="71"/>
        <v>-196.19854938632469</v>
      </c>
      <c r="Y101" s="1">
        <f t="shared" si="86"/>
        <v>-0.22971233159881074</v>
      </c>
      <c r="Z101" s="1">
        <f t="shared" si="72"/>
        <v>-196.4282617179235</v>
      </c>
      <c r="AA101" s="1">
        <f t="shared" si="73"/>
        <v>-1287.5677766819172</v>
      </c>
      <c r="AB101" s="1">
        <f t="shared" si="74"/>
        <v>527.76509791575518</v>
      </c>
      <c r="AC101" s="1">
        <f t="shared" si="75"/>
        <v>-956.23094048408552</v>
      </c>
      <c r="AD101" s="1">
        <f t="shared" si="76"/>
        <v>2.297123315997851E-3</v>
      </c>
      <c r="AE101">
        <f t="shared" si="77"/>
        <v>-956.22864336076952</v>
      </c>
      <c r="AG101" s="19">
        <v>5</v>
      </c>
      <c r="AH101" s="19">
        <f t="shared" ref="AH101:AK101" si="90">AH14</f>
        <v>0.99262684301401405</v>
      </c>
      <c r="AI101" s="19">
        <f t="shared" si="90"/>
        <v>2.2802031239492651E-3</v>
      </c>
      <c r="AJ101" s="19">
        <f t="shared" si="90"/>
        <v>98.834000000000003</v>
      </c>
      <c r="AK101" s="19">
        <f t="shared" si="90"/>
        <v>28.541</v>
      </c>
    </row>
    <row r="102" spans="1:37">
      <c r="E102">
        <v>6</v>
      </c>
      <c r="F102" s="13"/>
      <c r="G102" s="13">
        <f t="shared" si="79"/>
        <v>0</v>
      </c>
      <c r="H102" s="13">
        <f t="shared" si="80"/>
        <v>196.20000000000002</v>
      </c>
      <c r="I102" s="13">
        <f t="shared" si="81"/>
        <v>100000</v>
      </c>
      <c r="J102" s="13">
        <f t="shared" si="63"/>
        <v>38.979999999999997</v>
      </c>
      <c r="K102" s="5">
        <f t="shared" si="64"/>
        <v>112.065</v>
      </c>
      <c r="L102" s="21">
        <f t="shared" si="65"/>
        <v>3897.9999999999995</v>
      </c>
      <c r="M102">
        <f t="shared" si="66"/>
        <v>11206.5</v>
      </c>
      <c r="N102">
        <f t="shared" si="82"/>
        <v>2.51159818E-3</v>
      </c>
      <c r="O102">
        <f t="shared" si="83"/>
        <v>0.99999030933093813</v>
      </c>
      <c r="P102">
        <f t="shared" si="67"/>
        <v>2.5115738409332209E-6</v>
      </c>
      <c r="Q102">
        <f t="shared" si="60"/>
        <v>0.99998779775709723</v>
      </c>
      <c r="R102">
        <f t="shared" si="84"/>
        <v>9883.3042232413936</v>
      </c>
      <c r="S102">
        <f t="shared" si="85"/>
        <v>999.99030933093809</v>
      </c>
      <c r="T102">
        <f t="shared" si="68"/>
        <v>11206.363255564911</v>
      </c>
      <c r="U102" s="22">
        <f t="shared" si="61"/>
        <v>999.98779775709727</v>
      </c>
      <c r="V102" s="1">
        <f t="shared" si="69"/>
        <v>0</v>
      </c>
      <c r="W102" s="1">
        <f t="shared" si="70"/>
        <v>0</v>
      </c>
      <c r="X102" s="1">
        <f t="shared" si="71"/>
        <v>-196.19809869073009</v>
      </c>
      <c r="Y102" s="1">
        <f t="shared" si="86"/>
        <v>-0.25115738409332211</v>
      </c>
      <c r="Z102" s="1">
        <f t="shared" si="72"/>
        <v>-196.44925607482341</v>
      </c>
      <c r="AA102" s="1">
        <f t="shared" si="73"/>
        <v>-1323.0590323235174</v>
      </c>
      <c r="AB102" s="1">
        <f t="shared" si="74"/>
        <v>598.58119929147824</v>
      </c>
      <c r="AC102" s="1">
        <f t="shared" si="75"/>
        <v>-920.92708910686247</v>
      </c>
      <c r="AD102" s="1">
        <f t="shared" si="76"/>
        <v>2.511573840820347E-3</v>
      </c>
      <c r="AE102">
        <f t="shared" si="77"/>
        <v>-920.92457753302165</v>
      </c>
      <c r="AG102" s="19">
        <v>6</v>
      </c>
      <c r="AH102" s="19">
        <f t="shared" ref="AH102:AK102" si="91">AH15</f>
        <v>0.99034663989006477</v>
      </c>
      <c r="AI102" s="19">
        <f t="shared" si="91"/>
        <v>2.4873528183170022E-3</v>
      </c>
      <c r="AJ102" s="19">
        <f t="shared" si="91"/>
        <v>112.065</v>
      </c>
      <c r="AK102" s="19">
        <f t="shared" si="91"/>
        <v>38.979999999999997</v>
      </c>
    </row>
    <row r="103" spans="1:37">
      <c r="E103">
        <v>7</v>
      </c>
      <c r="F103" s="13"/>
      <c r="G103" s="13">
        <f t="shared" si="79"/>
        <v>0</v>
      </c>
      <c r="H103" s="13">
        <f t="shared" si="80"/>
        <v>196.20000000000002</v>
      </c>
      <c r="I103" s="13">
        <f t="shared" si="81"/>
        <v>100000</v>
      </c>
      <c r="J103" s="13">
        <f t="shared" si="63"/>
        <v>49.853000000000002</v>
      </c>
      <c r="K103" s="5">
        <f t="shared" si="64"/>
        <v>125.658</v>
      </c>
      <c r="L103" s="21">
        <f t="shared" si="65"/>
        <v>4985.3</v>
      </c>
      <c r="M103">
        <f t="shared" si="66"/>
        <v>12565.8</v>
      </c>
      <c r="N103">
        <f t="shared" si="82"/>
        <v>2.7417480999999996E-3</v>
      </c>
      <c r="O103">
        <f t="shared" si="83"/>
        <v>0.99998779775709723</v>
      </c>
      <c r="P103">
        <f t="shared" si="67"/>
        <v>2.7417146445237053E-6</v>
      </c>
      <c r="Q103">
        <f t="shared" si="60"/>
        <v>0.99998505604245269</v>
      </c>
      <c r="R103">
        <f t="shared" si="84"/>
        <v>11206.363255564911</v>
      </c>
      <c r="S103">
        <f t="shared" si="85"/>
        <v>999.98779775709727</v>
      </c>
      <c r="T103">
        <f t="shared" si="68"/>
        <v>12565.612217218251</v>
      </c>
      <c r="U103" s="22">
        <f t="shared" si="61"/>
        <v>999.9850560424527</v>
      </c>
      <c r="V103" s="1">
        <f t="shared" si="69"/>
        <v>0</v>
      </c>
      <c r="W103" s="1">
        <f t="shared" si="70"/>
        <v>0</v>
      </c>
      <c r="X103" s="1">
        <f t="shared" si="71"/>
        <v>-196.1976059199425</v>
      </c>
      <c r="Y103" s="1">
        <f t="shared" si="86"/>
        <v>-0.27417146445237056</v>
      </c>
      <c r="Z103" s="1">
        <f t="shared" si="72"/>
        <v>-196.47177738439487</v>
      </c>
      <c r="AA103" s="1">
        <f t="shared" si="73"/>
        <v>-1359.2489616533403</v>
      </c>
      <c r="AB103" s="1">
        <f t="shared" si="74"/>
        <v>671.34930793271053</v>
      </c>
      <c r="AC103" s="1">
        <f t="shared" si="75"/>
        <v>-884.37143110502473</v>
      </c>
      <c r="AD103" s="1">
        <f t="shared" si="76"/>
        <v>2.7417146445714025E-3</v>
      </c>
      <c r="AE103">
        <f t="shared" si="77"/>
        <v>-884.36868939038015</v>
      </c>
      <c r="AG103" s="19">
        <v>7</v>
      </c>
      <c r="AH103" s="19">
        <f t="shared" ref="AH103:AK103" si="92">AH16</f>
        <v>0.98785928707174775</v>
      </c>
      <c r="AI103" s="19">
        <f t="shared" si="92"/>
        <v>2.7084613233963185E-3</v>
      </c>
      <c r="AJ103" s="19">
        <f t="shared" si="92"/>
        <v>125.658</v>
      </c>
      <c r="AK103" s="19">
        <f t="shared" si="92"/>
        <v>49.853000000000002</v>
      </c>
    </row>
    <row r="104" spans="1:37">
      <c r="E104">
        <v>8</v>
      </c>
      <c r="F104" s="13"/>
      <c r="G104" s="13">
        <f t="shared" si="79"/>
        <v>0</v>
      </c>
      <c r="H104" s="13">
        <f t="shared" si="80"/>
        <v>196.20000000000002</v>
      </c>
      <c r="I104" s="13">
        <f t="shared" si="81"/>
        <v>100000</v>
      </c>
      <c r="J104" s="13">
        <f t="shared" si="63"/>
        <v>61.161999999999999</v>
      </c>
      <c r="K104" s="5">
        <f t="shared" si="64"/>
        <v>139.60400000000001</v>
      </c>
      <c r="L104" s="21">
        <f t="shared" si="65"/>
        <v>6116.2</v>
      </c>
      <c r="M104">
        <f t="shared" si="66"/>
        <v>13960.400000000001</v>
      </c>
      <c r="N104">
        <f t="shared" si="82"/>
        <v>3.0067692199999998E-3</v>
      </c>
      <c r="O104">
        <f t="shared" si="83"/>
        <v>0.99998505604245269</v>
      </c>
      <c r="P104">
        <f t="shared" si="67"/>
        <v>3.0067242869684218E-6</v>
      </c>
      <c r="Q104">
        <f t="shared" si="60"/>
        <v>0.9999820493181657</v>
      </c>
      <c r="R104">
        <f t="shared" si="84"/>
        <v>12565.612217218251</v>
      </c>
      <c r="S104">
        <f t="shared" si="85"/>
        <v>999.9850560424527</v>
      </c>
      <c r="T104">
        <f t="shared" si="68"/>
        <v>13960.149401301322</v>
      </c>
      <c r="U104" s="22">
        <f t="shared" si="61"/>
        <v>999.98204931816565</v>
      </c>
      <c r="V104" s="1">
        <f t="shared" si="69"/>
        <v>0</v>
      </c>
      <c r="W104" s="1">
        <f t="shared" si="70"/>
        <v>0</v>
      </c>
      <c r="X104" s="1">
        <f t="shared" si="71"/>
        <v>-196.19706799552924</v>
      </c>
      <c r="Y104" s="1">
        <f t="shared" si="86"/>
        <v>-0.30067242869684219</v>
      </c>
      <c r="Z104" s="1">
        <f t="shared" si="72"/>
        <v>-196.49774042422609</v>
      </c>
      <c r="AA104" s="1">
        <f t="shared" si="73"/>
        <v>-1394.5371840830703</v>
      </c>
      <c r="AB104" s="1">
        <f t="shared" si="74"/>
        <v>746.10785002933869</v>
      </c>
      <c r="AC104" s="1">
        <f t="shared" si="75"/>
        <v>-844.92707447795772</v>
      </c>
      <c r="AD104" s="1">
        <f t="shared" si="76"/>
        <v>3.006724287047291E-3</v>
      </c>
      <c r="AE104">
        <f t="shared" si="77"/>
        <v>-844.92406775367067</v>
      </c>
      <c r="AG104" s="19">
        <v>8</v>
      </c>
      <c r="AH104" s="19">
        <f t="shared" ref="AH104:AK104" si="93">AH17</f>
        <v>0.98515082574835144</v>
      </c>
      <c r="AI104" s="19">
        <f t="shared" si="93"/>
        <v>2.9621211799177264E-3</v>
      </c>
      <c r="AJ104" s="19">
        <f t="shared" si="93"/>
        <v>139.60400000000001</v>
      </c>
      <c r="AK104" s="19">
        <f t="shared" si="93"/>
        <v>61.161999999999999</v>
      </c>
    </row>
    <row r="105" spans="1:37">
      <c r="E105">
        <v>9</v>
      </c>
      <c r="F105" s="13"/>
      <c r="G105" s="13">
        <f t="shared" si="79"/>
        <v>0</v>
      </c>
      <c r="H105" s="13">
        <f t="shared" si="80"/>
        <v>196.20000000000002</v>
      </c>
      <c r="I105" s="13">
        <f t="shared" si="81"/>
        <v>100000</v>
      </c>
      <c r="J105" s="13">
        <f t="shared" si="63"/>
        <v>72.903999999999996</v>
      </c>
      <c r="K105" s="5">
        <f t="shared" si="64"/>
        <v>153.89699999999999</v>
      </c>
      <c r="L105" s="21">
        <f t="shared" si="65"/>
        <v>7290.4</v>
      </c>
      <c r="M105">
        <f t="shared" si="66"/>
        <v>15389.7</v>
      </c>
      <c r="N105">
        <f t="shared" si="82"/>
        <v>3.3084051E-3</v>
      </c>
      <c r="O105">
        <f t="shared" si="83"/>
        <v>0.9999820493181657</v>
      </c>
      <c r="P105">
        <f t="shared" si="67"/>
        <v>3.308345711872671E-6</v>
      </c>
      <c r="Q105">
        <f t="shared" si="60"/>
        <v>0.99997874097245387</v>
      </c>
      <c r="R105">
        <f t="shared" si="84"/>
        <v>13960.149401301322</v>
      </c>
      <c r="S105">
        <f t="shared" si="85"/>
        <v>999.98204931816565</v>
      </c>
      <c r="T105">
        <f t="shared" si="68"/>
        <v>15389.372829943773</v>
      </c>
      <c r="U105" s="22">
        <f t="shared" si="61"/>
        <v>999.97874097245392</v>
      </c>
      <c r="V105" s="1">
        <f t="shared" si="69"/>
        <v>0</v>
      </c>
      <c r="W105" s="1">
        <f t="shared" si="70"/>
        <v>0</v>
      </c>
      <c r="X105" s="1">
        <f t="shared" si="71"/>
        <v>-196.19647807622414</v>
      </c>
      <c r="Y105" s="1">
        <f t="shared" si="86"/>
        <v>-0.33083457118726711</v>
      </c>
      <c r="Z105" s="1">
        <f t="shared" si="72"/>
        <v>-196.52731264741141</v>
      </c>
      <c r="AA105" s="1">
        <f t="shared" si="73"/>
        <v>-1429.2234286424518</v>
      </c>
      <c r="AB105" s="1">
        <f t="shared" si="74"/>
        <v>822.80722978407175</v>
      </c>
      <c r="AC105" s="1">
        <f t="shared" si="75"/>
        <v>-802.94351150579155</v>
      </c>
      <c r="AD105" s="1">
        <f t="shared" si="76"/>
        <v>3.3083457117299986E-3</v>
      </c>
      <c r="AE105">
        <f t="shared" si="77"/>
        <v>-802.94020316007982</v>
      </c>
      <c r="AG105" s="19">
        <v>9</v>
      </c>
      <c r="AH105" s="19">
        <f t="shared" ref="AH105:AK105" si="94">AH18</f>
        <v>0.98218870456843377</v>
      </c>
      <c r="AI105" s="19">
        <f t="shared" si="94"/>
        <v>3.2494781193565993E-3</v>
      </c>
      <c r="AJ105" s="19">
        <f t="shared" si="94"/>
        <v>153.89699999999999</v>
      </c>
      <c r="AK105" s="19">
        <f t="shared" si="94"/>
        <v>72.903999999999996</v>
      </c>
    </row>
    <row r="106" spans="1:37">
      <c r="E106">
        <v>10</v>
      </c>
      <c r="F106" s="13"/>
      <c r="G106" s="13">
        <f t="shared" si="79"/>
        <v>0</v>
      </c>
      <c r="H106" s="13">
        <f t="shared" si="80"/>
        <v>196.20000000000002</v>
      </c>
      <c r="I106" s="13">
        <f t="shared" si="81"/>
        <v>100000</v>
      </c>
      <c r="J106" s="13">
        <f t="shared" si="63"/>
        <v>85.085999999999999</v>
      </c>
      <c r="K106" s="5">
        <f t="shared" si="64"/>
        <v>168.53200000000001</v>
      </c>
      <c r="L106" s="21">
        <f t="shared" si="65"/>
        <v>8508.6</v>
      </c>
      <c r="M106">
        <f t="shared" si="66"/>
        <v>16853.2</v>
      </c>
      <c r="N106">
        <f t="shared" si="82"/>
        <v>3.6422968400000003E-3</v>
      </c>
      <c r="O106">
        <f t="shared" si="83"/>
        <v>0.99997874097245387</v>
      </c>
      <c r="P106">
        <f t="shared" si="67"/>
        <v>3.6422194083111475E-6</v>
      </c>
      <c r="Q106">
        <f t="shared" si="60"/>
        <v>0.99997509875304558</v>
      </c>
      <c r="R106">
        <f t="shared" si="84"/>
        <v>15389.372829943773</v>
      </c>
      <c r="S106">
        <f t="shared" si="85"/>
        <v>999.97874097245392</v>
      </c>
      <c r="T106">
        <f t="shared" si="68"/>
        <v>16852.780334304829</v>
      </c>
      <c r="U106" s="22">
        <f t="shared" si="61"/>
        <v>999.97509875304559</v>
      </c>
      <c r="V106" s="1">
        <f t="shared" si="69"/>
        <v>0</v>
      </c>
      <c r="W106" s="1">
        <f t="shared" si="70"/>
        <v>0</v>
      </c>
      <c r="X106" s="1">
        <f t="shared" si="71"/>
        <v>-196.19582897879548</v>
      </c>
      <c r="Y106" s="1">
        <f t="shared" si="86"/>
        <v>-0.36422194083111475</v>
      </c>
      <c r="Z106" s="1">
        <f t="shared" si="72"/>
        <v>-196.56005091962658</v>
      </c>
      <c r="AA106" s="1">
        <f t="shared" si="73"/>
        <v>-1463.4075043610555</v>
      </c>
      <c r="AB106" s="1">
        <f t="shared" si="74"/>
        <v>901.41433640039247</v>
      </c>
      <c r="AC106" s="1">
        <f t="shared" si="75"/>
        <v>-758.55321888028959</v>
      </c>
      <c r="AD106" s="1">
        <f t="shared" si="76"/>
        <v>3.6422194083343129E-3</v>
      </c>
      <c r="AE106">
        <f t="shared" si="77"/>
        <v>-758.54957666088126</v>
      </c>
      <c r="AG106" s="19">
        <v>10</v>
      </c>
      <c r="AH106" s="19">
        <f t="shared" ref="AH106:AK106" si="95">AH19</f>
        <v>0.97893922644907716</v>
      </c>
      <c r="AI106" s="19">
        <f t="shared" si="95"/>
        <v>3.5655872510475185E-3</v>
      </c>
      <c r="AJ106" s="19">
        <f t="shared" si="95"/>
        <v>168.53200000000001</v>
      </c>
      <c r="AK106" s="19">
        <f t="shared" si="95"/>
        <v>85.085999999999999</v>
      </c>
    </row>
    <row r="107" spans="1:37">
      <c r="E107">
        <v>11</v>
      </c>
      <c r="F107" s="13"/>
      <c r="G107" s="13">
        <f t="shared" si="79"/>
        <v>0</v>
      </c>
      <c r="H107" s="13">
        <f t="shared" si="80"/>
        <v>196.20000000000002</v>
      </c>
      <c r="I107" s="13">
        <f t="shared" si="81"/>
        <v>100000</v>
      </c>
      <c r="J107" s="13">
        <f t="shared" si="63"/>
        <v>97.701999999999998</v>
      </c>
      <c r="K107" s="5">
        <f t="shared" si="64"/>
        <v>183.49700000000001</v>
      </c>
      <c r="L107" s="21">
        <f t="shared" si="65"/>
        <v>9770.2000000000007</v>
      </c>
      <c r="M107">
        <f t="shared" si="66"/>
        <v>18349.7</v>
      </c>
      <c r="N107">
        <f t="shared" si="82"/>
        <v>4.0215211399999996E-3</v>
      </c>
      <c r="O107">
        <f t="shared" si="83"/>
        <v>0.99997509875304558</v>
      </c>
      <c r="P107">
        <f t="shared" si="67"/>
        <v>4.0214209991089604E-6</v>
      </c>
      <c r="Q107">
        <f t="shared" si="60"/>
        <v>0.99997107733204649</v>
      </c>
      <c r="R107">
        <f t="shared" si="84"/>
        <v>16852.780334304829</v>
      </c>
      <c r="S107">
        <f t="shared" si="85"/>
        <v>999.97509875304559</v>
      </c>
      <c r="T107">
        <f t="shared" si="68"/>
        <v>18349.169277719855</v>
      </c>
      <c r="U107" s="22">
        <f t="shared" si="61"/>
        <v>999.97107733204643</v>
      </c>
      <c r="V107" s="1">
        <f t="shared" si="69"/>
        <v>0</v>
      </c>
      <c r="W107" s="1">
        <f t="shared" si="70"/>
        <v>0</v>
      </c>
      <c r="X107" s="1">
        <f t="shared" si="71"/>
        <v>-196.19511437534757</v>
      </c>
      <c r="Y107" s="1">
        <f t="shared" si="86"/>
        <v>-0.40214209991089606</v>
      </c>
      <c r="Z107" s="1">
        <f t="shared" si="72"/>
        <v>-196.59725647525846</v>
      </c>
      <c r="AA107" s="1">
        <f t="shared" si="73"/>
        <v>-1496.388943415026</v>
      </c>
      <c r="AB107" s="1">
        <f t="shared" si="74"/>
        <v>981.90154881818319</v>
      </c>
      <c r="AC107" s="1">
        <f t="shared" si="75"/>
        <v>-711.08465107210134</v>
      </c>
      <c r="AD107" s="1">
        <f t="shared" si="76"/>
        <v>4.0214209991518146E-3</v>
      </c>
      <c r="AE107">
        <f t="shared" si="77"/>
        <v>-711.08062965110219</v>
      </c>
      <c r="AG107" s="19">
        <v>11</v>
      </c>
      <c r="AH107" s="19">
        <f t="shared" ref="AH107:AK107" si="96">AH20</f>
        <v>0.97537363919802966</v>
      </c>
      <c r="AI107" s="19">
        <f t="shared" si="96"/>
        <v>3.9224857094336089E-3</v>
      </c>
      <c r="AJ107" s="19">
        <f t="shared" si="96"/>
        <v>183.49700000000001</v>
      </c>
      <c r="AK107" s="19">
        <f t="shared" si="96"/>
        <v>97.701999999999998</v>
      </c>
    </row>
    <row r="108" spans="1:37">
      <c r="E108">
        <v>12</v>
      </c>
      <c r="F108" s="13"/>
      <c r="G108" s="13">
        <f t="shared" si="79"/>
        <v>0</v>
      </c>
      <c r="H108" s="13">
        <f t="shared" si="80"/>
        <v>196.20000000000002</v>
      </c>
      <c r="I108" s="13">
        <f t="shared" si="81"/>
        <v>100000</v>
      </c>
      <c r="J108" s="13">
        <f t="shared" si="63"/>
        <v>110.746</v>
      </c>
      <c r="K108" s="5">
        <f t="shared" si="64"/>
        <v>198.77799999999999</v>
      </c>
      <c r="L108" s="21">
        <f t="shared" si="65"/>
        <v>11074.6</v>
      </c>
      <c r="M108">
        <f t="shared" si="66"/>
        <v>19877.8</v>
      </c>
      <c r="N108">
        <f t="shared" si="82"/>
        <v>4.4513086800000001E-3</v>
      </c>
      <c r="O108">
        <f t="shared" si="83"/>
        <v>0.99997107733204649</v>
      </c>
      <c r="P108">
        <f t="shared" si="67"/>
        <v>4.4511799362770898E-6</v>
      </c>
      <c r="Q108">
        <f t="shared" si="60"/>
        <v>0.99996662615211018</v>
      </c>
      <c r="R108">
        <f t="shared" si="84"/>
        <v>18349.169277719855</v>
      </c>
      <c r="S108">
        <f t="shared" si="85"/>
        <v>999.97107733204643</v>
      </c>
      <c r="T108">
        <f t="shared" si="68"/>
        <v>19877.136601326416</v>
      </c>
      <c r="U108" s="22">
        <f t="shared" si="61"/>
        <v>999.96662615211017</v>
      </c>
      <c r="V108" s="1">
        <f t="shared" si="69"/>
        <v>0</v>
      </c>
      <c r="W108" s="1">
        <f t="shared" si="70"/>
        <v>0</v>
      </c>
      <c r="X108" s="1">
        <f t="shared" si="71"/>
        <v>-196.19432537254752</v>
      </c>
      <c r="Y108" s="1">
        <f t="shared" si="86"/>
        <v>-0.44511799362770899</v>
      </c>
      <c r="Z108" s="1">
        <f t="shared" si="72"/>
        <v>-196.63944336617524</v>
      </c>
      <c r="AA108" s="1">
        <f t="shared" si="73"/>
        <v>-1527.967323606561</v>
      </c>
      <c r="AB108" s="1">
        <f t="shared" si="74"/>
        <v>1064.2027195278547</v>
      </c>
      <c r="AC108" s="1">
        <f t="shared" si="75"/>
        <v>-660.4040474448816</v>
      </c>
      <c r="AD108" s="1">
        <f t="shared" si="76"/>
        <v>4.4511799362680904E-3</v>
      </c>
      <c r="AE108">
        <f t="shared" si="77"/>
        <v>-660.39959626494533</v>
      </c>
      <c r="AG108" s="19">
        <v>12</v>
      </c>
      <c r="AH108" s="19">
        <f t="shared" ref="AH108:AK108" si="97">AH21</f>
        <v>0.97145115348859601</v>
      </c>
      <c r="AI108" s="19">
        <f t="shared" si="97"/>
        <v>4.3242289517197996E-3</v>
      </c>
      <c r="AJ108" s="19">
        <f t="shared" si="97"/>
        <v>198.77799999999999</v>
      </c>
      <c r="AK108" s="19">
        <f t="shared" si="97"/>
        <v>110.746</v>
      </c>
    </row>
    <row r="109" spans="1:37">
      <c r="E109">
        <v>13</v>
      </c>
      <c r="F109" s="13"/>
      <c r="G109" s="13">
        <f t="shared" si="79"/>
        <v>0</v>
      </c>
      <c r="H109" s="13">
        <f t="shared" si="80"/>
        <v>196.20000000000002</v>
      </c>
      <c r="I109" s="13">
        <f t="shared" si="81"/>
        <v>100000</v>
      </c>
      <c r="J109" s="13">
        <f t="shared" si="63"/>
        <v>124.24</v>
      </c>
      <c r="K109" s="5">
        <f t="shared" si="64"/>
        <v>214.38800000000001</v>
      </c>
      <c r="L109" s="21">
        <f t="shared" si="65"/>
        <v>12424</v>
      </c>
      <c r="M109">
        <f t="shared" si="66"/>
        <v>21438.799999999999</v>
      </c>
      <c r="N109">
        <f t="shared" si="82"/>
        <v>4.8994036000000003E-3</v>
      </c>
      <c r="O109">
        <f t="shared" si="83"/>
        <v>0.99996662615211018</v>
      </c>
      <c r="P109">
        <f t="shared" si="67"/>
        <v>4.8992400880495033E-6</v>
      </c>
      <c r="Q109">
        <f t="shared" si="60"/>
        <v>0.99996172691202212</v>
      </c>
      <c r="R109">
        <f t="shared" si="84"/>
        <v>19877.136601326416</v>
      </c>
      <c r="S109">
        <f t="shared" si="85"/>
        <v>999.96662615211017</v>
      </c>
      <c r="T109">
        <f t="shared" si="68"/>
        <v>21437.979470921458</v>
      </c>
      <c r="U109" s="22">
        <f t="shared" si="61"/>
        <v>999.96172691202207</v>
      </c>
      <c r="V109" s="1">
        <f t="shared" si="69"/>
        <v>0</v>
      </c>
      <c r="W109" s="1">
        <f t="shared" si="70"/>
        <v>0</v>
      </c>
      <c r="X109" s="1">
        <f t="shared" si="71"/>
        <v>-196.19345205104403</v>
      </c>
      <c r="Y109" s="1">
        <f t="shared" si="86"/>
        <v>-0.48992400880495035</v>
      </c>
      <c r="Z109" s="1">
        <f t="shared" si="72"/>
        <v>-196.683376059849</v>
      </c>
      <c r="AA109" s="1">
        <f t="shared" si="73"/>
        <v>-1560.8428695950424</v>
      </c>
      <c r="AB109" s="1">
        <f t="shared" si="74"/>
        <v>1148.2406775113188</v>
      </c>
      <c r="AC109" s="1">
        <f t="shared" si="75"/>
        <v>-609.28556814357262</v>
      </c>
      <c r="AD109" s="1">
        <f t="shared" si="76"/>
        <v>4.8992400880933928E-3</v>
      </c>
      <c r="AE109">
        <f t="shared" si="77"/>
        <v>-609.28066890348452</v>
      </c>
      <c r="AG109" s="19">
        <v>13</v>
      </c>
      <c r="AH109" s="19">
        <f t="shared" ref="AH109:AK109" si="98">AH22</f>
        <v>0.96712692453687621</v>
      </c>
      <c r="AI109" s="19">
        <f t="shared" si="98"/>
        <v>4.7383451357329003E-3</v>
      </c>
      <c r="AJ109" s="19">
        <f t="shared" si="98"/>
        <v>214.38800000000001</v>
      </c>
      <c r="AK109" s="19">
        <f t="shared" si="98"/>
        <v>124.24</v>
      </c>
    </row>
    <row r="110" spans="1:37">
      <c r="E110">
        <v>14</v>
      </c>
      <c r="F110" s="13"/>
      <c r="G110" s="13">
        <f t="shared" si="79"/>
        <v>0</v>
      </c>
      <c r="H110" s="13">
        <f t="shared" si="80"/>
        <v>196.20000000000002</v>
      </c>
      <c r="I110" s="13">
        <f t="shared" si="81"/>
        <v>100000</v>
      </c>
      <c r="J110" s="13">
        <f t="shared" si="63"/>
        <v>138.19900000000001</v>
      </c>
      <c r="K110" s="5">
        <f t="shared" si="64"/>
        <v>230.33099999999999</v>
      </c>
      <c r="L110" s="21">
        <f t="shared" si="65"/>
        <v>13819.900000000001</v>
      </c>
      <c r="M110">
        <f t="shared" si="66"/>
        <v>23033.1</v>
      </c>
      <c r="N110">
        <f t="shared" si="82"/>
        <v>5.3788826E-3</v>
      </c>
      <c r="O110">
        <f t="shared" si="83"/>
        <v>0.99996172691202212</v>
      </c>
      <c r="P110">
        <f t="shared" si="67"/>
        <v>5.378676733553027E-6</v>
      </c>
      <c r="Q110">
        <f t="shared" si="60"/>
        <v>0.99995634823528856</v>
      </c>
      <c r="R110">
        <f t="shared" si="84"/>
        <v>21437.979470921458</v>
      </c>
      <c r="S110">
        <f t="shared" si="85"/>
        <v>999.96172691202207</v>
      </c>
      <c r="T110">
        <f t="shared" si="68"/>
        <v>23032.094564538223</v>
      </c>
      <c r="U110" s="22">
        <f t="shared" si="61"/>
        <v>999.9563482352886</v>
      </c>
      <c r="V110" s="1">
        <f t="shared" si="69"/>
        <v>0</v>
      </c>
      <c r="W110" s="1">
        <f t="shared" si="70"/>
        <v>0</v>
      </c>
      <c r="X110" s="1">
        <f t="shared" si="71"/>
        <v>-196.19249082013874</v>
      </c>
      <c r="Y110" s="1">
        <f t="shared" si="86"/>
        <v>-0.53786767335530272</v>
      </c>
      <c r="Z110" s="1">
        <f t="shared" si="72"/>
        <v>-196.73035849349404</v>
      </c>
      <c r="AA110" s="1">
        <f t="shared" si="73"/>
        <v>-1594.1150936167651</v>
      </c>
      <c r="AB110" s="1">
        <f t="shared" si="74"/>
        <v>1234.0867658808413</v>
      </c>
      <c r="AC110" s="1">
        <f t="shared" si="75"/>
        <v>-556.75868622941789</v>
      </c>
      <c r="AD110" s="1">
        <f t="shared" si="76"/>
        <v>5.3786767334713659E-3</v>
      </c>
      <c r="AE110">
        <f t="shared" si="77"/>
        <v>-556.75330755268442</v>
      </c>
      <c r="AG110" s="19">
        <v>14</v>
      </c>
      <c r="AH110" s="19">
        <f t="shared" ref="AH110:AK110" si="99">AH23</f>
        <v>0.96238857940114331</v>
      </c>
      <c r="AI110" s="19">
        <f t="shared" si="99"/>
        <v>5.1765751841795285E-3</v>
      </c>
      <c r="AJ110" s="19">
        <f t="shared" si="99"/>
        <v>230.33099999999999</v>
      </c>
      <c r="AK110" s="19">
        <f t="shared" si="99"/>
        <v>138.19900000000001</v>
      </c>
    </row>
    <row r="111" spans="1:37">
      <c r="E111">
        <v>15</v>
      </c>
      <c r="F111" s="13"/>
      <c r="G111" s="13">
        <f t="shared" si="79"/>
        <v>0</v>
      </c>
      <c r="H111" s="13">
        <f t="shared" si="80"/>
        <v>196.20000000000002</v>
      </c>
      <c r="I111" s="13">
        <f t="shared" si="81"/>
        <v>100000</v>
      </c>
      <c r="J111" s="13">
        <f t="shared" si="63"/>
        <v>152.625</v>
      </c>
      <c r="K111" s="5">
        <f t="shared" si="64"/>
        <v>246.602</v>
      </c>
      <c r="L111" s="21">
        <f t="shared" si="65"/>
        <v>15262.5</v>
      </c>
      <c r="M111">
        <f t="shared" si="66"/>
        <v>24660.2</v>
      </c>
      <c r="N111">
        <f t="shared" si="82"/>
        <v>5.9071812799999998E-3</v>
      </c>
      <c r="O111">
        <f t="shared" si="83"/>
        <v>0.99995634823528856</v>
      </c>
      <c r="P111">
        <f t="shared" si="67"/>
        <v>5.9069234211126574E-6</v>
      </c>
      <c r="Q111">
        <f t="shared" si="60"/>
        <v>0.9999504413118675</v>
      </c>
      <c r="R111">
        <f t="shared" si="84"/>
        <v>23032.094564538223</v>
      </c>
      <c r="S111">
        <f t="shared" si="85"/>
        <v>999.9563482352886</v>
      </c>
      <c r="T111">
        <f t="shared" si="68"/>
        <v>24658.977872838917</v>
      </c>
      <c r="U111" s="22">
        <f t="shared" si="61"/>
        <v>999.95044131186751</v>
      </c>
      <c r="V111" s="1">
        <f t="shared" si="69"/>
        <v>0</v>
      </c>
      <c r="W111" s="1">
        <f t="shared" si="70"/>
        <v>0</v>
      </c>
      <c r="X111" s="1">
        <f t="shared" si="71"/>
        <v>-196.19143552376363</v>
      </c>
      <c r="Y111" s="1">
        <f t="shared" si="86"/>
        <v>-0.59069234211126576</v>
      </c>
      <c r="Z111" s="1">
        <f t="shared" si="72"/>
        <v>-196.78212786587488</v>
      </c>
      <c r="AA111" s="1">
        <f t="shared" si="73"/>
        <v>-1626.8833083006939</v>
      </c>
      <c r="AB111" s="1">
        <f t="shared" si="74"/>
        <v>1321.7628002025433</v>
      </c>
      <c r="AC111" s="1">
        <f t="shared" si="75"/>
        <v>-501.90263596402542</v>
      </c>
      <c r="AD111" s="1">
        <f t="shared" si="76"/>
        <v>5.9069234210937793E-3</v>
      </c>
      <c r="AE111">
        <f t="shared" si="77"/>
        <v>-501.89672904060433</v>
      </c>
      <c r="AG111" s="19">
        <v>15</v>
      </c>
      <c r="AH111" s="19">
        <f t="shared" ref="AH111:AK111" si="100">AH24</f>
        <v>0.95721200421696373</v>
      </c>
      <c r="AI111" s="19">
        <f t="shared" si="100"/>
        <v>5.6544248323017292E-3</v>
      </c>
      <c r="AJ111" s="19">
        <f t="shared" si="100"/>
        <v>246.602</v>
      </c>
      <c r="AK111" s="19">
        <f t="shared" si="100"/>
        <v>152.625</v>
      </c>
    </row>
    <row r="112" spans="1:37">
      <c r="E112">
        <v>16</v>
      </c>
      <c r="F112" s="13"/>
      <c r="G112" s="13">
        <f t="shared" si="79"/>
        <v>0</v>
      </c>
      <c r="H112" s="13">
        <f t="shared" si="80"/>
        <v>196.20000000000002</v>
      </c>
      <c r="I112" s="13">
        <f t="shared" si="81"/>
        <v>100000</v>
      </c>
      <c r="J112" s="13">
        <f t="shared" si="63"/>
        <v>167.47900000000001</v>
      </c>
      <c r="K112" s="5">
        <f t="shared" si="64"/>
        <v>263.15499999999997</v>
      </c>
      <c r="L112" s="21">
        <f t="shared" si="65"/>
        <v>16747.900000000001</v>
      </c>
      <c r="M112">
        <f t="shared" si="66"/>
        <v>26315.499999999996</v>
      </c>
      <c r="N112">
        <f t="shared" si="82"/>
        <v>6.5392217799999999E-3</v>
      </c>
      <c r="O112">
        <f t="shared" si="83"/>
        <v>0.9999504413118675</v>
      </c>
      <c r="P112">
        <f t="shared" si="67"/>
        <v>6.5388977047471757E-6</v>
      </c>
      <c r="Q112">
        <f t="shared" si="60"/>
        <v>0.99994390241416276</v>
      </c>
      <c r="R112">
        <f t="shared" si="84"/>
        <v>24658.977872838917</v>
      </c>
      <c r="S112">
        <f t="shared" si="85"/>
        <v>999.95044131186751</v>
      </c>
      <c r="T112">
        <f t="shared" si="68"/>
        <v>26314.023763979898</v>
      </c>
      <c r="U112" s="22">
        <f t="shared" si="61"/>
        <v>999.94390241416272</v>
      </c>
      <c r="V112" s="1">
        <f t="shared" si="69"/>
        <v>0</v>
      </c>
      <c r="W112" s="1">
        <f t="shared" si="70"/>
        <v>0</v>
      </c>
      <c r="X112" s="1">
        <f t="shared" si="71"/>
        <v>-196.19027658538843</v>
      </c>
      <c r="Y112" s="1">
        <f t="shared" si="86"/>
        <v>-0.65388977047471752</v>
      </c>
      <c r="Z112" s="1">
        <f t="shared" si="72"/>
        <v>-196.84416635586314</v>
      </c>
      <c r="AA112" s="1">
        <f t="shared" si="73"/>
        <v>-1655.0458911409805</v>
      </c>
      <c r="AB112" s="1">
        <f t="shared" si="74"/>
        <v>1411.2410572782931</v>
      </c>
      <c r="AC112" s="1">
        <f t="shared" si="75"/>
        <v>-440.64900021855055</v>
      </c>
      <c r="AD112" s="1">
        <f t="shared" si="76"/>
        <v>6.5388977047859953E-3</v>
      </c>
      <c r="AE112">
        <f t="shared" si="77"/>
        <v>-440.64246132084577</v>
      </c>
      <c r="AG112" s="19">
        <v>16</v>
      </c>
      <c r="AH112" s="19">
        <f t="shared" ref="AH112:AK112" si="101">AH25</f>
        <v>0.95155757938466201</v>
      </c>
      <c r="AI112" s="19">
        <f t="shared" si="101"/>
        <v>6.2224460480362611E-3</v>
      </c>
      <c r="AJ112" s="19">
        <f t="shared" si="101"/>
        <v>263.15499999999997</v>
      </c>
      <c r="AK112" s="19">
        <f t="shared" si="101"/>
        <v>167.47900000000001</v>
      </c>
    </row>
    <row r="113" spans="5:37">
      <c r="E113">
        <v>17</v>
      </c>
      <c r="F113" s="13"/>
      <c r="G113" s="13">
        <f t="shared" si="79"/>
        <v>0</v>
      </c>
      <c r="H113" s="13">
        <f t="shared" si="80"/>
        <v>196.20000000000002</v>
      </c>
      <c r="I113" s="13">
        <f t="shared" si="81"/>
        <v>100000</v>
      </c>
      <c r="J113" s="13">
        <f t="shared" si="63"/>
        <v>182.773</v>
      </c>
      <c r="K113" s="5">
        <f t="shared" si="64"/>
        <v>279.995</v>
      </c>
      <c r="L113" s="21">
        <f t="shared" si="65"/>
        <v>18277.3</v>
      </c>
      <c r="M113">
        <f t="shared" si="66"/>
        <v>27999.5</v>
      </c>
      <c r="N113">
        <f t="shared" si="82"/>
        <v>7.2131077200000004E-3</v>
      </c>
      <c r="O113">
        <f t="shared" si="83"/>
        <v>0.99994390241416276</v>
      </c>
      <c r="P113">
        <f t="shared" si="67"/>
        <v>7.2127030820705252E-6</v>
      </c>
      <c r="Q113">
        <f t="shared" si="60"/>
        <v>0.99993668971108074</v>
      </c>
      <c r="R113">
        <f t="shared" si="84"/>
        <v>26314.023763979898</v>
      </c>
      <c r="S113">
        <f t="shared" si="85"/>
        <v>999.94390241416272</v>
      </c>
      <c r="T113">
        <f t="shared" si="68"/>
        <v>27997.727343565406</v>
      </c>
      <c r="U113" s="22">
        <f t="shared" si="61"/>
        <v>999.9366897110807</v>
      </c>
      <c r="V113" s="1">
        <f t="shared" si="69"/>
        <v>0</v>
      </c>
      <c r="W113" s="1">
        <f t="shared" si="70"/>
        <v>0</v>
      </c>
      <c r="X113" s="1">
        <f t="shared" si="71"/>
        <v>-196.18899365365874</v>
      </c>
      <c r="Y113" s="1">
        <f t="shared" si="86"/>
        <v>-0.72127030820705251</v>
      </c>
      <c r="Z113" s="1">
        <f t="shared" si="72"/>
        <v>-196.91026396186578</v>
      </c>
      <c r="AA113" s="1">
        <f t="shared" si="73"/>
        <v>-1683.7035795855081</v>
      </c>
      <c r="AB113" s="1">
        <f t="shared" si="74"/>
        <v>1502.2682216516732</v>
      </c>
      <c r="AC113" s="1">
        <f t="shared" si="75"/>
        <v>-378.34562189570079</v>
      </c>
      <c r="AD113" s="1">
        <f t="shared" si="76"/>
        <v>7.2127030820183791E-3</v>
      </c>
      <c r="AE113">
        <f t="shared" si="77"/>
        <v>-378.33840919261877</v>
      </c>
      <c r="AG113" s="19">
        <v>17</v>
      </c>
      <c r="AH113" s="19">
        <f t="shared" ref="AH113:AK113" si="102">AH26</f>
        <v>0.94533513333662578</v>
      </c>
      <c r="AI113" s="19">
        <f t="shared" si="102"/>
        <v>6.8188041482576452E-3</v>
      </c>
      <c r="AJ113" s="19">
        <f t="shared" si="102"/>
        <v>279.995</v>
      </c>
      <c r="AK113" s="19">
        <f t="shared" si="102"/>
        <v>182.773</v>
      </c>
    </row>
    <row r="114" spans="5:37">
      <c r="E114">
        <v>18</v>
      </c>
      <c r="F114" s="13"/>
      <c r="G114" s="13">
        <f t="shared" si="79"/>
        <v>0</v>
      </c>
      <c r="H114" s="13">
        <f t="shared" si="80"/>
        <v>196.20000000000002</v>
      </c>
      <c r="I114" s="13">
        <f t="shared" si="81"/>
        <v>100000</v>
      </c>
      <c r="J114" s="13">
        <f t="shared" si="63"/>
        <v>198.56</v>
      </c>
      <c r="K114" s="5">
        <f t="shared" si="64"/>
        <v>297.161</v>
      </c>
      <c r="L114" s="21">
        <f t="shared" si="65"/>
        <v>19856</v>
      </c>
      <c r="M114">
        <f t="shared" si="66"/>
        <v>29716.1</v>
      </c>
      <c r="N114">
        <f t="shared" si="82"/>
        <v>7.8843783199999996E-3</v>
      </c>
      <c r="O114">
        <f t="shared" si="83"/>
        <v>0.99993668971108074</v>
      </c>
      <c r="P114">
        <f t="shared" si="67"/>
        <v>7.8838791577306114E-6</v>
      </c>
      <c r="Q114">
        <f t="shared" si="60"/>
        <v>0.99992880583192301</v>
      </c>
      <c r="R114">
        <f t="shared" si="84"/>
        <v>27997.727343565406</v>
      </c>
      <c r="S114">
        <f t="shared" si="85"/>
        <v>999.9366897110807</v>
      </c>
      <c r="T114">
        <f t="shared" si="68"/>
        <v>29713.984386982007</v>
      </c>
      <c r="U114" s="22">
        <f t="shared" si="61"/>
        <v>999.928805831923</v>
      </c>
      <c r="V114" s="1">
        <f t="shared" si="69"/>
        <v>0</v>
      </c>
      <c r="W114" s="1">
        <f t="shared" si="70"/>
        <v>0</v>
      </c>
      <c r="X114" s="1">
        <f t="shared" si="71"/>
        <v>-196.18757852131407</v>
      </c>
      <c r="Y114" s="1">
        <f t="shared" si="86"/>
        <v>-0.78838791577306111</v>
      </c>
      <c r="Z114" s="1">
        <f t="shared" si="72"/>
        <v>-196.97596643708712</v>
      </c>
      <c r="AA114" s="1">
        <f t="shared" si="73"/>
        <v>-1716.2570434166009</v>
      </c>
      <c r="AB114" s="1">
        <f t="shared" si="74"/>
        <v>1594.8715218302068</v>
      </c>
      <c r="AC114" s="1">
        <f t="shared" si="75"/>
        <v>-318.36148802348134</v>
      </c>
      <c r="AD114" s="1">
        <f t="shared" si="76"/>
        <v>7.8838791577027223E-3</v>
      </c>
      <c r="AE114">
        <f t="shared" si="77"/>
        <v>-318.35360414432364</v>
      </c>
      <c r="AG114" s="19">
        <v>18</v>
      </c>
      <c r="AH114" s="19">
        <f t="shared" ref="AH114:AK114" si="103">AH27</f>
        <v>0.93851632918836814</v>
      </c>
      <c r="AI114" s="19">
        <f t="shared" si="103"/>
        <v>7.3996177988187523E-3</v>
      </c>
      <c r="AJ114" s="19">
        <f t="shared" si="103"/>
        <v>297.161</v>
      </c>
      <c r="AK114" s="19">
        <f t="shared" si="103"/>
        <v>198.56</v>
      </c>
    </row>
    <row r="115" spans="5:37">
      <c r="E115">
        <v>19</v>
      </c>
      <c r="F115" s="13"/>
      <c r="G115" s="13">
        <f t="shared" si="79"/>
        <v>0</v>
      </c>
      <c r="H115" s="13">
        <f t="shared" si="80"/>
        <v>196.20000000000002</v>
      </c>
      <c r="I115" s="13">
        <f t="shared" si="81"/>
        <v>100000</v>
      </c>
      <c r="J115" s="13">
        <f t="shared" si="63"/>
        <v>214.84399999999999</v>
      </c>
      <c r="K115" s="5">
        <f t="shared" si="64"/>
        <v>314.64499999999998</v>
      </c>
      <c r="L115" s="21">
        <f t="shared" si="65"/>
        <v>21484.400000000001</v>
      </c>
      <c r="M115">
        <f t="shared" si="66"/>
        <v>31464.5</v>
      </c>
      <c r="N115">
        <f t="shared" si="82"/>
        <v>8.6227759800000005E-3</v>
      </c>
      <c r="O115">
        <f t="shared" si="83"/>
        <v>0.99992880583192301</v>
      </c>
      <c r="P115">
        <f t="shared" si="67"/>
        <v>8.6221620886375896E-6</v>
      </c>
      <c r="Q115">
        <f t="shared" si="60"/>
        <v>0.99992018366983437</v>
      </c>
      <c r="R115">
        <f t="shared" si="84"/>
        <v>29713.984386982007</v>
      </c>
      <c r="S115">
        <f t="shared" si="85"/>
        <v>999.928805831923</v>
      </c>
      <c r="T115">
        <f t="shared" si="68"/>
        <v>31461.988619079504</v>
      </c>
      <c r="U115" s="22">
        <f t="shared" si="61"/>
        <v>999.92018366983439</v>
      </c>
      <c r="V115" s="1">
        <f t="shared" si="69"/>
        <v>0</v>
      </c>
      <c r="W115" s="1">
        <f t="shared" si="70"/>
        <v>0</v>
      </c>
      <c r="X115" s="1">
        <f t="shared" si="71"/>
        <v>-196.18603170422332</v>
      </c>
      <c r="Y115" s="1">
        <f t="shared" si="86"/>
        <v>-0.86221620886375894</v>
      </c>
      <c r="Z115" s="1">
        <f t="shared" si="72"/>
        <v>-197.0482479130871</v>
      </c>
      <c r="AA115" s="1">
        <f t="shared" si="73"/>
        <v>-1748.0042320974972</v>
      </c>
      <c r="AB115" s="1">
        <f t="shared" si="74"/>
        <v>1689.2652256047661</v>
      </c>
      <c r="AC115" s="1">
        <f t="shared" si="75"/>
        <v>-255.7872544058182</v>
      </c>
      <c r="AD115" s="1">
        <f t="shared" si="76"/>
        <v>8.6221620886135497E-3</v>
      </c>
      <c r="AE115">
        <f t="shared" si="77"/>
        <v>-255.77863224372959</v>
      </c>
      <c r="AG115" s="19">
        <v>19</v>
      </c>
      <c r="AH115" s="19">
        <f t="shared" ref="AH115:AK115" si="104">AH28</f>
        <v>0.93111671138954943</v>
      </c>
      <c r="AI115" s="19">
        <f t="shared" si="104"/>
        <v>8.0288108135463995E-3</v>
      </c>
      <c r="AJ115" s="19">
        <f t="shared" si="104"/>
        <v>314.64499999999998</v>
      </c>
      <c r="AK115" s="19">
        <f t="shared" si="104"/>
        <v>214.84399999999999</v>
      </c>
    </row>
    <row r="116" spans="5:37">
      <c r="E116">
        <v>20</v>
      </c>
      <c r="F116" s="13"/>
      <c r="G116" s="13">
        <f t="shared" si="79"/>
        <v>0</v>
      </c>
      <c r="H116" s="13">
        <f t="shared" si="80"/>
        <v>196.20000000000002</v>
      </c>
      <c r="I116" s="13">
        <f t="shared" si="81"/>
        <v>100000</v>
      </c>
      <c r="J116" s="13">
        <f t="shared" si="63"/>
        <v>231.64500000000001</v>
      </c>
      <c r="K116" s="5">
        <f t="shared" si="64"/>
        <v>332.459</v>
      </c>
      <c r="L116" s="21">
        <f t="shared" si="65"/>
        <v>23164.5</v>
      </c>
      <c r="M116">
        <f t="shared" si="66"/>
        <v>33245.9</v>
      </c>
      <c r="N116">
        <f t="shared" si="82"/>
        <v>9.4082497599999992E-3</v>
      </c>
      <c r="O116">
        <f t="shared" si="83"/>
        <v>0.99992018366983437</v>
      </c>
      <c r="P116">
        <f t="shared" si="67"/>
        <v>9.4074988280308749E-6</v>
      </c>
      <c r="Q116">
        <f t="shared" si="60"/>
        <v>0.99991077617100632</v>
      </c>
      <c r="R116">
        <f t="shared" si="84"/>
        <v>31461.988619079504</v>
      </c>
      <c r="S116">
        <f t="shared" si="85"/>
        <v>999.92018366983439</v>
      </c>
      <c r="T116">
        <f t="shared" si="68"/>
        <v>33242.933673503663</v>
      </c>
      <c r="U116" s="22">
        <f t="shared" si="61"/>
        <v>999.91077617100632</v>
      </c>
      <c r="V116" s="1">
        <f t="shared" si="69"/>
        <v>0</v>
      </c>
      <c r="W116" s="1">
        <f t="shared" si="70"/>
        <v>0</v>
      </c>
      <c r="X116" s="1">
        <f t="shared" si="71"/>
        <v>-196.18434003602152</v>
      </c>
      <c r="Y116" s="1">
        <f t="shared" si="86"/>
        <v>-0.94074988280308747</v>
      </c>
      <c r="Z116" s="1">
        <f t="shared" si="72"/>
        <v>-197.12508991882461</v>
      </c>
      <c r="AA116" s="1">
        <f t="shared" si="73"/>
        <v>-1780.945054424159</v>
      </c>
      <c r="AB116" s="1">
        <f t="shared" si="74"/>
        <v>1785.4049841512135</v>
      </c>
      <c r="AC116" s="1">
        <f t="shared" si="75"/>
        <v>-192.66516019177016</v>
      </c>
      <c r="AD116" s="1">
        <f t="shared" si="76"/>
        <v>9.4074988280681282E-3</v>
      </c>
      <c r="AE116">
        <f t="shared" si="77"/>
        <v>-192.65575269294209</v>
      </c>
      <c r="AG116" s="19">
        <v>20</v>
      </c>
      <c r="AH116" s="19">
        <f t="shared" ref="AH116:AK116" si="105">AH29</f>
        <v>0.92308790057600298</v>
      </c>
      <c r="AI116" s="19">
        <f t="shared" si="105"/>
        <v>8.6846415190530834E-3</v>
      </c>
      <c r="AJ116" s="19">
        <f t="shared" si="105"/>
        <v>332.459</v>
      </c>
      <c r="AK116" s="19">
        <f t="shared" si="105"/>
        <v>231.64500000000001</v>
      </c>
    </row>
    <row r="117" spans="5:37">
      <c r="E117">
        <v>21</v>
      </c>
      <c r="F117" s="13"/>
      <c r="G117" s="13">
        <f t="shared" si="79"/>
        <v>0</v>
      </c>
      <c r="H117" s="13">
        <f t="shared" si="80"/>
        <v>196.20000000000002</v>
      </c>
      <c r="I117" s="13">
        <f t="shared" si="81"/>
        <v>100000</v>
      </c>
      <c r="J117" s="13">
        <f t="shared" si="63"/>
        <v>248.96100000000001</v>
      </c>
      <c r="K117" s="5">
        <f t="shared" si="64"/>
        <v>350.58699999999999</v>
      </c>
      <c r="L117" s="21">
        <f t="shared" si="65"/>
        <v>24896.1</v>
      </c>
      <c r="M117">
        <f t="shared" si="66"/>
        <v>35058.699999999997</v>
      </c>
      <c r="N117">
        <f t="shared" si="82"/>
        <v>1.02826451E-2</v>
      </c>
      <c r="O117">
        <f t="shared" si="83"/>
        <v>0.99991077617100632</v>
      </c>
      <c r="P117">
        <f t="shared" ref="P117:P171" si="106">N117*O117/1000</f>
        <v>1.0281727643031995E-5</v>
      </c>
      <c r="Q117">
        <f t="shared" ref="Q117:Q171" si="107">O117-SUM(P117:P117)</f>
        <v>0.99990049444336326</v>
      </c>
      <c r="R117">
        <f t="shared" si="84"/>
        <v>33242.933673503663</v>
      </c>
      <c r="S117">
        <f t="shared" si="85"/>
        <v>999.91077617100632</v>
      </c>
      <c r="T117">
        <f t="shared" si="68"/>
        <v>35055.211464541535</v>
      </c>
      <c r="U117" s="22">
        <f t="shared" si="61"/>
        <v>999.9004944433633</v>
      </c>
      <c r="V117" s="1">
        <f t="shared" si="69"/>
        <v>0</v>
      </c>
      <c r="W117" s="1">
        <f t="shared" si="70"/>
        <v>0</v>
      </c>
      <c r="X117" s="1">
        <f t="shared" si="71"/>
        <v>-196.18249428475147</v>
      </c>
      <c r="Y117" s="1">
        <f t="shared" si="86"/>
        <v>-1.0281727643031995</v>
      </c>
      <c r="Z117" s="1">
        <f t="shared" si="72"/>
        <v>-197.21066704905468</v>
      </c>
      <c r="AA117" s="1">
        <f t="shared" si="73"/>
        <v>-1812.2777910378718</v>
      </c>
      <c r="AB117" s="1">
        <f t="shared" si="74"/>
        <v>1883.3564447321066</v>
      </c>
      <c r="AC117" s="1">
        <f t="shared" si="75"/>
        <v>-126.13201335481995</v>
      </c>
      <c r="AD117" s="1">
        <f t="shared" si="76"/>
        <v>1.0281727643018712E-2</v>
      </c>
      <c r="AE117">
        <f t="shared" si="77"/>
        <v>-126.12173162717693</v>
      </c>
      <c r="AG117" s="19">
        <v>21</v>
      </c>
      <c r="AH117" s="19">
        <f t="shared" ref="AH117:AK117" si="108">AH30</f>
        <v>0.91440325905694986</v>
      </c>
      <c r="AI117" s="19">
        <f t="shared" si="108"/>
        <v>9.4024841911659763E-3</v>
      </c>
      <c r="AJ117" s="19">
        <f t="shared" si="108"/>
        <v>350.58699999999999</v>
      </c>
      <c r="AK117" s="19">
        <f t="shared" si="108"/>
        <v>248.96100000000001</v>
      </c>
    </row>
    <row r="118" spans="5:37">
      <c r="E118">
        <v>22</v>
      </c>
      <c r="F118" s="13"/>
      <c r="G118" s="13">
        <f t="shared" si="79"/>
        <v>0</v>
      </c>
      <c r="H118" s="13">
        <f t="shared" si="80"/>
        <v>196.20000000000002</v>
      </c>
      <c r="I118" s="13">
        <f t="shared" si="81"/>
        <v>100000</v>
      </c>
      <c r="J118" s="13">
        <f t="shared" si="63"/>
        <v>266.76</v>
      </c>
      <c r="K118" s="5">
        <f t="shared" si="64"/>
        <v>368.99299999999999</v>
      </c>
      <c r="L118" s="21">
        <f t="shared" si="65"/>
        <v>26676</v>
      </c>
      <c r="M118">
        <f t="shared" si="66"/>
        <v>36899.300000000003</v>
      </c>
      <c r="N118">
        <f t="shared" si="82"/>
        <v>1.129129456E-2</v>
      </c>
      <c r="O118">
        <f t="shared" si="83"/>
        <v>0.99990049444336326</v>
      </c>
      <c r="P118">
        <f t="shared" si="106"/>
        <v>1.1290171013449658E-5</v>
      </c>
      <c r="Q118">
        <f t="shared" si="107"/>
        <v>0.99988920427234984</v>
      </c>
      <c r="R118">
        <f t="shared" si="84"/>
        <v>35055.211464541535</v>
      </c>
      <c r="S118">
        <f t="shared" si="85"/>
        <v>999.9004944433633</v>
      </c>
      <c r="T118">
        <f t="shared" si="68"/>
        <v>36895.211715206722</v>
      </c>
      <c r="U118" s="22">
        <f t="shared" si="61"/>
        <v>999.88920427234984</v>
      </c>
      <c r="V118" s="1">
        <f t="shared" si="69"/>
        <v>0</v>
      </c>
      <c r="W118" s="1">
        <f t="shared" si="70"/>
        <v>0</v>
      </c>
      <c r="X118" s="1">
        <f t="shared" si="71"/>
        <v>-196.18047700978789</v>
      </c>
      <c r="Y118" s="1">
        <f t="shared" si="86"/>
        <v>-1.1290171013449659</v>
      </c>
      <c r="Z118" s="1">
        <f t="shared" si="72"/>
        <v>-197.30949411113286</v>
      </c>
      <c r="AA118" s="1">
        <f t="shared" si="73"/>
        <v>-1840.0002506651872</v>
      </c>
      <c r="AB118" s="1">
        <f t="shared" si="74"/>
        <v>1983.0311577441694</v>
      </c>
      <c r="AC118" s="1">
        <f t="shared" si="75"/>
        <v>-54.278587032150654</v>
      </c>
      <c r="AD118" s="1">
        <f t="shared" si="76"/>
        <v>1.1290171013456529E-2</v>
      </c>
      <c r="AE118">
        <f t="shared" si="77"/>
        <v>-54.267296861137197</v>
      </c>
      <c r="AG118" s="19">
        <v>22</v>
      </c>
      <c r="AH118" s="19">
        <f t="shared" ref="AH118:AK118" si="109">AH31</f>
        <v>0.9050007748657839</v>
      </c>
      <c r="AI118" s="19">
        <f t="shared" si="109"/>
        <v>1.0218630326037811E-2</v>
      </c>
      <c r="AJ118" s="19">
        <f t="shared" si="109"/>
        <v>368.99299999999999</v>
      </c>
      <c r="AK118" s="19">
        <f t="shared" si="109"/>
        <v>266.76</v>
      </c>
    </row>
    <row r="119" spans="5:37">
      <c r="E119">
        <v>23</v>
      </c>
      <c r="F119" s="13"/>
      <c r="G119" s="13">
        <f t="shared" si="79"/>
        <v>0</v>
      </c>
      <c r="H119" s="13">
        <f t="shared" si="80"/>
        <v>196.20000000000002</v>
      </c>
      <c r="I119" s="13">
        <f t="shared" si="81"/>
        <v>100000</v>
      </c>
      <c r="J119" s="13">
        <f t="shared" si="63"/>
        <v>285.06200000000001</v>
      </c>
      <c r="K119" s="5">
        <f t="shared" si="64"/>
        <v>387.68599999999998</v>
      </c>
      <c r="L119" s="21">
        <f t="shared" si="65"/>
        <v>28506.2</v>
      </c>
      <c r="M119">
        <f t="shared" si="66"/>
        <v>38768.6</v>
      </c>
      <c r="N119">
        <f t="shared" si="82"/>
        <v>1.236968642E-2</v>
      </c>
      <c r="O119">
        <f t="shared" si="83"/>
        <v>0.99988920427234984</v>
      </c>
      <c r="P119">
        <f t="shared" si="106"/>
        <v>1.236831591159229E-5</v>
      </c>
      <c r="Q119">
        <f t="shared" si="107"/>
        <v>0.99987683595643828</v>
      </c>
      <c r="R119">
        <f t="shared" si="84"/>
        <v>36895.211715206722</v>
      </c>
      <c r="S119">
        <f t="shared" si="85"/>
        <v>999.88920427234984</v>
      </c>
      <c r="T119">
        <f t="shared" si="68"/>
        <v>38763.825102460774</v>
      </c>
      <c r="U119" s="22">
        <f t="shared" si="61"/>
        <v>999.8768359564383</v>
      </c>
      <c r="V119" s="1">
        <f t="shared" si="69"/>
        <v>0</v>
      </c>
      <c r="W119" s="1">
        <f t="shared" si="70"/>
        <v>0</v>
      </c>
      <c r="X119" s="1">
        <f t="shared" si="71"/>
        <v>-196.17826187823505</v>
      </c>
      <c r="Y119" s="1">
        <f t="shared" si="86"/>
        <v>-1.2368315911592289</v>
      </c>
      <c r="Z119" s="1">
        <f t="shared" si="72"/>
        <v>-197.41509346939426</v>
      </c>
      <c r="AA119" s="1">
        <f t="shared" si="73"/>
        <v>-1868.6133872540522</v>
      </c>
      <c r="AB119" s="1">
        <f t="shared" si="74"/>
        <v>2084.2305505713493</v>
      </c>
      <c r="AC119" s="1">
        <f t="shared" si="75"/>
        <v>18.202069847902749</v>
      </c>
      <c r="AD119" s="1">
        <f t="shared" si="76"/>
        <v>1.2368315911544414E-2</v>
      </c>
      <c r="AE119">
        <f t="shared" si="77"/>
        <v>18.214438163814293</v>
      </c>
      <c r="AG119" s="19">
        <v>23</v>
      </c>
      <c r="AH119" s="19">
        <f t="shared" ref="AH119:AK119" si="110">AH32</f>
        <v>0.89478214453974614</v>
      </c>
      <c r="AI119" s="19">
        <f t="shared" si="110"/>
        <v>1.1068174542171775E-2</v>
      </c>
      <c r="AJ119" s="19">
        <f t="shared" si="110"/>
        <v>387.68599999999998</v>
      </c>
      <c r="AK119" s="19">
        <f t="shared" si="110"/>
        <v>285.06200000000001</v>
      </c>
    </row>
    <row r="120" spans="5:37">
      <c r="E120">
        <v>24</v>
      </c>
      <c r="F120" s="13"/>
      <c r="G120" s="13">
        <f t="shared" si="79"/>
        <v>0</v>
      </c>
      <c r="H120" s="13">
        <f t="shared" si="80"/>
        <v>196.20000000000002</v>
      </c>
      <c r="I120" s="13">
        <f t="shared" si="81"/>
        <v>100000</v>
      </c>
      <c r="J120" s="13">
        <f t="shared" si="63"/>
        <v>303.89800000000002</v>
      </c>
      <c r="K120" s="5">
        <f t="shared" si="64"/>
        <v>406.68200000000002</v>
      </c>
      <c r="L120" s="21">
        <f t="shared" si="65"/>
        <v>30389.800000000003</v>
      </c>
      <c r="M120">
        <f t="shared" si="66"/>
        <v>40668.199999999997</v>
      </c>
      <c r="N120">
        <f t="shared" si="82"/>
        <v>1.3515205339999999E-2</v>
      </c>
      <c r="O120">
        <f t="shared" si="83"/>
        <v>0.99987683595643828</v>
      </c>
      <c r="P120">
        <f t="shared" si="106"/>
        <v>1.3513540752660758E-5</v>
      </c>
      <c r="Q120">
        <f t="shared" si="107"/>
        <v>0.99986332241568565</v>
      </c>
      <c r="R120">
        <f t="shared" si="84"/>
        <v>38763.825102460774</v>
      </c>
      <c r="S120">
        <f t="shared" si="85"/>
        <v>999.8768359564383</v>
      </c>
      <c r="T120">
        <f t="shared" si="68"/>
        <v>40662.641568665582</v>
      </c>
      <c r="U120" s="22">
        <f t="shared" si="61"/>
        <v>999.86332241568562</v>
      </c>
      <c r="V120" s="1">
        <f t="shared" si="69"/>
        <v>0</v>
      </c>
      <c r="W120" s="1">
        <f t="shared" si="70"/>
        <v>0</v>
      </c>
      <c r="X120" s="1">
        <f t="shared" si="71"/>
        <v>-196.1758352146532</v>
      </c>
      <c r="Y120" s="1">
        <f t="shared" si="86"/>
        <v>-1.3513540752660758</v>
      </c>
      <c r="Z120" s="1">
        <f t="shared" si="72"/>
        <v>-197.52718928991928</v>
      </c>
      <c r="AA120" s="1">
        <f t="shared" si="73"/>
        <v>-1898.8164662048075</v>
      </c>
      <c r="AB120" s="1">
        <f t="shared" si="74"/>
        <v>2187.0036066129469</v>
      </c>
      <c r="AC120" s="1">
        <f t="shared" si="75"/>
        <v>90.659951118220306</v>
      </c>
      <c r="AD120" s="1">
        <f t="shared" si="76"/>
        <v>1.3513540752683184E-2</v>
      </c>
      <c r="AE120">
        <f t="shared" si="77"/>
        <v>90.673464658972989</v>
      </c>
      <c r="AG120" s="19">
        <v>24</v>
      </c>
      <c r="AH120" s="19">
        <f t="shared" ref="AH120:AK120" si="111">AH33</f>
        <v>0.88371396999757434</v>
      </c>
      <c r="AI120" s="19">
        <f t="shared" si="111"/>
        <v>1.1943575766343816E-2</v>
      </c>
      <c r="AJ120" s="19">
        <f t="shared" si="111"/>
        <v>406.68200000000002</v>
      </c>
      <c r="AK120" s="19">
        <f t="shared" si="111"/>
        <v>303.89800000000002</v>
      </c>
    </row>
    <row r="121" spans="5:37">
      <c r="E121">
        <v>25</v>
      </c>
      <c r="F121" s="13"/>
      <c r="G121" s="13">
        <f t="shared" si="79"/>
        <v>0</v>
      </c>
      <c r="H121" s="13">
        <f t="shared" si="80"/>
        <v>196.20000000000002</v>
      </c>
      <c r="I121" s="13">
        <f t="shared" si="81"/>
        <v>100000</v>
      </c>
      <c r="J121" s="13">
        <f t="shared" si="63"/>
        <v>323.25200000000001</v>
      </c>
      <c r="K121" s="5">
        <f t="shared" si="64"/>
        <v>425.95800000000003</v>
      </c>
      <c r="L121" s="21">
        <f t="shared" si="65"/>
        <v>32325.200000000001</v>
      </c>
      <c r="M121">
        <f t="shared" si="66"/>
        <v>42595.8</v>
      </c>
      <c r="N121">
        <f t="shared" si="82"/>
        <v>1.4805439740000001E-2</v>
      </c>
      <c r="O121">
        <f t="shared" si="83"/>
        <v>0.99986332241568565</v>
      </c>
      <c r="P121">
        <f t="shared" si="106"/>
        <v>1.4803416168261625E-5</v>
      </c>
      <c r="Q121">
        <f t="shared" si="107"/>
        <v>0.99984851899951743</v>
      </c>
      <c r="R121">
        <f t="shared" si="84"/>
        <v>40662.641568665582</v>
      </c>
      <c r="S121">
        <f t="shared" si="85"/>
        <v>999.86332241568562</v>
      </c>
      <c r="T121">
        <f t="shared" si="68"/>
        <v>42589.347545599645</v>
      </c>
      <c r="U121" s="22">
        <f t="shared" si="61"/>
        <v>999.84851899951741</v>
      </c>
      <c r="V121" s="1">
        <f t="shared" si="69"/>
        <v>0</v>
      </c>
      <c r="W121" s="1">
        <f t="shared" si="70"/>
        <v>0</v>
      </c>
      <c r="X121" s="1">
        <f t="shared" si="71"/>
        <v>-196.17318385795755</v>
      </c>
      <c r="Y121" s="1">
        <f t="shared" si="86"/>
        <v>-1.4803416168261625</v>
      </c>
      <c r="Z121" s="1">
        <f t="shared" si="72"/>
        <v>-197.65352547478372</v>
      </c>
      <c r="AA121" s="1">
        <f t="shared" si="73"/>
        <v>-1926.7059769340631</v>
      </c>
      <c r="AB121" s="1">
        <f t="shared" si="74"/>
        <v>2291.4377690094698</v>
      </c>
      <c r="AC121" s="1">
        <f t="shared" si="75"/>
        <v>167.07826660062301</v>
      </c>
      <c r="AD121" s="1">
        <f t="shared" si="76"/>
        <v>1.480341616820624E-2</v>
      </c>
      <c r="AE121">
        <f t="shared" si="77"/>
        <v>167.09307001679122</v>
      </c>
      <c r="AG121" s="19">
        <v>25</v>
      </c>
      <c r="AH121" s="19">
        <f t="shared" ref="AH121:AK121" si="112">AH34</f>
        <v>0.87177039423123048</v>
      </c>
      <c r="AI121" s="19">
        <f t="shared" si="112"/>
        <v>1.2906944038906527E-2</v>
      </c>
      <c r="AJ121" s="19">
        <f t="shared" si="112"/>
        <v>425.95800000000003</v>
      </c>
      <c r="AK121" s="19">
        <f t="shared" si="112"/>
        <v>323.25200000000001</v>
      </c>
    </row>
    <row r="122" spans="5:37">
      <c r="E122">
        <v>26</v>
      </c>
      <c r="F122" s="13"/>
      <c r="G122" s="13">
        <f t="shared" si="79"/>
        <v>0</v>
      </c>
      <c r="H122" s="13">
        <f t="shared" si="80"/>
        <v>196.20000000000002</v>
      </c>
      <c r="I122" s="13">
        <f t="shared" si="81"/>
        <v>100000</v>
      </c>
      <c r="J122" s="13">
        <f t="shared" si="63"/>
        <v>343.10500000000002</v>
      </c>
      <c r="K122" s="5">
        <f t="shared" si="64"/>
        <v>445.488</v>
      </c>
      <c r="L122" s="21">
        <f t="shared" si="65"/>
        <v>34310.5</v>
      </c>
      <c r="M122">
        <f t="shared" si="66"/>
        <v>44548.800000000003</v>
      </c>
      <c r="N122">
        <f t="shared" si="82"/>
        <v>1.6260440559999999E-2</v>
      </c>
      <c r="O122">
        <f t="shared" si="83"/>
        <v>0.99984851899951743</v>
      </c>
      <c r="P122">
        <f t="shared" si="106"/>
        <v>1.6257977412195685E-5</v>
      </c>
      <c r="Q122">
        <f t="shared" si="107"/>
        <v>0.99983226102210521</v>
      </c>
      <c r="R122">
        <f t="shared" si="84"/>
        <v>42589.347545599645</v>
      </c>
      <c r="S122">
        <f t="shared" si="85"/>
        <v>999.84851899951741</v>
      </c>
      <c r="T122">
        <f t="shared" si="68"/>
        <v>44541.327429821562</v>
      </c>
      <c r="U122" s="22">
        <f t="shared" si="61"/>
        <v>999.83226102210517</v>
      </c>
      <c r="V122" s="1">
        <f t="shared" si="69"/>
        <v>0</v>
      </c>
      <c r="W122" s="1">
        <f t="shared" si="70"/>
        <v>0</v>
      </c>
      <c r="X122" s="1">
        <f t="shared" si="71"/>
        <v>-196.17027942770534</v>
      </c>
      <c r="Y122" s="1">
        <f t="shared" si="86"/>
        <v>-1.6257977412195685</v>
      </c>
      <c r="Z122" s="1">
        <f t="shared" si="72"/>
        <v>-197.79607716892491</v>
      </c>
      <c r="AA122" s="1">
        <f t="shared" si="73"/>
        <v>-1951.979884221917</v>
      </c>
      <c r="AB122" s="1">
        <f t="shared" si="74"/>
        <v>2397.4057835529538</v>
      </c>
      <c r="AC122" s="1">
        <f t="shared" si="75"/>
        <v>247.62982216211185</v>
      </c>
      <c r="AD122" s="1">
        <f t="shared" si="76"/>
        <v>1.6257977412237778E-2</v>
      </c>
      <c r="AE122">
        <f t="shared" si="77"/>
        <v>247.64608013952409</v>
      </c>
      <c r="AG122" s="19">
        <v>26</v>
      </c>
      <c r="AH122" s="19">
        <f t="shared" ref="AH122:AK122" si="113">AH35</f>
        <v>0.85886345019232391</v>
      </c>
      <c r="AI122" s="19">
        <f t="shared" si="113"/>
        <v>1.3965498081008802E-2</v>
      </c>
      <c r="AJ122" s="19">
        <f t="shared" si="113"/>
        <v>445.488</v>
      </c>
      <c r="AK122" s="19">
        <f t="shared" si="113"/>
        <v>343.10500000000002</v>
      </c>
    </row>
    <row r="123" spans="5:37">
      <c r="E123">
        <v>27</v>
      </c>
      <c r="F123" s="13"/>
      <c r="G123" s="13">
        <f t="shared" si="79"/>
        <v>0</v>
      </c>
      <c r="H123" s="13">
        <f t="shared" si="80"/>
        <v>196.20000000000002</v>
      </c>
      <c r="I123" s="13">
        <f t="shared" si="81"/>
        <v>100000</v>
      </c>
      <c r="J123" s="13">
        <f t="shared" si="63"/>
        <v>363.42099999999999</v>
      </c>
      <c r="K123" s="5">
        <f t="shared" si="64"/>
        <v>465.22899999999998</v>
      </c>
      <c r="L123" s="21">
        <f t="shared" si="65"/>
        <v>36342.1</v>
      </c>
      <c r="M123">
        <f t="shared" si="66"/>
        <v>46522.9</v>
      </c>
      <c r="N123">
        <f t="shared" si="82"/>
        <v>1.7925540359999999E-2</v>
      </c>
      <c r="O123">
        <f t="shared" si="83"/>
        <v>0.99983226102210521</v>
      </c>
      <c r="P123">
        <f t="shared" si="106"/>
        <v>1.79225335481818E-5</v>
      </c>
      <c r="Q123">
        <f t="shared" si="107"/>
        <v>0.99981433848855705</v>
      </c>
      <c r="R123">
        <f t="shared" si="84"/>
        <v>44541.327429821562</v>
      </c>
      <c r="S123">
        <f t="shared" si="85"/>
        <v>999.83226102210517</v>
      </c>
      <c r="T123">
        <f t="shared" si="68"/>
        <v>46514.262488069289</v>
      </c>
      <c r="U123" s="22">
        <f t="shared" si="61"/>
        <v>999.81433848855704</v>
      </c>
      <c r="V123" s="1">
        <f t="shared" si="69"/>
        <v>0</v>
      </c>
      <c r="W123" s="1">
        <f t="shared" si="70"/>
        <v>0</v>
      </c>
      <c r="X123" s="1">
        <f t="shared" si="71"/>
        <v>-196.16708961253707</v>
      </c>
      <c r="Y123" s="1">
        <f t="shared" si="86"/>
        <v>-1.79225335481818</v>
      </c>
      <c r="Z123" s="1">
        <f t="shared" si="72"/>
        <v>-197.95934296735524</v>
      </c>
      <c r="AA123" s="1">
        <f t="shared" si="73"/>
        <v>-1972.9350582477273</v>
      </c>
      <c r="AB123" s="1">
        <f t="shared" si="74"/>
        <v>2504.7637829964019</v>
      </c>
      <c r="AC123" s="1">
        <f t="shared" si="75"/>
        <v>333.86938178131959</v>
      </c>
      <c r="AD123" s="1">
        <f t="shared" si="76"/>
        <v>1.7922533548130559E-2</v>
      </c>
      <c r="AE123">
        <f t="shared" si="77"/>
        <v>333.88730431486772</v>
      </c>
      <c r="AG123" s="19">
        <v>27</v>
      </c>
      <c r="AH123" s="19">
        <f t="shared" ref="AH123:AK123" si="114">AH36</f>
        <v>0.84489795211131513</v>
      </c>
      <c r="AI123" s="19">
        <f t="shared" si="114"/>
        <v>1.5145252340652726E-2</v>
      </c>
      <c r="AJ123" s="19">
        <f t="shared" si="114"/>
        <v>465.22899999999998</v>
      </c>
      <c r="AK123" s="19">
        <f t="shared" si="114"/>
        <v>363.42099999999999</v>
      </c>
    </row>
    <row r="124" spans="5:37">
      <c r="E124">
        <v>28</v>
      </c>
      <c r="F124" s="13"/>
      <c r="G124" s="13">
        <f t="shared" si="79"/>
        <v>0</v>
      </c>
      <c r="H124" s="13">
        <f t="shared" si="80"/>
        <v>196.20000000000002</v>
      </c>
      <c r="I124" s="13">
        <f t="shared" si="81"/>
        <v>100000</v>
      </c>
      <c r="J124" s="13">
        <f t="shared" si="63"/>
        <v>384.14299999999997</v>
      </c>
      <c r="K124" s="5">
        <f t="shared" si="64"/>
        <v>485.12700000000001</v>
      </c>
      <c r="L124" s="21">
        <f t="shared" si="65"/>
        <v>38414.300000000003</v>
      </c>
      <c r="M124">
        <f t="shared" si="66"/>
        <v>48512.7</v>
      </c>
      <c r="N124">
        <f t="shared" si="82"/>
        <v>1.984694348E-2</v>
      </c>
      <c r="O124">
        <f t="shared" si="83"/>
        <v>0.99981433848855705</v>
      </c>
      <c r="P124">
        <f t="shared" si="106"/>
        <v>1.9843258666475981E-5</v>
      </c>
      <c r="Q124">
        <f t="shared" si="107"/>
        <v>0.99979449522989061</v>
      </c>
      <c r="R124">
        <f t="shared" si="84"/>
        <v>46514.262488069289</v>
      </c>
      <c r="S124">
        <f t="shared" si="85"/>
        <v>999.81433848855704</v>
      </c>
      <c r="T124">
        <f t="shared" si="68"/>
        <v>48502.730408739109</v>
      </c>
      <c r="U124" s="22">
        <f t="shared" si="61"/>
        <v>999.79449522989057</v>
      </c>
      <c r="V124" s="1">
        <f t="shared" si="69"/>
        <v>0</v>
      </c>
      <c r="W124" s="1">
        <f t="shared" si="70"/>
        <v>0</v>
      </c>
      <c r="X124" s="1">
        <f t="shared" si="71"/>
        <v>-196.16357321145492</v>
      </c>
      <c r="Y124" s="1">
        <f t="shared" si="86"/>
        <v>-1.984325866647598</v>
      </c>
      <c r="Z124" s="1">
        <f t="shared" si="72"/>
        <v>-198.14789907810251</v>
      </c>
      <c r="AA124" s="1">
        <f t="shared" si="73"/>
        <v>-1988.4679206698202</v>
      </c>
      <c r="AB124" s="1">
        <f t="shared" si="74"/>
        <v>2613.2742254606815</v>
      </c>
      <c r="AC124" s="1">
        <f t="shared" si="75"/>
        <v>426.65840571275885</v>
      </c>
      <c r="AD124" s="1">
        <f t="shared" si="76"/>
        <v>1.984325866646941E-2</v>
      </c>
      <c r="AE124">
        <f t="shared" si="77"/>
        <v>426.67824897142532</v>
      </c>
      <c r="AG124" s="19">
        <v>28</v>
      </c>
      <c r="AH124" s="19">
        <f t="shared" ref="AH124:AK124" si="115">AH37</f>
        <v>0.82975269977066235</v>
      </c>
      <c r="AI124" s="19">
        <f t="shared" si="115"/>
        <v>1.6468054934725744E-2</v>
      </c>
      <c r="AJ124" s="19">
        <f t="shared" si="115"/>
        <v>485.12700000000001</v>
      </c>
      <c r="AK124" s="19">
        <f t="shared" si="115"/>
        <v>384.14299999999997</v>
      </c>
    </row>
    <row r="125" spans="5:37">
      <c r="E125">
        <v>29</v>
      </c>
      <c r="F125" s="13"/>
      <c r="G125" s="13">
        <f t="shared" si="79"/>
        <v>0</v>
      </c>
      <c r="H125" s="13">
        <f t="shared" si="80"/>
        <v>196.20000000000002</v>
      </c>
      <c r="I125" s="13">
        <f t="shared" si="81"/>
        <v>100000</v>
      </c>
      <c r="J125" s="13">
        <f t="shared" si="63"/>
        <v>405.209</v>
      </c>
      <c r="K125" s="5">
        <f t="shared" si="64"/>
        <v>505.12099999999998</v>
      </c>
      <c r="L125" s="21">
        <f t="shared" si="65"/>
        <v>40520.9</v>
      </c>
      <c r="M125">
        <f t="shared" si="66"/>
        <v>50512.1</v>
      </c>
      <c r="N125">
        <f t="shared" si="82"/>
        <v>2.2062136459999999E-2</v>
      </c>
      <c r="O125">
        <f t="shared" si="83"/>
        <v>0.99979449522989061</v>
      </c>
      <c r="P125">
        <f t="shared" si="106"/>
        <v>2.2057602585718664E-5</v>
      </c>
      <c r="Q125">
        <f t="shared" si="107"/>
        <v>0.99977243762730494</v>
      </c>
      <c r="R125">
        <f t="shared" si="84"/>
        <v>48502.730408739109</v>
      </c>
      <c r="S125">
        <f t="shared" si="85"/>
        <v>999.79449522989057</v>
      </c>
      <c r="T125">
        <f t="shared" si="68"/>
        <v>50500.605346674187</v>
      </c>
      <c r="U125" s="22">
        <f t="shared" si="61"/>
        <v>999.77243762730495</v>
      </c>
      <c r="V125" s="1">
        <f t="shared" si="69"/>
        <v>0</v>
      </c>
      <c r="W125" s="1">
        <f t="shared" si="70"/>
        <v>0</v>
      </c>
      <c r="X125" s="1">
        <f t="shared" si="71"/>
        <v>-196.15967996410455</v>
      </c>
      <c r="Y125" s="1">
        <f t="shared" si="86"/>
        <v>-2.2057602585718663</v>
      </c>
      <c r="Z125" s="1">
        <f t="shared" si="72"/>
        <v>-198.36544022267643</v>
      </c>
      <c r="AA125" s="1">
        <f t="shared" si="73"/>
        <v>-1997.8749379350775</v>
      </c>
      <c r="AB125" s="1">
        <f t="shared" si="74"/>
        <v>2722.6388697182952</v>
      </c>
      <c r="AC125" s="1">
        <f t="shared" si="75"/>
        <v>526.39849156054106</v>
      </c>
      <c r="AD125" s="1">
        <f t="shared" si="76"/>
        <v>2.2057602585618952E-2</v>
      </c>
      <c r="AE125">
        <f t="shared" si="77"/>
        <v>526.42054916312668</v>
      </c>
      <c r="AG125" s="19">
        <v>29</v>
      </c>
      <c r="AH125" s="19">
        <f t="shared" ref="AH125:AK125" si="116">AH38</f>
        <v>0.81328464483593665</v>
      </c>
      <c r="AI125" s="19">
        <f t="shared" si="116"/>
        <v>1.794279681519307E-2</v>
      </c>
      <c r="AJ125" s="19">
        <f t="shared" si="116"/>
        <v>505.12099999999998</v>
      </c>
      <c r="AK125" s="19">
        <f t="shared" si="116"/>
        <v>405.209</v>
      </c>
    </row>
    <row r="126" spans="5:37">
      <c r="E126">
        <v>30</v>
      </c>
      <c r="F126" s="13"/>
      <c r="G126" s="13">
        <f t="shared" si="79"/>
        <v>0</v>
      </c>
      <c r="H126" s="13">
        <f t="shared" si="80"/>
        <v>196.20000000000002</v>
      </c>
      <c r="I126" s="13">
        <f t="shared" si="81"/>
        <v>100000</v>
      </c>
      <c r="J126" s="13">
        <f t="shared" si="63"/>
        <v>426.49599999999998</v>
      </c>
      <c r="K126" s="5">
        <f t="shared" si="64"/>
        <v>525.10299999999995</v>
      </c>
      <c r="L126" s="21">
        <f t="shared" si="65"/>
        <v>42649.599999999999</v>
      </c>
      <c r="M126">
        <f t="shared" si="66"/>
        <v>52510.299999999996</v>
      </c>
      <c r="N126">
        <f t="shared" si="82"/>
        <v>2.4701014520000002E-2</v>
      </c>
      <c r="O126">
        <f t="shared" si="83"/>
        <v>0.99977243762730494</v>
      </c>
      <c r="P126">
        <f t="shared" si="106"/>
        <v>2.4695393498527853E-5</v>
      </c>
      <c r="Q126">
        <f t="shared" si="107"/>
        <v>0.99974774223380647</v>
      </c>
      <c r="R126">
        <f t="shared" si="84"/>
        <v>50500.605346674187</v>
      </c>
      <c r="S126">
        <f t="shared" si="85"/>
        <v>999.77243762730495</v>
      </c>
      <c r="T126">
        <f t="shared" si="68"/>
        <v>52497.053869019845</v>
      </c>
      <c r="U126" s="22">
        <f t="shared" si="61"/>
        <v>999.74774223380643</v>
      </c>
      <c r="V126" s="1">
        <f t="shared" si="69"/>
        <v>0</v>
      </c>
      <c r="W126" s="1">
        <f t="shared" si="70"/>
        <v>0</v>
      </c>
      <c r="X126" s="1">
        <f t="shared" si="71"/>
        <v>-196.15535226247724</v>
      </c>
      <c r="Y126" s="1">
        <f t="shared" si="86"/>
        <v>-2.4695393498527851</v>
      </c>
      <c r="Z126" s="1">
        <f t="shared" si="72"/>
        <v>-198.62489161233003</v>
      </c>
      <c r="AA126" s="1">
        <f t="shared" si="73"/>
        <v>-1996.4485223456577</v>
      </c>
      <c r="AB126" s="1">
        <f t="shared" si="74"/>
        <v>2832.5207781365821</v>
      </c>
      <c r="AC126" s="1">
        <f t="shared" si="75"/>
        <v>637.4473641785944</v>
      </c>
      <c r="AD126" s="1">
        <f t="shared" si="76"/>
        <v>2.469539349851857E-2</v>
      </c>
      <c r="AE126">
        <f t="shared" si="77"/>
        <v>637.47205957209292</v>
      </c>
      <c r="AG126" s="19">
        <v>30</v>
      </c>
      <c r="AH126" s="19">
        <f t="shared" ref="AH126:AK126" si="117">AH39</f>
        <v>0.79534184802074359</v>
      </c>
      <c r="AI126" s="19">
        <f t="shared" si="117"/>
        <v>1.9645750536324023E-2</v>
      </c>
      <c r="AJ126" s="19">
        <f t="shared" si="117"/>
        <v>525.10299999999995</v>
      </c>
      <c r="AK126" s="19">
        <f t="shared" si="117"/>
        <v>426.49599999999998</v>
      </c>
    </row>
    <row r="127" spans="5:37">
      <c r="E127">
        <v>31</v>
      </c>
      <c r="F127" s="13"/>
      <c r="G127" s="13">
        <f t="shared" si="79"/>
        <v>0</v>
      </c>
      <c r="H127" s="13">
        <f t="shared" si="80"/>
        <v>196.20000000000002</v>
      </c>
      <c r="I127" s="13">
        <f t="shared" si="81"/>
        <v>100000</v>
      </c>
      <c r="J127" s="13">
        <f t="shared" si="63"/>
        <v>447.90800000000002</v>
      </c>
      <c r="K127" s="5">
        <f t="shared" si="64"/>
        <v>544.99099999999999</v>
      </c>
      <c r="L127" s="21">
        <f t="shared" si="65"/>
        <v>44790.8</v>
      </c>
      <c r="M127">
        <f t="shared" si="66"/>
        <v>54499.1</v>
      </c>
      <c r="N127">
        <f t="shared" si="82"/>
        <v>2.77443985E-2</v>
      </c>
      <c r="O127">
        <f t="shared" si="83"/>
        <v>0.99974774223380647</v>
      </c>
      <c r="P127">
        <f t="shared" si="106"/>
        <v>2.7737399760010006E-5</v>
      </c>
      <c r="Q127">
        <f t="shared" si="107"/>
        <v>0.99972000483404644</v>
      </c>
      <c r="R127">
        <f t="shared" si="84"/>
        <v>52497.053869019845</v>
      </c>
      <c r="S127">
        <f t="shared" si="85"/>
        <v>999.74774223380643</v>
      </c>
      <c r="T127">
        <f t="shared" si="68"/>
        <v>54483.840515451178</v>
      </c>
      <c r="U127" s="22">
        <f t="shared" si="61"/>
        <v>999.72000483404645</v>
      </c>
      <c r="V127" s="1">
        <f t="shared" si="69"/>
        <v>0</v>
      </c>
      <c r="W127" s="1">
        <f t="shared" si="70"/>
        <v>0</v>
      </c>
      <c r="X127" s="1">
        <f t="shared" si="71"/>
        <v>-196.15050702627283</v>
      </c>
      <c r="Y127" s="1">
        <f t="shared" si="86"/>
        <v>-2.7737399760010004</v>
      </c>
      <c r="Z127" s="1">
        <f t="shared" si="72"/>
        <v>-198.92424700227383</v>
      </c>
      <c r="AA127" s="1">
        <f t="shared" si="73"/>
        <v>-1986.7866464313338</v>
      </c>
      <c r="AB127" s="1">
        <f t="shared" si="74"/>
        <v>2942.3240886189506</v>
      </c>
      <c r="AC127" s="1">
        <f t="shared" si="75"/>
        <v>756.6131951853431</v>
      </c>
      <c r="AD127" s="1">
        <f t="shared" si="76"/>
        <v>2.7737399759985237E-2</v>
      </c>
      <c r="AE127">
        <f t="shared" si="77"/>
        <v>756.64093258510309</v>
      </c>
      <c r="AG127" s="19">
        <v>31</v>
      </c>
      <c r="AH127" s="19">
        <f t="shared" ref="AH127:AK127" si="118">AH40</f>
        <v>0.77569609748441959</v>
      </c>
      <c r="AI127" s="19">
        <f t="shared" si="118"/>
        <v>2.1521221643502585E-2</v>
      </c>
      <c r="AJ127" s="19">
        <f t="shared" si="118"/>
        <v>544.99099999999999</v>
      </c>
      <c r="AK127" s="19">
        <f t="shared" si="118"/>
        <v>447.90800000000002</v>
      </c>
    </row>
    <row r="128" spans="5:37">
      <c r="E128">
        <v>32</v>
      </c>
      <c r="F128" s="13"/>
      <c r="G128" s="13">
        <f t="shared" si="79"/>
        <v>0</v>
      </c>
      <c r="H128" s="13">
        <f t="shared" si="80"/>
        <v>196.20000000000002</v>
      </c>
      <c r="I128" s="13">
        <f t="shared" si="81"/>
        <v>100000</v>
      </c>
      <c r="J128" s="13">
        <f t="shared" si="63"/>
        <v>469.34500000000003</v>
      </c>
      <c r="K128" s="5">
        <f t="shared" si="64"/>
        <v>564.70000000000005</v>
      </c>
      <c r="L128" s="21">
        <f t="shared" si="65"/>
        <v>46934.5</v>
      </c>
      <c r="M128">
        <f t="shared" si="66"/>
        <v>56470.000000000007</v>
      </c>
      <c r="N128">
        <f t="shared" si="82"/>
        <v>3.1239364519999997E-2</v>
      </c>
      <c r="O128">
        <f t="shared" si="83"/>
        <v>0.99972000483404644</v>
      </c>
      <c r="P128">
        <f t="shared" si="106"/>
        <v>3.1230617648946939E-5</v>
      </c>
      <c r="Q128">
        <f t="shared" si="107"/>
        <v>0.99968877421639746</v>
      </c>
      <c r="R128">
        <f t="shared" si="84"/>
        <v>54483.840515451178</v>
      </c>
      <c r="S128">
        <f t="shared" si="85"/>
        <v>999.72000483404645</v>
      </c>
      <c r="T128">
        <f t="shared" si="68"/>
        <v>56452.425079999972</v>
      </c>
      <c r="U128" s="22">
        <f t="shared" ref="U128:U159" si="119">$B$11*I128*Q128</f>
        <v>999.68877421639741</v>
      </c>
      <c r="V128" s="1">
        <f t="shared" si="69"/>
        <v>0</v>
      </c>
      <c r="W128" s="1">
        <f t="shared" si="70"/>
        <v>0</v>
      </c>
      <c r="X128" s="1">
        <f t="shared" si="71"/>
        <v>-196.14506494843994</v>
      </c>
      <c r="Y128" s="1">
        <f t="shared" si="86"/>
        <v>-3.1230617648946937</v>
      </c>
      <c r="Z128" s="1">
        <f t="shared" si="72"/>
        <v>-199.26812671333462</v>
      </c>
      <c r="AA128" s="1">
        <f t="shared" si="73"/>
        <v>-1968.5845645487934</v>
      </c>
      <c r="AB128" s="1">
        <f t="shared" si="74"/>
        <v>3051.5958286156874</v>
      </c>
      <c r="AC128" s="1">
        <f t="shared" si="75"/>
        <v>883.74313735355918</v>
      </c>
      <c r="AD128" s="1">
        <f t="shared" si="76"/>
        <v>3.1230617649043779E-2</v>
      </c>
      <c r="AE128">
        <f t="shared" si="77"/>
        <v>883.77436797120822</v>
      </c>
      <c r="AG128" s="19">
        <v>32</v>
      </c>
      <c r="AH128" s="19">
        <f t="shared" ref="AH128:AK128" si="120">AH41</f>
        <v>0.75417487584091703</v>
      </c>
      <c r="AI128" s="19">
        <f t="shared" si="120"/>
        <v>2.3559943858220148E-2</v>
      </c>
      <c r="AJ128" s="19">
        <f t="shared" si="120"/>
        <v>564.70000000000005</v>
      </c>
      <c r="AK128" s="19">
        <f t="shared" si="120"/>
        <v>469.34500000000003</v>
      </c>
    </row>
    <row r="129" spans="5:37">
      <c r="E129">
        <v>33</v>
      </c>
      <c r="F129" s="13"/>
      <c r="G129" s="13">
        <f t="shared" si="79"/>
        <v>0</v>
      </c>
      <c r="H129" s="13">
        <f t="shared" si="80"/>
        <v>196.20000000000002</v>
      </c>
      <c r="I129" s="13">
        <f t="shared" si="81"/>
        <v>100000</v>
      </c>
      <c r="J129" s="13">
        <f t="shared" si="63"/>
        <v>490.67899999999997</v>
      </c>
      <c r="K129" s="5">
        <f t="shared" si="64"/>
        <v>584.125</v>
      </c>
      <c r="L129" s="21">
        <f t="shared" si="65"/>
        <v>49067.9</v>
      </c>
      <c r="M129">
        <f t="shared" si="66"/>
        <v>58412.5</v>
      </c>
      <c r="N129">
        <f t="shared" si="82"/>
        <v>3.5276577699999999E-2</v>
      </c>
      <c r="O129">
        <f t="shared" si="83"/>
        <v>0.99968877421639746</v>
      </c>
      <c r="P129">
        <f t="shared" si="106"/>
        <v>3.5265598719462499E-5</v>
      </c>
      <c r="Q129">
        <f t="shared" si="107"/>
        <v>0.99965350861767799</v>
      </c>
      <c r="R129">
        <f t="shared" si="84"/>
        <v>56452.425079999972</v>
      </c>
      <c r="S129">
        <f t="shared" si="85"/>
        <v>999.68877421639741</v>
      </c>
      <c r="T129">
        <f t="shared" si="68"/>
        <v>58392.260572130115</v>
      </c>
      <c r="U129" s="22">
        <f t="shared" si="119"/>
        <v>999.65350861767797</v>
      </c>
      <c r="V129" s="1">
        <f t="shared" si="69"/>
        <v>0</v>
      </c>
      <c r="W129" s="1">
        <f t="shared" si="70"/>
        <v>0</v>
      </c>
      <c r="X129" s="1">
        <f t="shared" si="71"/>
        <v>-196.1389375012572</v>
      </c>
      <c r="Y129" s="1">
        <f t="shared" si="86"/>
        <v>-3.5265598719462501</v>
      </c>
      <c r="Z129" s="1">
        <f t="shared" si="72"/>
        <v>-199.66549737320346</v>
      </c>
      <c r="AA129" s="1">
        <f t="shared" si="73"/>
        <v>-1939.8354921301434</v>
      </c>
      <c r="AB129" s="1">
        <f t="shared" ref="AB129:AB160" si="121">$B$12*SUM(R129:S129,V129:W129)</f>
        <v>3159.8662619819002</v>
      </c>
      <c r="AC129" s="1">
        <f t="shared" si="75"/>
        <v>1020.3652724785534</v>
      </c>
      <c r="AD129" s="1">
        <f t="shared" si="76"/>
        <v>3.526559871943391E-2</v>
      </c>
      <c r="AE129">
        <f t="shared" si="77"/>
        <v>1020.4005380772728</v>
      </c>
      <c r="AG129" s="19">
        <v>33</v>
      </c>
      <c r="AH129" s="19">
        <f t="shared" ref="AH129:AK129" si="122">AH42</f>
        <v>0.73061493198269689</v>
      </c>
      <c r="AI129" s="19">
        <f t="shared" si="122"/>
        <v>2.5773594416867822E-2</v>
      </c>
      <c r="AJ129" s="19">
        <f t="shared" si="122"/>
        <v>584.125</v>
      </c>
      <c r="AK129" s="19">
        <f t="shared" si="122"/>
        <v>490.67899999999997</v>
      </c>
    </row>
    <row r="130" spans="5:37">
      <c r="E130">
        <v>34</v>
      </c>
      <c r="F130" s="13"/>
      <c r="G130" s="13">
        <f t="shared" ref="G130:G161" si="123">F130*$B$15</f>
        <v>0</v>
      </c>
      <c r="H130" s="13">
        <f t="shared" ref="H130:H161" si="124">$B$17</f>
        <v>196.20000000000002</v>
      </c>
      <c r="I130" s="13">
        <f t="shared" si="81"/>
        <v>100000</v>
      </c>
      <c r="J130" s="13">
        <f t="shared" si="63"/>
        <v>511.83499999999998</v>
      </c>
      <c r="K130" s="5">
        <f t="shared" si="64"/>
        <v>603.20899999999995</v>
      </c>
      <c r="L130" s="21">
        <f t="shared" si="65"/>
        <v>51183.5</v>
      </c>
      <c r="M130">
        <f t="shared" si="66"/>
        <v>60320.899999999994</v>
      </c>
      <c r="N130">
        <f t="shared" si="82"/>
        <v>3.9790654540000005E-2</v>
      </c>
      <c r="O130">
        <f t="shared" si="83"/>
        <v>0.99965350861767799</v>
      </c>
      <c r="P130">
        <f t="shared" si="106"/>
        <v>3.9776867421104942E-5</v>
      </c>
      <c r="Q130">
        <f t="shared" si="107"/>
        <v>0.99961373175025692</v>
      </c>
      <c r="R130">
        <f t="shared" si="84"/>
        <v>58392.260572130115</v>
      </c>
      <c r="S130">
        <f t="shared" si="85"/>
        <v>999.65350861767797</v>
      </c>
      <c r="T130">
        <f t="shared" si="68"/>
        <v>60297.599951534066</v>
      </c>
      <c r="U130" s="22">
        <f t="shared" si="119"/>
        <v>999.61373175025687</v>
      </c>
      <c r="V130" s="1">
        <f t="shared" si="69"/>
        <v>0</v>
      </c>
      <c r="W130" s="1">
        <f t="shared" si="70"/>
        <v>0</v>
      </c>
      <c r="X130" s="1">
        <f t="shared" si="71"/>
        <v>-196.13201839078843</v>
      </c>
      <c r="Y130" s="1">
        <f t="shared" si="86"/>
        <v>-3.9776867421104942</v>
      </c>
      <c r="Z130" s="1">
        <f t="shared" si="72"/>
        <v>-200.10970513289894</v>
      </c>
      <c r="AA130" s="1">
        <f t="shared" si="73"/>
        <v>-1905.3393794039512</v>
      </c>
      <c r="AB130" s="1">
        <f t="shared" si="121"/>
        <v>3266.5552744411289</v>
      </c>
      <c r="AC130" s="1">
        <f t="shared" si="75"/>
        <v>1161.1061899042788</v>
      </c>
      <c r="AD130" s="1">
        <f t="shared" si="76"/>
        <v>3.977686742109654E-2</v>
      </c>
      <c r="AE130">
        <f t="shared" si="77"/>
        <v>1161.1459667716999</v>
      </c>
      <c r="AG130" s="19">
        <v>34</v>
      </c>
      <c r="AH130" s="19">
        <f t="shared" ref="AH130:AK130" si="125">AH43</f>
        <v>0.70484133756582912</v>
      </c>
      <c r="AI130" s="19">
        <f t="shared" si="125"/>
        <v>2.8046098168593433E-2</v>
      </c>
      <c r="AJ130" s="19">
        <f t="shared" si="125"/>
        <v>603.20899999999995</v>
      </c>
      <c r="AK130" s="19">
        <f t="shared" si="125"/>
        <v>511.83499999999998</v>
      </c>
    </row>
    <row r="131" spans="5:37">
      <c r="E131">
        <v>35</v>
      </c>
      <c r="F131" s="13"/>
      <c r="G131" s="13">
        <f t="shared" si="123"/>
        <v>0</v>
      </c>
      <c r="H131" s="13">
        <f t="shared" si="124"/>
        <v>196.20000000000002</v>
      </c>
      <c r="I131" s="13">
        <f t="shared" si="81"/>
        <v>100000</v>
      </c>
      <c r="J131" s="13">
        <f t="shared" si="63"/>
        <v>532.745</v>
      </c>
      <c r="K131" s="5">
        <f t="shared" si="64"/>
        <v>621.9</v>
      </c>
      <c r="L131" s="21">
        <f t="shared" si="65"/>
        <v>53274.5</v>
      </c>
      <c r="M131">
        <f t="shared" si="66"/>
        <v>62190</v>
      </c>
      <c r="N131">
        <f t="shared" si="82"/>
        <v>4.4814722680000002E-2</v>
      </c>
      <c r="O131">
        <f t="shared" si="83"/>
        <v>0.99961373175025692</v>
      </c>
      <c r="P131">
        <f t="shared" si="106"/>
        <v>4.4797412175507678E-5</v>
      </c>
      <c r="Q131">
        <f t="shared" si="107"/>
        <v>0.99956893433808136</v>
      </c>
      <c r="R131">
        <f t="shared" si="84"/>
        <v>60297.599951534066</v>
      </c>
      <c r="S131">
        <f t="shared" si="85"/>
        <v>999.61373175025687</v>
      </c>
      <c r="T131">
        <f t="shared" si="68"/>
        <v>62163.192026485282</v>
      </c>
      <c r="U131" s="22">
        <f t="shared" si="119"/>
        <v>999.56893433808136</v>
      </c>
      <c r="V131" s="1">
        <f t="shared" si="69"/>
        <v>0</v>
      </c>
      <c r="W131" s="1">
        <f t="shared" si="70"/>
        <v>0</v>
      </c>
      <c r="X131" s="1">
        <f t="shared" si="71"/>
        <v>-196.12421416940043</v>
      </c>
      <c r="Y131" s="1">
        <f t="shared" si="86"/>
        <v>-4.4797412175507683</v>
      </c>
      <c r="Z131" s="1">
        <f t="shared" si="72"/>
        <v>-200.60395538695121</v>
      </c>
      <c r="AA131" s="1">
        <f t="shared" si="73"/>
        <v>-1865.5920749512152</v>
      </c>
      <c r="AB131" s="1">
        <f t="shared" si="121"/>
        <v>3371.3467525806377</v>
      </c>
      <c r="AC131" s="1">
        <f t="shared" si="75"/>
        <v>1305.1507222424711</v>
      </c>
      <c r="AD131" s="1">
        <f t="shared" si="76"/>
        <v>4.4797412175512363E-2</v>
      </c>
      <c r="AE131">
        <f t="shared" si="77"/>
        <v>1305.1955196546467</v>
      </c>
      <c r="AG131" s="19">
        <v>35</v>
      </c>
      <c r="AH131" s="19">
        <f t="shared" ref="AH131:AK131" si="126">AH44</f>
        <v>0.67679523939723574</v>
      </c>
      <c r="AI131" s="19">
        <f t="shared" si="126"/>
        <v>3.0330390964731332E-2</v>
      </c>
      <c r="AJ131" s="19">
        <f t="shared" si="126"/>
        <v>621.9</v>
      </c>
      <c r="AK131" s="19">
        <f t="shared" si="126"/>
        <v>532.745</v>
      </c>
    </row>
    <row r="132" spans="5:37">
      <c r="E132">
        <v>36</v>
      </c>
      <c r="F132" s="13"/>
      <c r="G132" s="13">
        <f t="shared" si="123"/>
        <v>0</v>
      </c>
      <c r="H132" s="13">
        <f t="shared" si="124"/>
        <v>196.20000000000002</v>
      </c>
      <c r="I132" s="13">
        <f t="shared" si="81"/>
        <v>100000</v>
      </c>
      <c r="J132" s="13">
        <f t="shared" si="63"/>
        <v>553.38599999999997</v>
      </c>
      <c r="K132" s="5">
        <f t="shared" si="64"/>
        <v>640.18600000000004</v>
      </c>
      <c r="L132" s="21">
        <f t="shared" si="65"/>
        <v>55338.6</v>
      </c>
      <c r="M132">
        <f t="shared" si="66"/>
        <v>64018.6</v>
      </c>
      <c r="N132">
        <f t="shared" si="82"/>
        <v>5.0298218879999995E-2</v>
      </c>
      <c r="O132">
        <f t="shared" si="83"/>
        <v>0.99956893433808136</v>
      </c>
      <c r="P132">
        <f t="shared" si="106"/>
        <v>5.0276537044985161E-5</v>
      </c>
      <c r="Q132">
        <f t="shared" si="107"/>
        <v>0.99951865780103633</v>
      </c>
      <c r="R132">
        <f t="shared" si="84"/>
        <v>62163.192026485282</v>
      </c>
      <c r="S132">
        <f t="shared" si="85"/>
        <v>999.56893433808136</v>
      </c>
      <c r="T132">
        <f t="shared" si="68"/>
        <v>63987.785146301423</v>
      </c>
      <c r="U132" s="22">
        <f t="shared" si="119"/>
        <v>999.51865780103628</v>
      </c>
      <c r="V132" s="1">
        <f t="shared" si="69"/>
        <v>0</v>
      </c>
      <c r="W132" s="1">
        <f t="shared" si="70"/>
        <v>0</v>
      </c>
      <c r="X132" s="1">
        <f t="shared" si="71"/>
        <v>-196.11542491713158</v>
      </c>
      <c r="Y132" s="1">
        <f t="shared" si="86"/>
        <v>-5.0276537044985163</v>
      </c>
      <c r="Z132" s="1">
        <f t="shared" si="72"/>
        <v>-201.14307862163008</v>
      </c>
      <c r="AA132" s="1">
        <f t="shared" si="73"/>
        <v>-1824.5931198161416</v>
      </c>
      <c r="AB132" s="1">
        <f t="shared" si="121"/>
        <v>3473.951852845285</v>
      </c>
      <c r="AC132" s="1">
        <f t="shared" si="75"/>
        <v>1448.2156544075133</v>
      </c>
      <c r="AD132" s="1">
        <f t="shared" si="76"/>
        <v>5.027653704507884E-2</v>
      </c>
      <c r="AE132">
        <f t="shared" si="77"/>
        <v>1448.2659309445585</v>
      </c>
      <c r="AG132" s="19">
        <v>36</v>
      </c>
      <c r="AH132" s="19">
        <f t="shared" ref="AH132:AK132" si="127">AH45</f>
        <v>0.6464648484325044</v>
      </c>
      <c r="AI132" s="19">
        <f t="shared" si="127"/>
        <v>3.2516030444684131E-2</v>
      </c>
      <c r="AJ132" s="19">
        <f t="shared" si="127"/>
        <v>640.18600000000004</v>
      </c>
      <c r="AK132" s="19">
        <f t="shared" si="127"/>
        <v>553.38599999999997</v>
      </c>
    </row>
    <row r="133" spans="5:37">
      <c r="E133">
        <v>37</v>
      </c>
      <c r="F133" s="13"/>
      <c r="G133" s="13">
        <f t="shared" si="123"/>
        <v>0</v>
      </c>
      <c r="H133" s="13">
        <f t="shared" si="124"/>
        <v>196.20000000000002</v>
      </c>
      <c r="I133" s="13">
        <f t="shared" si="81"/>
        <v>100000</v>
      </c>
      <c r="J133" s="13">
        <f t="shared" si="63"/>
        <v>573.71799999999996</v>
      </c>
      <c r="K133" s="5">
        <f t="shared" si="64"/>
        <v>658.04</v>
      </c>
      <c r="L133" s="21">
        <f t="shared" si="65"/>
        <v>57371.799999999996</v>
      </c>
      <c r="M133">
        <f t="shared" si="66"/>
        <v>65804</v>
      </c>
      <c r="N133">
        <f t="shared" si="82"/>
        <v>5.63257058E-2</v>
      </c>
      <c r="O133">
        <f t="shared" si="83"/>
        <v>0.99951865780103633</v>
      </c>
      <c r="P133">
        <f t="shared" si="106"/>
        <v>5.6298593860912054E-5</v>
      </c>
      <c r="Q133">
        <f t="shared" si="107"/>
        <v>0.99946235920717541</v>
      </c>
      <c r="R133">
        <f t="shared" si="84"/>
        <v>63987.785146301423</v>
      </c>
      <c r="S133">
        <f t="shared" si="85"/>
        <v>999.51865780103628</v>
      </c>
      <c r="T133">
        <f t="shared" si="68"/>
        <v>65768.621085268969</v>
      </c>
      <c r="U133" s="22">
        <f t="shared" si="119"/>
        <v>999.46235920717538</v>
      </c>
      <c r="V133" s="1">
        <f t="shared" si="69"/>
        <v>0</v>
      </c>
      <c r="W133" s="1">
        <f t="shared" si="70"/>
        <v>0</v>
      </c>
      <c r="X133" s="1">
        <f t="shared" si="71"/>
        <v>-196.10556066056336</v>
      </c>
      <c r="Y133" s="1">
        <f t="shared" si="86"/>
        <v>-5.629859386091205</v>
      </c>
      <c r="Z133" s="1">
        <f t="shared" si="72"/>
        <v>-201.73542004665455</v>
      </c>
      <c r="AA133" s="1">
        <f t="shared" si="73"/>
        <v>-1780.8359389675461</v>
      </c>
      <c r="AB133" s="1">
        <f t="shared" si="121"/>
        <v>3574.3017092256355</v>
      </c>
      <c r="AC133" s="1">
        <f t="shared" si="75"/>
        <v>1591.7303502114348</v>
      </c>
      <c r="AD133" s="1">
        <f t="shared" si="76"/>
        <v>5.6298593860901747E-2</v>
      </c>
      <c r="AE133">
        <f t="shared" si="77"/>
        <v>1591.7866488052957</v>
      </c>
      <c r="AG133" s="19">
        <v>37</v>
      </c>
      <c r="AH133" s="19">
        <f t="shared" ref="AH133:AK133" si="128">AH46</f>
        <v>0.61394881798782031</v>
      </c>
      <c r="AI133" s="19">
        <f t="shared" si="128"/>
        <v>3.4581100498239717E-2</v>
      </c>
      <c r="AJ133" s="19">
        <f t="shared" si="128"/>
        <v>658.04</v>
      </c>
      <c r="AK133" s="19">
        <f t="shared" si="128"/>
        <v>573.71799999999996</v>
      </c>
    </row>
    <row r="134" spans="5:37">
      <c r="E134">
        <v>38</v>
      </c>
      <c r="F134" s="13"/>
      <c r="G134" s="13">
        <f t="shared" si="123"/>
        <v>0</v>
      </c>
      <c r="H134" s="13">
        <f t="shared" si="124"/>
        <v>196.20000000000002</v>
      </c>
      <c r="I134" s="13">
        <f t="shared" si="81"/>
        <v>100000</v>
      </c>
      <c r="J134" s="13">
        <f t="shared" si="63"/>
        <v>593.63699999999994</v>
      </c>
      <c r="K134" s="5">
        <f t="shared" si="64"/>
        <v>675.38400000000001</v>
      </c>
      <c r="L134" s="21">
        <f t="shared" si="65"/>
        <v>59363.69999999999</v>
      </c>
      <c r="M134">
        <f t="shared" si="66"/>
        <v>67538.399999999994</v>
      </c>
      <c r="N134">
        <f t="shared" si="82"/>
        <v>6.3106410639999999E-2</v>
      </c>
      <c r="O134">
        <f t="shared" si="83"/>
        <v>0.99946235920717541</v>
      </c>
      <c r="P134">
        <f t="shared" si="106"/>
        <v>6.3072482059351186E-5</v>
      </c>
      <c r="Q134">
        <f t="shared" si="107"/>
        <v>0.99939928672511602</v>
      </c>
      <c r="R134">
        <f t="shared" si="84"/>
        <v>65768.621085268969</v>
      </c>
      <c r="S134">
        <f t="shared" si="85"/>
        <v>999.46235920717538</v>
      </c>
      <c r="T134">
        <f t="shared" si="68"/>
        <v>67497.828786555576</v>
      </c>
      <c r="U134" s="22">
        <f t="shared" si="119"/>
        <v>999.39928672511599</v>
      </c>
      <c r="V134" s="1">
        <f t="shared" si="69"/>
        <v>0</v>
      </c>
      <c r="W134" s="1">
        <f t="shared" si="70"/>
        <v>0</v>
      </c>
      <c r="X134" s="1">
        <f t="shared" si="71"/>
        <v>-196.09451487644785</v>
      </c>
      <c r="Y134" s="1">
        <f t="shared" si="86"/>
        <v>-6.3072482059351183</v>
      </c>
      <c r="Z134" s="1">
        <f t="shared" si="72"/>
        <v>-202.40176308238296</v>
      </c>
      <c r="AA134" s="1">
        <f t="shared" si="73"/>
        <v>-1729.2077012866066</v>
      </c>
      <c r="AB134" s="1">
        <f t="shared" si="121"/>
        <v>3672.244589446188</v>
      </c>
      <c r="AC134" s="1">
        <f t="shared" si="75"/>
        <v>1740.6351250771984</v>
      </c>
      <c r="AD134" s="1">
        <f t="shared" si="76"/>
        <v>6.3072482059396862E-2</v>
      </c>
      <c r="AE134">
        <f t="shared" si="77"/>
        <v>1740.6981975592578</v>
      </c>
      <c r="AG134" s="19">
        <v>38</v>
      </c>
      <c r="AH134" s="19">
        <f t="shared" ref="AH134:AK134" si="129">AH47</f>
        <v>0.5793677174895806</v>
      </c>
      <c r="AI134" s="19">
        <f t="shared" si="129"/>
        <v>3.6561817091456984E-2</v>
      </c>
      <c r="AJ134" s="19">
        <f t="shared" si="129"/>
        <v>675.38400000000001</v>
      </c>
      <c r="AK134" s="19">
        <f t="shared" si="129"/>
        <v>593.63699999999994</v>
      </c>
    </row>
    <row r="135" spans="5:37">
      <c r="E135">
        <v>39</v>
      </c>
      <c r="F135" s="13"/>
      <c r="G135" s="13">
        <f t="shared" si="123"/>
        <v>0</v>
      </c>
      <c r="H135" s="13">
        <f t="shared" si="124"/>
        <v>196.20000000000002</v>
      </c>
      <c r="I135" s="13">
        <f t="shared" si="81"/>
        <v>100000</v>
      </c>
      <c r="J135" s="13">
        <f t="shared" si="63"/>
        <v>613.02599999999995</v>
      </c>
      <c r="K135" s="5">
        <f t="shared" si="64"/>
        <v>692.13199999999995</v>
      </c>
      <c r="L135" s="21">
        <f t="shared" si="65"/>
        <v>61302.599999999991</v>
      </c>
      <c r="M135">
        <f t="shared" si="66"/>
        <v>69213.2</v>
      </c>
      <c r="N135">
        <f t="shared" si="82"/>
        <v>7.0726639620000004E-2</v>
      </c>
      <c r="O135">
        <f t="shared" si="83"/>
        <v>0.99939928672511602</v>
      </c>
      <c r="P135">
        <f t="shared" si="106"/>
        <v>7.0684153188692338E-5</v>
      </c>
      <c r="Q135">
        <f t="shared" si="107"/>
        <v>0.99932860257192735</v>
      </c>
      <c r="R135">
        <f t="shared" si="84"/>
        <v>67497.828786555576</v>
      </c>
      <c r="S135">
        <f t="shared" si="85"/>
        <v>999.39928672511599</v>
      </c>
      <c r="T135">
        <f t="shared" si="68"/>
        <v>69166.730435531324</v>
      </c>
      <c r="U135" s="22">
        <f t="shared" si="119"/>
        <v>999.32860257192738</v>
      </c>
      <c r="V135" s="1">
        <f t="shared" si="69"/>
        <v>0</v>
      </c>
      <c r="W135" s="1">
        <f t="shared" si="70"/>
        <v>0</v>
      </c>
      <c r="X135" s="1">
        <f t="shared" si="71"/>
        <v>-196.08214005546779</v>
      </c>
      <c r="Y135" s="1">
        <f t="shared" si="86"/>
        <v>-7.068415318869234</v>
      </c>
      <c r="Z135" s="1">
        <f t="shared" si="72"/>
        <v>-203.15055537433702</v>
      </c>
      <c r="AA135" s="1">
        <f t="shared" si="73"/>
        <v>-1668.9016489757487</v>
      </c>
      <c r="AB135" s="1">
        <f t="shared" si="121"/>
        <v>3767.3475440304383</v>
      </c>
      <c r="AC135" s="1">
        <f t="shared" si="75"/>
        <v>1895.2953396803525</v>
      </c>
      <c r="AD135" s="1">
        <f t="shared" si="76"/>
        <v>7.0684153188608434E-2</v>
      </c>
      <c r="AE135">
        <f t="shared" si="77"/>
        <v>1895.366023833541</v>
      </c>
      <c r="AG135" s="19">
        <v>39</v>
      </c>
      <c r="AH135" s="19">
        <f t="shared" ref="AH135:AK135" si="130">AH48</f>
        <v>0.5428059003981236</v>
      </c>
      <c r="AI135" s="19">
        <f t="shared" si="130"/>
        <v>3.8390837301067703E-2</v>
      </c>
      <c r="AJ135" s="19">
        <f t="shared" si="130"/>
        <v>692.13199999999995</v>
      </c>
      <c r="AK135" s="19">
        <f t="shared" si="130"/>
        <v>613.02599999999995</v>
      </c>
    </row>
    <row r="136" spans="5:37">
      <c r="E136">
        <v>40</v>
      </c>
      <c r="F136" s="13"/>
      <c r="G136" s="13">
        <f t="shared" si="123"/>
        <v>0</v>
      </c>
      <c r="H136" s="13">
        <f t="shared" si="124"/>
        <v>196.20000000000002</v>
      </c>
      <c r="I136" s="13">
        <f t="shared" si="81"/>
        <v>100000</v>
      </c>
      <c r="J136" s="13">
        <f t="shared" si="63"/>
        <v>631.73699999999997</v>
      </c>
      <c r="K136" s="5">
        <f t="shared" si="64"/>
        <v>708.17700000000002</v>
      </c>
      <c r="L136" s="21">
        <f t="shared" si="65"/>
        <v>63173.7</v>
      </c>
      <c r="M136">
        <f t="shared" si="66"/>
        <v>70817.7</v>
      </c>
      <c r="N136">
        <f t="shared" si="82"/>
        <v>7.9320646859999996E-2</v>
      </c>
      <c r="O136">
        <f t="shared" si="83"/>
        <v>0.99932860257192735</v>
      </c>
      <c r="P136">
        <f t="shared" si="106"/>
        <v>7.9267391181705123E-5</v>
      </c>
      <c r="Q136">
        <f t="shared" si="107"/>
        <v>0.99924933518074566</v>
      </c>
      <c r="R136">
        <f t="shared" si="84"/>
        <v>69166.730435531324</v>
      </c>
      <c r="S136">
        <f t="shared" si="85"/>
        <v>999.32860257192738</v>
      </c>
      <c r="T136">
        <f t="shared" si="68"/>
        <v>70764.539644029486</v>
      </c>
      <c r="U136" s="22">
        <f t="shared" si="119"/>
        <v>999.24933518074567</v>
      </c>
      <c r="V136" s="1">
        <f t="shared" si="69"/>
        <v>0</v>
      </c>
      <c r="W136" s="1">
        <f t="shared" si="70"/>
        <v>0</v>
      </c>
      <c r="X136" s="1">
        <f t="shared" si="71"/>
        <v>-196.06827182461217</v>
      </c>
      <c r="Y136" s="1">
        <f t="shared" si="86"/>
        <v>-7.926739118170512</v>
      </c>
      <c r="Z136" s="1">
        <f t="shared" si="72"/>
        <v>-203.99501094278267</v>
      </c>
      <c r="AA136" s="1">
        <f t="shared" si="73"/>
        <v>-1597.8092084981618</v>
      </c>
      <c r="AB136" s="1">
        <f t="shared" si="121"/>
        <v>3859.1332470956791</v>
      </c>
      <c r="AC136" s="1">
        <f t="shared" si="75"/>
        <v>2057.3290276547345</v>
      </c>
      <c r="AD136" s="1">
        <f t="shared" si="76"/>
        <v>7.9267391181701896E-2</v>
      </c>
      <c r="AE136">
        <f t="shared" si="77"/>
        <v>2057.408295045916</v>
      </c>
      <c r="AG136" s="19">
        <v>40</v>
      </c>
      <c r="AH136" s="19">
        <f t="shared" ref="AH136:AK136" si="131">AH49</f>
        <v>0.50441506309705586</v>
      </c>
      <c r="AI136" s="19">
        <f t="shared" si="131"/>
        <v>4.0010529090786187E-2</v>
      </c>
      <c r="AJ136" s="19">
        <f t="shared" si="131"/>
        <v>708.17700000000002</v>
      </c>
      <c r="AK136" s="19">
        <f t="shared" si="131"/>
        <v>631.73699999999997</v>
      </c>
    </row>
    <row r="137" spans="5:37">
      <c r="E137">
        <v>41</v>
      </c>
      <c r="F137" s="13"/>
      <c r="G137" s="13">
        <f t="shared" si="123"/>
        <v>0</v>
      </c>
      <c r="H137" s="13">
        <f t="shared" si="124"/>
        <v>196.20000000000002</v>
      </c>
      <c r="I137" s="13">
        <f t="shared" si="81"/>
        <v>100000</v>
      </c>
      <c r="J137" s="13">
        <f t="shared" si="63"/>
        <v>649.74699999999996</v>
      </c>
      <c r="K137" s="5">
        <f t="shared" si="64"/>
        <v>723.51400000000001</v>
      </c>
      <c r="L137" s="21">
        <f t="shared" si="65"/>
        <v>64974.69999999999</v>
      </c>
      <c r="M137">
        <f t="shared" si="66"/>
        <v>72351.399999999994</v>
      </c>
      <c r="N137">
        <f t="shared" si="82"/>
        <v>8.8604232079999998E-2</v>
      </c>
      <c r="O137">
        <f t="shared" si="83"/>
        <v>0.99924933518074566</v>
      </c>
      <c r="P137">
        <f t="shared" si="106"/>
        <v>8.8537720000140505E-5</v>
      </c>
      <c r="Q137">
        <f t="shared" si="107"/>
        <v>0.99916079746074549</v>
      </c>
      <c r="R137">
        <f t="shared" si="84"/>
        <v>70764.539644029486</v>
      </c>
      <c r="S137">
        <f t="shared" si="85"/>
        <v>999.24933518074567</v>
      </c>
      <c r="T137">
        <f t="shared" si="68"/>
        <v>72290.682521401381</v>
      </c>
      <c r="U137" s="22">
        <f t="shared" si="119"/>
        <v>999.16079746074547</v>
      </c>
      <c r="V137" s="1">
        <f t="shared" si="69"/>
        <v>0</v>
      </c>
      <c r="W137" s="1">
        <f t="shared" si="70"/>
        <v>0</v>
      </c>
      <c r="X137" s="1">
        <f t="shared" si="71"/>
        <v>-196.05271956246233</v>
      </c>
      <c r="Y137" s="1">
        <f t="shared" si="86"/>
        <v>-8.8537720000140503</v>
      </c>
      <c r="Z137" s="1">
        <f t="shared" si="72"/>
        <v>-204.90649156247639</v>
      </c>
      <c r="AA137" s="1">
        <f t="shared" si="73"/>
        <v>-1526.1428773718944</v>
      </c>
      <c r="AB137" s="1">
        <f t="shared" si="121"/>
        <v>3947.0083938565631</v>
      </c>
      <c r="AC137" s="1">
        <f t="shared" si="75"/>
        <v>2215.9590249221924</v>
      </c>
      <c r="AD137" s="1">
        <f t="shared" si="76"/>
        <v>8.853772000020399E-2</v>
      </c>
      <c r="AE137">
        <f t="shared" si="77"/>
        <v>2216.0475626421926</v>
      </c>
      <c r="AG137" s="19">
        <v>41</v>
      </c>
      <c r="AH137" s="19">
        <f t="shared" ref="AH137:AK137" si="132">AH50</f>
        <v>0.46440453400626969</v>
      </c>
      <c r="AI137" s="19">
        <f t="shared" si="132"/>
        <v>4.1148207110095772E-2</v>
      </c>
      <c r="AJ137" s="19">
        <f t="shared" si="132"/>
        <v>723.51400000000001</v>
      </c>
      <c r="AK137" s="19">
        <f t="shared" si="132"/>
        <v>649.74699999999996</v>
      </c>
    </row>
    <row r="138" spans="5:37">
      <c r="E138">
        <v>42</v>
      </c>
      <c r="F138" s="13"/>
      <c r="G138" s="13">
        <f t="shared" si="123"/>
        <v>0</v>
      </c>
      <c r="H138" s="13">
        <f t="shared" si="124"/>
        <v>196.20000000000002</v>
      </c>
      <c r="I138" s="13">
        <f t="shared" si="81"/>
        <v>100000</v>
      </c>
      <c r="J138" s="13">
        <f t="shared" si="63"/>
        <v>667.15099999999995</v>
      </c>
      <c r="K138" s="5">
        <f t="shared" si="64"/>
        <v>738.22900000000004</v>
      </c>
      <c r="L138" s="21">
        <f t="shared" si="65"/>
        <v>66715.099999999991</v>
      </c>
      <c r="M138">
        <f t="shared" si="66"/>
        <v>73822.899999999994</v>
      </c>
      <c r="N138">
        <f t="shared" si="82"/>
        <v>9.830452814E-2</v>
      </c>
      <c r="O138">
        <f t="shared" si="83"/>
        <v>0.99916079746074549</v>
      </c>
      <c r="P138">
        <f t="shared" si="106"/>
        <v>9.82220307303647E-5</v>
      </c>
      <c r="Q138">
        <f t="shared" si="107"/>
        <v>0.99906257543001509</v>
      </c>
      <c r="R138">
        <f t="shared" si="84"/>
        <v>72290.682521401381</v>
      </c>
      <c r="S138">
        <f t="shared" si="85"/>
        <v>999.16079746074547</v>
      </c>
      <c r="T138">
        <f t="shared" si="68"/>
        <v>73753.69659971245</v>
      </c>
      <c r="U138" s="22">
        <f t="shared" si="119"/>
        <v>999.06257543001504</v>
      </c>
      <c r="V138" s="1">
        <f t="shared" si="69"/>
        <v>0</v>
      </c>
      <c r="W138" s="1">
        <f t="shared" si="70"/>
        <v>0</v>
      </c>
      <c r="X138" s="1">
        <f t="shared" si="71"/>
        <v>-196.03534846179829</v>
      </c>
      <c r="Y138" s="1">
        <f t="shared" si="86"/>
        <v>-9.8222030730364693</v>
      </c>
      <c r="Z138" s="1">
        <f t="shared" si="72"/>
        <v>-205.85755153483476</v>
      </c>
      <c r="AA138" s="1">
        <f t="shared" si="73"/>
        <v>-1463.0140783110692</v>
      </c>
      <c r="AB138" s="1">
        <f t="shared" si="121"/>
        <v>4030.9413825374172</v>
      </c>
      <c r="AC138" s="1">
        <f t="shared" si="75"/>
        <v>2362.0697526915133</v>
      </c>
      <c r="AD138" s="1">
        <f t="shared" si="76"/>
        <v>9.8222030730426013E-2</v>
      </c>
      <c r="AE138">
        <f t="shared" si="77"/>
        <v>2362.1679747222438</v>
      </c>
      <c r="AG138" s="19">
        <v>42</v>
      </c>
      <c r="AH138" s="19">
        <f t="shared" ref="AH138:AK138" si="133">AH51</f>
        <v>0.42325632689617393</v>
      </c>
      <c r="AI138" s="19">
        <f t="shared" si="133"/>
        <v>4.1608013497797969E-2</v>
      </c>
      <c r="AJ138" s="19">
        <f t="shared" si="133"/>
        <v>738.22900000000004</v>
      </c>
      <c r="AK138" s="19">
        <f t="shared" si="133"/>
        <v>667.15099999999995</v>
      </c>
    </row>
    <row r="139" spans="5:37">
      <c r="E139">
        <v>43</v>
      </c>
      <c r="F139" s="13"/>
      <c r="G139" s="13">
        <f t="shared" si="123"/>
        <v>0</v>
      </c>
      <c r="H139" s="13">
        <f t="shared" si="124"/>
        <v>196.20000000000002</v>
      </c>
      <c r="I139" s="13">
        <f t="shared" si="81"/>
        <v>100000</v>
      </c>
      <c r="J139" s="13">
        <f t="shared" si="63"/>
        <v>683.899</v>
      </c>
      <c r="K139" s="5">
        <f t="shared" si="64"/>
        <v>752.29200000000003</v>
      </c>
      <c r="L139" s="21">
        <f t="shared" si="65"/>
        <v>68389.899999999994</v>
      </c>
      <c r="M139">
        <f t="shared" si="66"/>
        <v>75229.2</v>
      </c>
      <c r="N139">
        <f t="shared" si="82"/>
        <v>0.10889403979999999</v>
      </c>
      <c r="O139">
        <f t="shared" si="83"/>
        <v>0.99906257543001509</v>
      </c>
      <c r="P139">
        <f t="shared" si="106"/>
        <v>1.0879195985156656E-4</v>
      </c>
      <c r="Q139">
        <f t="shared" si="107"/>
        <v>0.9989537834701635</v>
      </c>
      <c r="R139">
        <f t="shared" si="84"/>
        <v>73753.69659971245</v>
      </c>
      <c r="S139">
        <f t="shared" si="85"/>
        <v>999.06257543001504</v>
      </c>
      <c r="T139">
        <f t="shared" si="68"/>
        <v>75150.49396743362</v>
      </c>
      <c r="U139" s="22">
        <f t="shared" si="119"/>
        <v>998.95378347016356</v>
      </c>
      <c r="V139" s="1">
        <f t="shared" si="69"/>
        <v>0</v>
      </c>
      <c r="W139" s="1">
        <f t="shared" si="70"/>
        <v>0</v>
      </c>
      <c r="X139" s="1">
        <f t="shared" si="71"/>
        <v>-196.01607729936899</v>
      </c>
      <c r="Y139" s="1">
        <f t="shared" si="86"/>
        <v>-10.879195985156656</v>
      </c>
      <c r="Z139" s="1">
        <f t="shared" si="72"/>
        <v>-206.89527328452564</v>
      </c>
      <c r="AA139" s="1">
        <f t="shared" si="73"/>
        <v>-1396.7973677211703</v>
      </c>
      <c r="AB139" s="1">
        <f t="shared" si="121"/>
        <v>4111.401754632835</v>
      </c>
      <c r="AC139" s="1">
        <f t="shared" si="75"/>
        <v>2507.7091136271392</v>
      </c>
      <c r="AD139" s="1">
        <f t="shared" si="76"/>
        <v>0.10879195985148726</v>
      </c>
      <c r="AE139">
        <f t="shared" si="77"/>
        <v>2507.8179055869905</v>
      </c>
      <c r="AG139" s="19">
        <v>43</v>
      </c>
      <c r="AH139" s="19">
        <f t="shared" ref="AH139:AK139" si="134">AH52</f>
        <v>0.38164831339837596</v>
      </c>
      <c r="AI139" s="19">
        <f t="shared" si="134"/>
        <v>4.1559226628805623E-2</v>
      </c>
      <c r="AJ139" s="19">
        <f t="shared" si="134"/>
        <v>752.29200000000003</v>
      </c>
      <c r="AK139" s="19">
        <f t="shared" si="134"/>
        <v>683.899</v>
      </c>
    </row>
    <row r="140" spans="5:37">
      <c r="E140">
        <v>44</v>
      </c>
      <c r="F140" s="13"/>
      <c r="G140" s="13">
        <f t="shared" si="123"/>
        <v>0</v>
      </c>
      <c r="H140" s="13">
        <f t="shared" si="124"/>
        <v>196.20000000000002</v>
      </c>
      <c r="I140" s="13">
        <f t="shared" si="81"/>
        <v>100000</v>
      </c>
      <c r="J140" s="13">
        <f t="shared" si="63"/>
        <v>699.96900000000005</v>
      </c>
      <c r="K140" s="5">
        <f t="shared" si="64"/>
        <v>765.697</v>
      </c>
      <c r="L140" s="21">
        <f t="shared" si="65"/>
        <v>69996.899999999994</v>
      </c>
      <c r="M140">
        <f t="shared" si="66"/>
        <v>76569.7</v>
      </c>
      <c r="N140">
        <f t="shared" si="82"/>
        <v>0.12033266517999999</v>
      </c>
      <c r="O140">
        <f t="shared" si="83"/>
        <v>0.9989537834701635</v>
      </c>
      <c r="P140">
        <f t="shared" si="106"/>
        <v>1.202067711566094E-4</v>
      </c>
      <c r="Q140">
        <f t="shared" si="107"/>
        <v>0.99883357669900685</v>
      </c>
      <c r="R140">
        <f t="shared" si="84"/>
        <v>75150.49396743362</v>
      </c>
      <c r="S140">
        <f t="shared" si="85"/>
        <v>998.95378347016356</v>
      </c>
      <c r="T140">
        <f t="shared" si="68"/>
        <v>76480.387317769942</v>
      </c>
      <c r="U140" s="22">
        <f t="shared" si="119"/>
        <v>998.83357669900681</v>
      </c>
      <c r="V140" s="1">
        <f t="shared" si="69"/>
        <v>0</v>
      </c>
      <c r="W140" s="1">
        <f t="shared" si="70"/>
        <v>0</v>
      </c>
      <c r="X140" s="1">
        <f t="shared" si="71"/>
        <v>-195.9947323168461</v>
      </c>
      <c r="Y140" s="1">
        <f t="shared" si="86"/>
        <v>-12.02067711566094</v>
      </c>
      <c r="Z140" s="1">
        <f t="shared" si="72"/>
        <v>-208.01540943250703</v>
      </c>
      <c r="AA140" s="1">
        <f t="shared" si="73"/>
        <v>-1329.8933503363223</v>
      </c>
      <c r="AB140" s="1">
        <f t="shared" si="121"/>
        <v>4188.2196262997077</v>
      </c>
      <c r="AC140" s="1">
        <f t="shared" si="75"/>
        <v>2650.3108665308782</v>
      </c>
      <c r="AD140" s="1">
        <f t="shared" si="76"/>
        <v>0.12020677115674516</v>
      </c>
      <c r="AE140">
        <f t="shared" si="77"/>
        <v>2650.4310733020347</v>
      </c>
      <c r="AG140" s="19">
        <v>44</v>
      </c>
      <c r="AH140" s="19">
        <f t="shared" ref="AH140:AK140" si="135">AH53</f>
        <v>0.34008908676957034</v>
      </c>
      <c r="AI140" s="19">
        <f t="shared" si="135"/>
        <v>4.0923826209614669E-2</v>
      </c>
      <c r="AJ140" s="19">
        <f t="shared" si="135"/>
        <v>765.697</v>
      </c>
      <c r="AK140" s="19">
        <f t="shared" si="135"/>
        <v>699.96900000000005</v>
      </c>
    </row>
    <row r="141" spans="5:37">
      <c r="E141">
        <v>45</v>
      </c>
      <c r="F141" s="13"/>
      <c r="G141" s="13">
        <f t="shared" si="123"/>
        <v>0</v>
      </c>
      <c r="H141" s="13">
        <f t="shared" si="124"/>
        <v>196.20000000000002</v>
      </c>
      <c r="I141" s="13">
        <f t="shared" si="81"/>
        <v>100000</v>
      </c>
      <c r="J141" s="13">
        <f t="shared" si="63"/>
        <v>715.25400000000002</v>
      </c>
      <c r="K141" s="5">
        <f t="shared" si="64"/>
        <v>778.37</v>
      </c>
      <c r="L141" s="21">
        <f t="shared" si="65"/>
        <v>71525.399999999994</v>
      </c>
      <c r="M141">
        <f t="shared" si="66"/>
        <v>77837</v>
      </c>
      <c r="N141">
        <f t="shared" si="82"/>
        <v>0.13293686042000002</v>
      </c>
      <c r="O141">
        <f t="shared" si="83"/>
        <v>0.99883357669900685</v>
      </c>
      <c r="P141">
        <f t="shared" si="106"/>
        <v>1.3278179976844526E-4</v>
      </c>
      <c r="Q141">
        <f t="shared" si="107"/>
        <v>0.99870079489923835</v>
      </c>
      <c r="R141">
        <f t="shared" si="84"/>
        <v>76480.387317769942</v>
      </c>
      <c r="S141">
        <f t="shared" si="85"/>
        <v>998.83357669900681</v>
      </c>
      <c r="T141">
        <f t="shared" si="68"/>
        <v>77735.873772572013</v>
      </c>
      <c r="U141" s="22">
        <f t="shared" si="119"/>
        <v>998.7007948992383</v>
      </c>
      <c r="V141" s="1">
        <f t="shared" si="69"/>
        <v>0</v>
      </c>
      <c r="W141" s="1">
        <f t="shared" si="70"/>
        <v>0</v>
      </c>
      <c r="X141" s="1">
        <f t="shared" si="71"/>
        <v>-195.97114774834517</v>
      </c>
      <c r="Y141" s="1">
        <f t="shared" si="86"/>
        <v>-13.278179976844527</v>
      </c>
      <c r="Z141" s="1">
        <f t="shared" si="72"/>
        <v>-209.24932772518969</v>
      </c>
      <c r="AA141" s="1">
        <f t="shared" si="73"/>
        <v>-1255.4864548020705</v>
      </c>
      <c r="AB141" s="1">
        <f t="shared" si="121"/>
        <v>4261.3571491957919</v>
      </c>
      <c r="AC141" s="1">
        <f t="shared" si="75"/>
        <v>2796.6213666685317</v>
      </c>
      <c r="AD141" s="1">
        <f t="shared" si="76"/>
        <v>0.13278179976850879</v>
      </c>
      <c r="AE141">
        <f t="shared" si="77"/>
        <v>2796.7541484683002</v>
      </c>
      <c r="AG141" s="19">
        <v>45</v>
      </c>
      <c r="AH141" s="19">
        <f t="shared" ref="AH141:AK141" si="136">AH54</f>
        <v>0.29916526055995568</v>
      </c>
      <c r="AI141" s="19">
        <f t="shared" si="136"/>
        <v>3.9770090485571764E-2</v>
      </c>
      <c r="AJ141" s="19">
        <f t="shared" si="136"/>
        <v>778.37</v>
      </c>
      <c r="AK141" s="19">
        <f t="shared" si="136"/>
        <v>715.25400000000002</v>
      </c>
    </row>
    <row r="142" spans="5:37">
      <c r="E142">
        <v>46</v>
      </c>
      <c r="F142" s="13"/>
      <c r="G142" s="13">
        <f t="shared" si="123"/>
        <v>0</v>
      </c>
      <c r="H142" s="13">
        <f t="shared" si="124"/>
        <v>196.20000000000002</v>
      </c>
      <c r="I142" s="13">
        <f t="shared" si="81"/>
        <v>100000</v>
      </c>
      <c r="J142" s="13">
        <f t="shared" si="63"/>
        <v>729.59299999999996</v>
      </c>
      <c r="K142" s="5">
        <f t="shared" si="64"/>
        <v>790.197</v>
      </c>
      <c r="L142" s="21">
        <f t="shared" si="65"/>
        <v>72959.3</v>
      </c>
      <c r="M142">
        <f t="shared" si="66"/>
        <v>79019.7</v>
      </c>
      <c r="N142">
        <f t="shared" si="82"/>
        <v>0.14687575083999999</v>
      </c>
      <c r="O142">
        <f t="shared" si="83"/>
        <v>0.99870079489923835</v>
      </c>
      <c r="P142">
        <f t="shared" si="106"/>
        <v>1.4668492911533047E-4</v>
      </c>
      <c r="Q142">
        <f t="shared" si="107"/>
        <v>0.99855410997012306</v>
      </c>
      <c r="R142">
        <f t="shared" si="84"/>
        <v>77735.873772572013</v>
      </c>
      <c r="S142">
        <f t="shared" si="85"/>
        <v>998.7007948992383</v>
      </c>
      <c r="T142">
        <f t="shared" si="68"/>
        <v>78905.44620360613</v>
      </c>
      <c r="U142" s="22">
        <f t="shared" si="119"/>
        <v>998.55410997012302</v>
      </c>
      <c r="V142" s="1">
        <f t="shared" si="69"/>
        <v>0</v>
      </c>
      <c r="W142" s="1">
        <f t="shared" si="70"/>
        <v>0</v>
      </c>
      <c r="X142" s="1">
        <f t="shared" si="71"/>
        <v>-195.94509595923057</v>
      </c>
      <c r="Y142" s="1">
        <f t="shared" si="86"/>
        <v>-14.668492911533047</v>
      </c>
      <c r="Z142" s="1">
        <f t="shared" si="72"/>
        <v>-210.61358887076361</v>
      </c>
      <c r="AA142" s="1">
        <f t="shared" si="73"/>
        <v>-1169.5724310341175</v>
      </c>
      <c r="AB142" s="1">
        <f t="shared" si="121"/>
        <v>4330.4016012109187</v>
      </c>
      <c r="AC142" s="1">
        <f t="shared" si="75"/>
        <v>2950.2155813060376</v>
      </c>
      <c r="AD142" s="1">
        <f t="shared" si="76"/>
        <v>0.14668492911528119</v>
      </c>
      <c r="AE142">
        <f t="shared" si="77"/>
        <v>2950.3622662351527</v>
      </c>
      <c r="AG142" s="19">
        <v>46</v>
      </c>
      <c r="AH142" s="19">
        <f t="shared" ref="AH142:AK142" si="137">AH55</f>
        <v>0.2593951700743839</v>
      </c>
      <c r="AI142" s="19">
        <f t="shared" si="137"/>
        <v>3.809886036894463E-2</v>
      </c>
      <c r="AJ142" s="19">
        <f t="shared" si="137"/>
        <v>790.197</v>
      </c>
      <c r="AK142" s="19">
        <f t="shared" si="137"/>
        <v>729.59299999999996</v>
      </c>
    </row>
    <row r="143" spans="5:37">
      <c r="E143">
        <v>47</v>
      </c>
      <c r="F143" s="13"/>
      <c r="G143" s="13">
        <f t="shared" si="123"/>
        <v>0</v>
      </c>
      <c r="H143" s="13">
        <f t="shared" si="124"/>
        <v>196.20000000000002</v>
      </c>
      <c r="I143" s="13">
        <f t="shared" si="81"/>
        <v>100000</v>
      </c>
      <c r="J143" s="13">
        <f t="shared" si="63"/>
        <v>743.24300000000005</v>
      </c>
      <c r="K143" s="5">
        <f t="shared" si="64"/>
        <v>801.39300000000003</v>
      </c>
      <c r="L143" s="21">
        <f t="shared" si="65"/>
        <v>74324.3</v>
      </c>
      <c r="M143">
        <f t="shared" si="66"/>
        <v>80139.3</v>
      </c>
      <c r="N143">
        <f t="shared" si="82"/>
        <v>0.16071961724</v>
      </c>
      <c r="O143">
        <f t="shared" si="83"/>
        <v>0.99855410997012306</v>
      </c>
      <c r="P143">
        <f t="shared" si="106"/>
        <v>1.6048723434782704E-4</v>
      </c>
      <c r="Q143">
        <f t="shared" si="107"/>
        <v>0.99839362273577525</v>
      </c>
      <c r="R143">
        <f t="shared" si="84"/>
        <v>78905.44620360613</v>
      </c>
      <c r="S143">
        <f t="shared" si="85"/>
        <v>998.55410997012302</v>
      </c>
      <c r="T143">
        <f t="shared" si="68"/>
        <v>80010.566050509122</v>
      </c>
      <c r="U143" s="22">
        <f t="shared" si="119"/>
        <v>998.39362273577524</v>
      </c>
      <c r="V143" s="1">
        <f t="shared" si="69"/>
        <v>0</v>
      </c>
      <c r="W143" s="1">
        <f t="shared" si="70"/>
        <v>0</v>
      </c>
      <c r="X143" s="1">
        <f t="shared" si="71"/>
        <v>-195.91631637613816</v>
      </c>
      <c r="Y143" s="1">
        <f t="shared" si="86"/>
        <v>-16.048723434782705</v>
      </c>
      <c r="Z143" s="1">
        <f t="shared" si="72"/>
        <v>-211.96503981092087</v>
      </c>
      <c r="AA143" s="1">
        <f t="shared" si="73"/>
        <v>-1105.1198469029914</v>
      </c>
      <c r="AB143" s="1">
        <f t="shared" si="121"/>
        <v>4394.7200172466937</v>
      </c>
      <c r="AC143" s="1">
        <f t="shared" si="75"/>
        <v>3077.6351305327817</v>
      </c>
      <c r="AD143" s="1">
        <f t="shared" si="76"/>
        <v>0.16048723434778367</v>
      </c>
      <c r="AE143">
        <f t="shared" si="77"/>
        <v>3077.7956177671294</v>
      </c>
      <c r="AG143" s="19">
        <v>47</v>
      </c>
      <c r="AH143" s="19">
        <f t="shared" ref="AH143:AK143" si="138">AH56</f>
        <v>0.22129630970543926</v>
      </c>
      <c r="AI143" s="19">
        <f t="shared" si="138"/>
        <v>3.5566658192482697E-2</v>
      </c>
      <c r="AJ143" s="19">
        <f t="shared" si="138"/>
        <v>801.39300000000003</v>
      </c>
      <c r="AK143" s="19">
        <f t="shared" si="138"/>
        <v>743.24300000000005</v>
      </c>
    </row>
    <row r="144" spans="5:37">
      <c r="E144">
        <v>48</v>
      </c>
      <c r="F144" s="13"/>
      <c r="G144" s="13">
        <f t="shared" si="123"/>
        <v>0</v>
      </c>
      <c r="H144" s="13">
        <f t="shared" si="124"/>
        <v>196.20000000000002</v>
      </c>
      <c r="I144" s="13">
        <f t="shared" si="81"/>
        <v>100000</v>
      </c>
      <c r="J144" s="13">
        <f t="shared" si="63"/>
        <v>756.13800000000003</v>
      </c>
      <c r="K144" s="5">
        <f t="shared" si="64"/>
        <v>811.91499999999996</v>
      </c>
      <c r="L144" s="21">
        <f t="shared" si="65"/>
        <v>75613.8</v>
      </c>
      <c r="M144">
        <f t="shared" si="66"/>
        <v>81191.5</v>
      </c>
      <c r="N144">
        <f t="shared" si="82"/>
        <v>0.17567064424000001</v>
      </c>
      <c r="O144">
        <f t="shared" si="83"/>
        <v>0.99839362273577525</v>
      </c>
      <c r="P144">
        <f t="shared" si="106"/>
        <v>1.7538845091110116E-4</v>
      </c>
      <c r="Q144">
        <f t="shared" si="107"/>
        <v>0.99821823428486411</v>
      </c>
      <c r="R144">
        <f t="shared" si="84"/>
        <v>80010.566050509122</v>
      </c>
      <c r="S144">
        <f t="shared" si="85"/>
        <v>998.39362273577524</v>
      </c>
      <c r="T144">
        <f t="shared" si="68"/>
        <v>81046.835768939549</v>
      </c>
      <c r="U144" s="22">
        <f t="shared" si="119"/>
        <v>998.21823428486414</v>
      </c>
      <c r="V144" s="1">
        <f t="shared" si="69"/>
        <v>0</v>
      </c>
      <c r="W144" s="1">
        <f t="shared" si="70"/>
        <v>0</v>
      </c>
      <c r="X144" s="1">
        <f t="shared" si="71"/>
        <v>-195.88482878075914</v>
      </c>
      <c r="Y144" s="1">
        <f t="shared" si="86"/>
        <v>-17.538845091110115</v>
      </c>
      <c r="Z144" s="1">
        <f t="shared" si="72"/>
        <v>-213.42367387186925</v>
      </c>
      <c r="AA144" s="1">
        <f t="shared" si="73"/>
        <v>-1036.269718430427</v>
      </c>
      <c r="AB144" s="1">
        <f t="shared" si="121"/>
        <v>4455.4927820284693</v>
      </c>
      <c r="AC144" s="1">
        <f t="shared" si="75"/>
        <v>3205.7993897261731</v>
      </c>
      <c r="AD144" s="1">
        <f t="shared" si="76"/>
        <v>0.17538845091110034</v>
      </c>
      <c r="AE144">
        <f t="shared" si="77"/>
        <v>3205.9747781770843</v>
      </c>
      <c r="AG144" s="19">
        <v>48</v>
      </c>
      <c r="AH144" s="19">
        <f t="shared" ref="AH144:AK144" si="139">AH57</f>
        <v>0.18572965151295656</v>
      </c>
      <c r="AI144" s="19">
        <f t="shared" si="139"/>
        <v>3.2627247535751774E-2</v>
      </c>
      <c r="AJ144" s="19">
        <f t="shared" si="139"/>
        <v>811.91499999999996</v>
      </c>
      <c r="AK144" s="19">
        <f t="shared" si="139"/>
        <v>756.13800000000003</v>
      </c>
    </row>
    <row r="145" spans="5:37">
      <c r="E145">
        <v>49</v>
      </c>
      <c r="F145" s="13"/>
      <c r="G145" s="13">
        <f t="shared" si="123"/>
        <v>0</v>
      </c>
      <c r="H145" s="13">
        <f t="shared" si="124"/>
        <v>196.20000000000002</v>
      </c>
      <c r="I145" s="13">
        <f t="shared" si="81"/>
        <v>100000</v>
      </c>
      <c r="J145" s="13">
        <f t="shared" si="63"/>
        <v>768.31600000000003</v>
      </c>
      <c r="K145" s="5">
        <f t="shared" si="64"/>
        <v>821.80399999999997</v>
      </c>
      <c r="L145" s="21">
        <f t="shared" si="65"/>
        <v>76831.600000000006</v>
      </c>
      <c r="M145">
        <f t="shared" si="66"/>
        <v>82180.399999999994</v>
      </c>
      <c r="N145">
        <f t="shared" si="82"/>
        <v>0.19133653084000002</v>
      </c>
      <c r="O145">
        <f t="shared" si="83"/>
        <v>0.99821823428486411</v>
      </c>
      <c r="P145">
        <f t="shared" si="106"/>
        <v>1.9099561396929626E-4</v>
      </c>
      <c r="Q145">
        <f t="shared" si="107"/>
        <v>0.99802723867089482</v>
      </c>
      <c r="R145">
        <f t="shared" si="84"/>
        <v>81046.835768939549</v>
      </c>
      <c r="S145">
        <f t="shared" si="85"/>
        <v>998.21823428486414</v>
      </c>
      <c r="T145">
        <f t="shared" si="68"/>
        <v>82018.277684869594</v>
      </c>
      <c r="U145" s="22">
        <f t="shared" si="119"/>
        <v>998.0272386708948</v>
      </c>
      <c r="V145" s="1">
        <f t="shared" si="69"/>
        <v>0</v>
      </c>
      <c r="W145" s="1">
        <f t="shared" si="70"/>
        <v>0</v>
      </c>
      <c r="X145" s="1">
        <f t="shared" si="71"/>
        <v>-195.85041756669037</v>
      </c>
      <c r="Y145" s="1">
        <f t="shared" si="86"/>
        <v>-19.099561396929627</v>
      </c>
      <c r="Z145" s="1">
        <f t="shared" si="72"/>
        <v>-214.94997896362</v>
      </c>
      <c r="AA145" s="1">
        <f t="shared" si="73"/>
        <v>-971.44191593004507</v>
      </c>
      <c r="AB145" s="1">
        <f t="shared" si="121"/>
        <v>4512.4779701773432</v>
      </c>
      <c r="AC145" s="1">
        <f t="shared" si="75"/>
        <v>3326.0860752836779</v>
      </c>
      <c r="AD145" s="1">
        <f t="shared" si="76"/>
        <v>0.19099561396933495</v>
      </c>
      <c r="AE145">
        <f t="shared" si="77"/>
        <v>3326.2770708976473</v>
      </c>
      <c r="AG145" s="19">
        <v>49</v>
      </c>
      <c r="AH145" s="19">
        <f t="shared" ref="AH145:AK145" si="140">AH58</f>
        <v>0.15310240397720479</v>
      </c>
      <c r="AI145" s="19">
        <f t="shared" si="140"/>
        <v>2.9294082840262584E-2</v>
      </c>
      <c r="AJ145" s="19">
        <f t="shared" si="140"/>
        <v>821.80399999999997</v>
      </c>
      <c r="AK145" s="19">
        <f t="shared" si="140"/>
        <v>768.31600000000003</v>
      </c>
    </row>
    <row r="146" spans="5:37">
      <c r="E146">
        <v>50</v>
      </c>
      <c r="F146" s="13"/>
      <c r="G146" s="13">
        <f t="shared" si="123"/>
        <v>0</v>
      </c>
      <c r="H146" s="13">
        <f t="shared" si="124"/>
        <v>196.20000000000002</v>
      </c>
      <c r="I146" s="13">
        <f t="shared" si="81"/>
        <v>100000</v>
      </c>
      <c r="J146" s="13">
        <f t="shared" si="63"/>
        <v>779.87400000000002</v>
      </c>
      <c r="K146" s="5">
        <f t="shared" si="64"/>
        <v>831.14099999999996</v>
      </c>
      <c r="L146" s="21">
        <f t="shared" si="65"/>
        <v>77987.399999999994</v>
      </c>
      <c r="M146">
        <f t="shared" si="66"/>
        <v>83114.100000000006</v>
      </c>
      <c r="N146">
        <f t="shared" si="82"/>
        <v>0.20752287010000001</v>
      </c>
      <c r="O146">
        <f t="shared" si="83"/>
        <v>0.99802723867089482</v>
      </c>
      <c r="P146">
        <f t="shared" si="106"/>
        <v>2.0711347700696182E-4</v>
      </c>
      <c r="Q146">
        <f t="shared" si="107"/>
        <v>0.99782012519388785</v>
      </c>
      <c r="R146">
        <f t="shared" si="84"/>
        <v>82018.277684869594</v>
      </c>
      <c r="S146">
        <f t="shared" si="85"/>
        <v>998.0272386708948</v>
      </c>
      <c r="T146">
        <f t="shared" si="68"/>
        <v>82932.921667377319</v>
      </c>
      <c r="U146" s="22">
        <f t="shared" si="119"/>
        <v>997.82012519388786</v>
      </c>
      <c r="V146" s="1">
        <f t="shared" si="69"/>
        <v>0</v>
      </c>
      <c r="W146" s="1">
        <f t="shared" si="70"/>
        <v>0</v>
      </c>
      <c r="X146" s="1">
        <f t="shared" si="71"/>
        <v>-195.81294422722959</v>
      </c>
      <c r="Y146" s="1">
        <f t="shared" si="86"/>
        <v>-20.711347700696184</v>
      </c>
      <c r="Z146" s="1">
        <f t="shared" si="72"/>
        <v>-216.52429192792579</v>
      </c>
      <c r="AA146" s="1">
        <f t="shared" si="73"/>
        <v>-914.64398250772501</v>
      </c>
      <c r="AB146" s="1">
        <f t="shared" si="121"/>
        <v>4565.8967707947268</v>
      </c>
      <c r="AC146" s="1">
        <f t="shared" si="75"/>
        <v>3434.728496359076</v>
      </c>
      <c r="AD146" s="1">
        <f t="shared" si="76"/>
        <v>0.20711347700694205</v>
      </c>
      <c r="AE146">
        <f t="shared" si="77"/>
        <v>3434.9356098360831</v>
      </c>
      <c r="AG146" s="19">
        <v>50</v>
      </c>
      <c r="AH146" s="19">
        <f t="shared" ref="AH146:AK146" si="141">AH59</f>
        <v>0.12380832113694221</v>
      </c>
      <c r="AI146" s="19">
        <f t="shared" si="141"/>
        <v>2.5693058144600742E-2</v>
      </c>
      <c r="AJ146" s="19">
        <f t="shared" si="141"/>
        <v>831.14099999999996</v>
      </c>
      <c r="AK146" s="19">
        <f t="shared" si="141"/>
        <v>779.87400000000002</v>
      </c>
    </row>
    <row r="147" spans="5:37">
      <c r="E147">
        <v>51</v>
      </c>
      <c r="F147" s="13"/>
      <c r="G147" s="13">
        <f t="shared" si="123"/>
        <v>0</v>
      </c>
      <c r="H147" s="13">
        <f t="shared" si="124"/>
        <v>196.20000000000002</v>
      </c>
      <c r="I147" s="13">
        <f t="shared" si="81"/>
        <v>100000</v>
      </c>
      <c r="J147" s="13">
        <f t="shared" si="63"/>
        <v>790.74800000000005</v>
      </c>
      <c r="K147" s="5">
        <f t="shared" si="64"/>
        <v>839.88699999999994</v>
      </c>
      <c r="L147" s="21">
        <f t="shared" si="65"/>
        <v>79074.8</v>
      </c>
      <c r="M147">
        <f t="shared" si="66"/>
        <v>83988.7</v>
      </c>
      <c r="N147">
        <f t="shared" si="82"/>
        <v>0.22489047126</v>
      </c>
      <c r="O147">
        <f t="shared" si="83"/>
        <v>0.99782012519388785</v>
      </c>
      <c r="P147">
        <f t="shared" si="106"/>
        <v>2.2440023818756562E-4</v>
      </c>
      <c r="Q147">
        <f t="shared" si="107"/>
        <v>0.99759572495570026</v>
      </c>
      <c r="R147">
        <f t="shared" si="84"/>
        <v>82932.921667377319</v>
      </c>
      <c r="S147">
        <f t="shared" si="85"/>
        <v>997.82012519388786</v>
      </c>
      <c r="T147">
        <f t="shared" si="68"/>
        <v>83786.768064586824</v>
      </c>
      <c r="U147" s="22">
        <f t="shared" si="119"/>
        <v>997.59572495570023</v>
      </c>
      <c r="V147" s="1">
        <f t="shared" si="69"/>
        <v>0</v>
      </c>
      <c r="W147" s="1">
        <f t="shared" si="70"/>
        <v>0</v>
      </c>
      <c r="X147" s="1">
        <f t="shared" si="71"/>
        <v>-195.77230856304081</v>
      </c>
      <c r="Y147" s="1">
        <f t="shared" si="86"/>
        <v>-22.440023818756561</v>
      </c>
      <c r="Z147" s="1">
        <f t="shared" si="72"/>
        <v>-218.21233238179738</v>
      </c>
      <c r="AA147" s="1">
        <f t="shared" si="73"/>
        <v>-853.84639720950508</v>
      </c>
      <c r="AB147" s="1">
        <f t="shared" si="121"/>
        <v>4616.1907985914168</v>
      </c>
      <c r="AC147" s="1">
        <f t="shared" si="75"/>
        <v>3544.1320690001144</v>
      </c>
      <c r="AD147" s="1">
        <f t="shared" si="76"/>
        <v>0.22440023818762711</v>
      </c>
      <c r="AE147">
        <f t="shared" si="77"/>
        <v>3544.356469238302</v>
      </c>
      <c r="AG147" s="19">
        <v>51</v>
      </c>
      <c r="AH147" s="19">
        <f t="shared" ref="AH147:AK147" si="142">AH60</f>
        <v>9.8115262992341468E-2</v>
      </c>
      <c r="AI147" s="19">
        <f t="shared" si="142"/>
        <v>2.206518773214651E-2</v>
      </c>
      <c r="AJ147" s="19">
        <f t="shared" si="142"/>
        <v>839.88699999999994</v>
      </c>
      <c r="AK147" s="19">
        <f t="shared" si="142"/>
        <v>790.74800000000005</v>
      </c>
    </row>
    <row r="148" spans="5:37">
      <c r="E148">
        <v>52</v>
      </c>
      <c r="F148" s="13"/>
      <c r="G148" s="13">
        <f t="shared" si="123"/>
        <v>0</v>
      </c>
      <c r="H148" s="13">
        <f t="shared" si="124"/>
        <v>196.20000000000002</v>
      </c>
      <c r="I148" s="13">
        <f t="shared" si="81"/>
        <v>100000</v>
      </c>
      <c r="J148" s="13">
        <f t="shared" si="63"/>
        <v>801.03300000000002</v>
      </c>
      <c r="K148" s="5">
        <f t="shared" si="64"/>
        <v>848.12099999999998</v>
      </c>
      <c r="L148" s="21">
        <f t="shared" si="65"/>
        <v>80103.3</v>
      </c>
      <c r="M148">
        <f t="shared" si="66"/>
        <v>84812.1</v>
      </c>
      <c r="N148">
        <f t="shared" si="82"/>
        <v>0.2427514999</v>
      </c>
      <c r="O148">
        <f t="shared" si="83"/>
        <v>0.99759572495570026</v>
      </c>
      <c r="P148">
        <f t="shared" si="106"/>
        <v>2.421678585268241E-4</v>
      </c>
      <c r="Q148">
        <f t="shared" si="107"/>
        <v>0.99735355709717344</v>
      </c>
      <c r="R148">
        <f t="shared" si="84"/>
        <v>83786.768064586824</v>
      </c>
      <c r="S148">
        <f t="shared" si="85"/>
        <v>997.59572495570023</v>
      </c>
      <c r="T148">
        <f t="shared" si="68"/>
        <v>84587.649619881195</v>
      </c>
      <c r="U148" s="22">
        <f t="shared" si="119"/>
        <v>997.35355709717339</v>
      </c>
      <c r="V148" s="1">
        <f t="shared" si="69"/>
        <v>0</v>
      </c>
      <c r="W148" s="1">
        <f t="shared" si="70"/>
        <v>0</v>
      </c>
      <c r="X148" s="1">
        <f t="shared" si="71"/>
        <v>-195.72828123630842</v>
      </c>
      <c r="Y148" s="1">
        <f t="shared" si="86"/>
        <v>-24.21678585268241</v>
      </c>
      <c r="Z148" s="1">
        <f t="shared" si="72"/>
        <v>-219.94506708899084</v>
      </c>
      <c r="AA148" s="1">
        <f t="shared" si="73"/>
        <v>-800.88155529437063</v>
      </c>
      <c r="AB148" s="1">
        <f t="shared" si="121"/>
        <v>4663.1400084248389</v>
      </c>
      <c r="AC148" s="1">
        <f t="shared" si="75"/>
        <v>3642.3133860414773</v>
      </c>
      <c r="AD148" s="1">
        <f t="shared" si="76"/>
        <v>0.24216785852684097</v>
      </c>
      <c r="AE148">
        <f t="shared" si="77"/>
        <v>3642.5555539000043</v>
      </c>
      <c r="AG148" s="19">
        <v>52</v>
      </c>
      <c r="AH148" s="19">
        <f t="shared" ref="AH148:AK148" si="143">AH61</f>
        <v>7.6050075260194958E-2</v>
      </c>
      <c r="AI148" s="19">
        <f t="shared" si="143"/>
        <v>1.8461269836920209E-2</v>
      </c>
      <c r="AJ148" s="19">
        <f t="shared" si="143"/>
        <v>848.12099999999998</v>
      </c>
      <c r="AK148" s="19">
        <f t="shared" si="143"/>
        <v>801.03300000000002</v>
      </c>
    </row>
    <row r="149" spans="5:37">
      <c r="E149">
        <v>53</v>
      </c>
      <c r="F149" s="13"/>
      <c r="G149" s="13">
        <f t="shared" si="123"/>
        <v>0</v>
      </c>
      <c r="H149" s="13">
        <f t="shared" si="124"/>
        <v>196.20000000000002</v>
      </c>
      <c r="I149" s="13">
        <f t="shared" si="81"/>
        <v>100000</v>
      </c>
      <c r="J149" s="13">
        <f t="shared" si="63"/>
        <v>810.702</v>
      </c>
      <c r="K149" s="5">
        <f t="shared" si="64"/>
        <v>855.82799999999997</v>
      </c>
      <c r="L149" s="21">
        <f t="shared" si="65"/>
        <v>81070.2</v>
      </c>
      <c r="M149">
        <f t="shared" si="66"/>
        <v>85582.8</v>
      </c>
      <c r="N149">
        <f t="shared" si="82"/>
        <v>0.26166912590000002</v>
      </c>
      <c r="O149">
        <f t="shared" si="83"/>
        <v>0.99735355709717344</v>
      </c>
      <c r="P149">
        <f t="shared" si="106"/>
        <v>2.609766334988731E-4</v>
      </c>
      <c r="Q149">
        <f t="shared" si="107"/>
        <v>0.99709258046367455</v>
      </c>
      <c r="R149">
        <f t="shared" si="84"/>
        <v>84587.649619881195</v>
      </c>
      <c r="S149">
        <f t="shared" si="85"/>
        <v>997.35355709717339</v>
      </c>
      <c r="T149">
        <f t="shared" si="68"/>
        <v>85333.974895306572</v>
      </c>
      <c r="U149" s="22">
        <f t="shared" si="119"/>
        <v>997.09258046367449</v>
      </c>
      <c r="V149" s="1">
        <f t="shared" si="69"/>
        <v>0</v>
      </c>
      <c r="W149" s="1">
        <f t="shared" si="70"/>
        <v>0</v>
      </c>
      <c r="X149" s="1">
        <f t="shared" si="71"/>
        <v>-195.68076790246545</v>
      </c>
      <c r="Y149" s="1">
        <f t="shared" si="86"/>
        <v>-26.097663349887309</v>
      </c>
      <c r="Z149" s="1">
        <f t="shared" si="72"/>
        <v>-221.77843125235276</v>
      </c>
      <c r="AA149" s="1">
        <f t="shared" si="73"/>
        <v>-746.32527542537719</v>
      </c>
      <c r="AB149" s="1">
        <f t="shared" si="121"/>
        <v>4707.1751747338103</v>
      </c>
      <c r="AC149" s="1">
        <f t="shared" si="75"/>
        <v>3739.0714680560804</v>
      </c>
      <c r="AD149" s="1">
        <f t="shared" si="76"/>
        <v>0.26097663349889899</v>
      </c>
      <c r="AE149">
        <f t="shared" si="77"/>
        <v>3739.3324446895795</v>
      </c>
      <c r="AG149" s="19">
        <v>53</v>
      </c>
      <c r="AH149" s="19">
        <f t="shared" ref="AH149:AK149" si="144">AH62</f>
        <v>5.7588805423274748E-2</v>
      </c>
      <c r="AI149" s="19">
        <f t="shared" si="144"/>
        <v>1.5069212376733485E-2</v>
      </c>
      <c r="AJ149" s="19">
        <f t="shared" si="144"/>
        <v>855.82799999999997</v>
      </c>
      <c r="AK149" s="19">
        <f t="shared" si="144"/>
        <v>810.702</v>
      </c>
    </row>
    <row r="150" spans="5:37">
      <c r="E150">
        <v>54</v>
      </c>
      <c r="F150" s="13"/>
      <c r="G150" s="13">
        <f t="shared" si="123"/>
        <v>0</v>
      </c>
      <c r="H150" s="13">
        <f t="shared" si="124"/>
        <v>196.20000000000002</v>
      </c>
      <c r="I150" s="13">
        <f t="shared" si="81"/>
        <v>100000</v>
      </c>
      <c r="J150" s="13">
        <f t="shared" si="63"/>
        <v>819.69200000000001</v>
      </c>
      <c r="K150" s="5">
        <f t="shared" si="64"/>
        <v>862.96699999999998</v>
      </c>
      <c r="L150" s="21">
        <f t="shared" si="65"/>
        <v>81969.2</v>
      </c>
      <c r="M150">
        <f t="shared" si="66"/>
        <v>86296.7</v>
      </c>
      <c r="N150">
        <f t="shared" si="82"/>
        <v>0.28169565606000002</v>
      </c>
      <c r="O150">
        <f t="shared" si="83"/>
        <v>0.99709258046367455</v>
      </c>
      <c r="P150">
        <f t="shared" si="106"/>
        <v>2.8087664860627313E-4</v>
      </c>
      <c r="Q150">
        <f t="shared" si="107"/>
        <v>0.99681170381506823</v>
      </c>
      <c r="R150">
        <f t="shared" si="84"/>
        <v>85333.974895306572</v>
      </c>
      <c r="S150">
        <f t="shared" si="85"/>
        <v>997.09258046367449</v>
      </c>
      <c r="T150">
        <f t="shared" si="68"/>
        <v>86021.5605606178</v>
      </c>
      <c r="U150" s="22">
        <f t="shared" si="119"/>
        <v>996.8117038150682</v>
      </c>
      <c r="V150" s="1">
        <f t="shared" si="69"/>
        <v>0</v>
      </c>
      <c r="W150" s="1">
        <f t="shared" si="70"/>
        <v>0</v>
      </c>
      <c r="X150" s="1">
        <f t="shared" si="71"/>
        <v>-195.62956428697296</v>
      </c>
      <c r="Y150" s="1">
        <f t="shared" si="86"/>
        <v>-28.087664860627314</v>
      </c>
      <c r="Z150" s="1">
        <f t="shared" si="72"/>
        <v>-223.71722914760028</v>
      </c>
      <c r="AA150" s="1">
        <f t="shared" si="73"/>
        <v>-687.58566531122779</v>
      </c>
      <c r="AB150" s="1">
        <f t="shared" si="121"/>
        <v>4748.2087111673636</v>
      </c>
      <c r="AC150" s="1">
        <f t="shared" si="75"/>
        <v>3836.9058167085354</v>
      </c>
      <c r="AD150" s="1">
        <f t="shared" si="76"/>
        <v>0.28087664860629502</v>
      </c>
      <c r="AE150">
        <f t="shared" si="77"/>
        <v>3837.1866933571418</v>
      </c>
      <c r="AG150" s="19">
        <v>54</v>
      </c>
      <c r="AH150" s="19">
        <f t="shared" ref="AH150:AK150" si="145">AH63</f>
        <v>4.2519593046541265E-2</v>
      </c>
      <c r="AI150" s="19">
        <f t="shared" si="145"/>
        <v>1.1977584658649657E-2</v>
      </c>
      <c r="AJ150" s="19">
        <f t="shared" si="145"/>
        <v>862.96699999999998</v>
      </c>
      <c r="AK150" s="19">
        <f t="shared" si="145"/>
        <v>819.69200000000001</v>
      </c>
    </row>
    <row r="151" spans="5:37">
      <c r="E151">
        <v>55</v>
      </c>
      <c r="F151" s="13"/>
      <c r="G151" s="13">
        <f t="shared" si="123"/>
        <v>0</v>
      </c>
      <c r="H151" s="13">
        <f t="shared" si="124"/>
        <v>196.20000000000002</v>
      </c>
      <c r="I151" s="13">
        <f t="shared" si="81"/>
        <v>100000</v>
      </c>
      <c r="J151" s="13">
        <f t="shared" si="63"/>
        <v>828.077</v>
      </c>
      <c r="K151" s="5">
        <f t="shared" si="64"/>
        <v>869.6</v>
      </c>
      <c r="L151" s="21">
        <f t="shared" si="65"/>
        <v>82807.7</v>
      </c>
      <c r="M151">
        <f t="shared" si="66"/>
        <v>86960</v>
      </c>
      <c r="N151">
        <f t="shared" si="82"/>
        <v>0.30209182094000003</v>
      </c>
      <c r="O151">
        <f t="shared" si="83"/>
        <v>0.99681170381506823</v>
      </c>
      <c r="P151">
        <f t="shared" si="106"/>
        <v>3.0112866273979794E-4</v>
      </c>
      <c r="Q151">
        <f t="shared" si="107"/>
        <v>0.99651057515232844</v>
      </c>
      <c r="R151">
        <f t="shared" si="84"/>
        <v>86021.5605606178</v>
      </c>
      <c r="S151">
        <f t="shared" si="85"/>
        <v>996.8117038150682</v>
      </c>
      <c r="T151">
        <f t="shared" si="68"/>
        <v>86656.559615246486</v>
      </c>
      <c r="U151" s="22">
        <f t="shared" si="119"/>
        <v>996.51057515232844</v>
      </c>
      <c r="V151" s="1">
        <f t="shared" si="69"/>
        <v>0</v>
      </c>
      <c r="W151" s="1">
        <f t="shared" si="70"/>
        <v>0</v>
      </c>
      <c r="X151" s="1">
        <f t="shared" si="71"/>
        <v>-195.57445628851642</v>
      </c>
      <c r="Y151" s="1">
        <f t="shared" si="86"/>
        <v>-30.112866273979794</v>
      </c>
      <c r="Z151" s="1">
        <f t="shared" si="72"/>
        <v>-225.68732256249621</v>
      </c>
      <c r="AA151" s="1">
        <f t="shared" si="73"/>
        <v>-634.99905462868628</v>
      </c>
      <c r="AB151" s="1">
        <f t="shared" si="121"/>
        <v>4786.0104745438075</v>
      </c>
      <c r="AC151" s="1">
        <f t="shared" si="75"/>
        <v>3925.3240973526249</v>
      </c>
      <c r="AD151" s="1">
        <f t="shared" si="76"/>
        <v>0.30112866273975669</v>
      </c>
      <c r="AE151">
        <f t="shared" si="77"/>
        <v>3925.6252260153647</v>
      </c>
      <c r="AG151" s="19">
        <v>55</v>
      </c>
      <c r="AH151" s="19">
        <f t="shared" ref="AH151:AK151" si="146">AH64</f>
        <v>3.054200838789161E-2</v>
      </c>
      <c r="AI151" s="19">
        <f t="shared" si="146"/>
        <v>9.2264909290629311E-3</v>
      </c>
      <c r="AJ151" s="19">
        <f t="shared" si="146"/>
        <v>869.6</v>
      </c>
      <c r="AK151" s="19">
        <f t="shared" si="146"/>
        <v>828.077</v>
      </c>
    </row>
    <row r="152" spans="5:37">
      <c r="E152">
        <v>56</v>
      </c>
      <c r="F152" s="13"/>
      <c r="G152" s="13">
        <f t="shared" si="123"/>
        <v>0</v>
      </c>
      <c r="H152" s="13">
        <f t="shared" si="124"/>
        <v>196.20000000000002</v>
      </c>
      <c r="I152" s="13">
        <f t="shared" si="81"/>
        <v>100000</v>
      </c>
      <c r="J152" s="13">
        <f t="shared" si="63"/>
        <v>835.79700000000003</v>
      </c>
      <c r="K152" s="5">
        <f t="shared" si="64"/>
        <v>875.68799999999999</v>
      </c>
      <c r="L152" s="21">
        <f t="shared" si="65"/>
        <v>83579.7</v>
      </c>
      <c r="M152">
        <f t="shared" si="66"/>
        <v>87568.8</v>
      </c>
      <c r="N152">
        <f t="shared" si="82"/>
        <v>0.32340684194000002</v>
      </c>
      <c r="O152">
        <f t="shared" si="83"/>
        <v>0.99651057515232844</v>
      </c>
      <c r="P152">
        <f t="shared" si="106"/>
        <v>3.2227833806982756E-4</v>
      </c>
      <c r="Q152">
        <f t="shared" si="107"/>
        <v>0.99618829681425858</v>
      </c>
      <c r="R152">
        <f t="shared" si="84"/>
        <v>86656.559615246486</v>
      </c>
      <c r="S152">
        <f t="shared" si="85"/>
        <v>996.51057515232844</v>
      </c>
      <c r="T152">
        <f t="shared" si="68"/>
        <v>87235.013726068442</v>
      </c>
      <c r="U152" s="22">
        <f t="shared" si="119"/>
        <v>996.18829681425859</v>
      </c>
      <c r="V152" s="1">
        <f t="shared" si="69"/>
        <v>0</v>
      </c>
      <c r="W152" s="1">
        <f t="shared" si="70"/>
        <v>0</v>
      </c>
      <c r="X152" s="1">
        <f t="shared" si="71"/>
        <v>-195.51537484488685</v>
      </c>
      <c r="Y152" s="1">
        <f t="shared" si="86"/>
        <v>-32.227833806982758</v>
      </c>
      <c r="Z152" s="1">
        <f t="shared" si="72"/>
        <v>-227.74320865186962</v>
      </c>
      <c r="AA152" s="1">
        <f t="shared" si="73"/>
        <v>-578.45411082195642</v>
      </c>
      <c r="AB152" s="1">
        <f t="shared" si="121"/>
        <v>4820.9188604719347</v>
      </c>
      <c r="AC152" s="1">
        <f t="shared" si="75"/>
        <v>4014.7215409981086</v>
      </c>
      <c r="AD152" s="1">
        <f t="shared" si="76"/>
        <v>0.32227833806985018</v>
      </c>
      <c r="AE152">
        <f t="shared" si="77"/>
        <v>4015.0438193361783</v>
      </c>
      <c r="AG152" s="19">
        <v>56</v>
      </c>
      <c r="AH152" s="19">
        <f t="shared" ref="AH152:AK152" si="147">AH65</f>
        <v>2.1315517458828679E-2</v>
      </c>
      <c r="AI152" s="19">
        <f t="shared" si="147"/>
        <v>6.8935841856767174E-3</v>
      </c>
      <c r="AJ152" s="19">
        <f t="shared" si="147"/>
        <v>875.68799999999999</v>
      </c>
      <c r="AK152" s="19">
        <f t="shared" si="147"/>
        <v>835.79700000000003</v>
      </c>
    </row>
    <row r="153" spans="5:37">
      <c r="E153">
        <v>57</v>
      </c>
      <c r="F153" s="13"/>
      <c r="G153" s="13">
        <f t="shared" si="123"/>
        <v>0</v>
      </c>
      <c r="H153" s="13">
        <f t="shared" si="124"/>
        <v>196.20000000000002</v>
      </c>
      <c r="I153" s="13">
        <f t="shared" si="81"/>
        <v>100000</v>
      </c>
      <c r="J153" s="13">
        <f t="shared" si="63"/>
        <v>842.90899999999999</v>
      </c>
      <c r="K153" s="5">
        <f t="shared" si="64"/>
        <v>881.28200000000004</v>
      </c>
      <c r="L153" s="21">
        <f t="shared" si="65"/>
        <v>84290.9</v>
      </c>
      <c r="M153">
        <f t="shared" si="66"/>
        <v>88128.2</v>
      </c>
      <c r="N153">
        <f t="shared" si="82"/>
        <v>0.34486570663999999</v>
      </c>
      <c r="O153">
        <f t="shared" si="83"/>
        <v>0.99618829681425858</v>
      </c>
      <c r="P153">
        <f t="shared" si="106"/>
        <v>3.4355118092734731E-4</v>
      </c>
      <c r="Q153">
        <f t="shared" si="107"/>
        <v>0.99584474563333125</v>
      </c>
      <c r="R153">
        <f t="shared" si="84"/>
        <v>87235.013726068442</v>
      </c>
      <c r="S153">
        <f t="shared" si="85"/>
        <v>996.18829681425859</v>
      </c>
      <c r="T153">
        <f t="shared" si="68"/>
        <v>87762.004912123346</v>
      </c>
      <c r="U153" s="22">
        <f t="shared" si="119"/>
        <v>995.84474563333129</v>
      </c>
      <c r="V153" s="1">
        <f t="shared" si="69"/>
        <v>0</v>
      </c>
      <c r="W153" s="1">
        <f t="shared" si="70"/>
        <v>0</v>
      </c>
      <c r="X153" s="1">
        <f t="shared" si="71"/>
        <v>-195.45214383495755</v>
      </c>
      <c r="Y153" s="1">
        <f t="shared" si="86"/>
        <v>-34.355118092734735</v>
      </c>
      <c r="Z153" s="1">
        <f t="shared" si="72"/>
        <v>-229.80726192769228</v>
      </c>
      <c r="AA153" s="1">
        <f t="shared" si="73"/>
        <v>-526.99118605490366</v>
      </c>
      <c r="AB153" s="1">
        <f t="shared" si="121"/>
        <v>4852.7161112585491</v>
      </c>
      <c r="AC153" s="1">
        <f t="shared" si="75"/>
        <v>4095.9176632759531</v>
      </c>
      <c r="AD153" s="1">
        <f t="shared" si="76"/>
        <v>0.34355118092730663</v>
      </c>
      <c r="AE153">
        <f t="shared" si="77"/>
        <v>4096.2612144568802</v>
      </c>
      <c r="AG153" s="19">
        <v>57</v>
      </c>
      <c r="AH153" s="19">
        <f t="shared" ref="AH153:AK153" si="148">AH66</f>
        <v>1.4421933273151961E-2</v>
      </c>
      <c r="AI153" s="19">
        <f t="shared" si="148"/>
        <v>4.9736302093604792E-3</v>
      </c>
      <c r="AJ153" s="19">
        <f t="shared" si="148"/>
        <v>881.28200000000004</v>
      </c>
      <c r="AK153" s="19">
        <f t="shared" si="148"/>
        <v>842.90899999999999</v>
      </c>
    </row>
    <row r="154" spans="5:37">
      <c r="E154">
        <v>58</v>
      </c>
      <c r="F154" s="13"/>
      <c r="G154" s="13">
        <f t="shared" si="123"/>
        <v>0</v>
      </c>
      <c r="H154" s="13">
        <f t="shared" si="124"/>
        <v>196.20000000000002</v>
      </c>
      <c r="I154" s="13">
        <f t="shared" si="81"/>
        <v>100000</v>
      </c>
      <c r="J154" s="13">
        <f t="shared" si="63"/>
        <v>849.57100000000003</v>
      </c>
      <c r="K154" s="5">
        <f t="shared" si="64"/>
        <v>886.50400000000002</v>
      </c>
      <c r="L154" s="21">
        <f t="shared" si="65"/>
        <v>84957.1</v>
      </c>
      <c r="M154">
        <f t="shared" si="66"/>
        <v>88650.4</v>
      </c>
      <c r="N154">
        <f t="shared" si="82"/>
        <v>0.36597324400000003</v>
      </c>
      <c r="O154">
        <f t="shared" si="83"/>
        <v>0.99584474563333125</v>
      </c>
      <c r="P154">
        <f t="shared" si="106"/>
        <v>3.644525320797851E-4</v>
      </c>
      <c r="Q154">
        <f t="shared" si="107"/>
        <v>0.99548029310125141</v>
      </c>
      <c r="R154">
        <f t="shared" si="84"/>
        <v>87762.004912123346</v>
      </c>
      <c r="S154">
        <f t="shared" si="85"/>
        <v>995.84474563333129</v>
      </c>
      <c r="T154">
        <f t="shared" si="68"/>
        <v>88249.726175543168</v>
      </c>
      <c r="U154" s="22">
        <f t="shared" si="119"/>
        <v>995.48029310125139</v>
      </c>
      <c r="V154" s="1">
        <f t="shared" si="69"/>
        <v>0</v>
      </c>
      <c r="W154" s="1">
        <f t="shared" si="70"/>
        <v>0</v>
      </c>
      <c r="X154" s="1">
        <f t="shared" si="71"/>
        <v>-195.38473909325961</v>
      </c>
      <c r="Y154" s="1">
        <f t="shared" si="86"/>
        <v>-36.44525320797851</v>
      </c>
      <c r="Z154" s="1">
        <f t="shared" si="72"/>
        <v>-231.82999230123812</v>
      </c>
      <c r="AA154" s="1">
        <f t="shared" si="73"/>
        <v>-487.72126341982221</v>
      </c>
      <c r="AB154" s="1">
        <f t="shared" si="121"/>
        <v>4881.6817311766181</v>
      </c>
      <c r="AC154" s="1">
        <f t="shared" si="75"/>
        <v>4162.1304754555576</v>
      </c>
      <c r="AD154" s="1">
        <f t="shared" si="76"/>
        <v>0.36445253207989481</v>
      </c>
      <c r="AE154">
        <f t="shared" si="77"/>
        <v>4162.4949279876373</v>
      </c>
      <c r="AG154" s="19">
        <v>58</v>
      </c>
      <c r="AH154" s="19">
        <f t="shared" ref="AH154:AK154" si="149">AH67</f>
        <v>9.4483030637914807E-3</v>
      </c>
      <c r="AI154" s="19">
        <f t="shared" si="149"/>
        <v>3.4578261225509076E-3</v>
      </c>
      <c r="AJ154" s="19">
        <f t="shared" si="149"/>
        <v>886.50400000000002</v>
      </c>
      <c r="AK154" s="19">
        <f t="shared" si="149"/>
        <v>849.57100000000003</v>
      </c>
    </row>
    <row r="155" spans="5:37">
      <c r="E155">
        <v>59</v>
      </c>
      <c r="F155" s="13"/>
      <c r="G155" s="13">
        <f t="shared" si="123"/>
        <v>0</v>
      </c>
      <c r="H155" s="13">
        <f t="shared" si="124"/>
        <v>196.20000000000002</v>
      </c>
      <c r="I155" s="13">
        <f t="shared" si="81"/>
        <v>100000</v>
      </c>
      <c r="J155" s="13">
        <f t="shared" si="63"/>
        <v>855.79200000000003</v>
      </c>
      <c r="K155" s="5">
        <f t="shared" si="64"/>
        <v>891.36800000000005</v>
      </c>
      <c r="L155" s="21">
        <f t="shared" si="65"/>
        <v>85579.199999999997</v>
      </c>
      <c r="M155">
        <f t="shared" si="66"/>
        <v>89136.8</v>
      </c>
      <c r="N155">
        <f t="shared" si="82"/>
        <v>0.38758554198</v>
      </c>
      <c r="O155">
        <f t="shared" si="83"/>
        <v>0.99548029310125141</v>
      </c>
      <c r="P155">
        <f t="shared" si="106"/>
        <v>3.8583376893205776E-4</v>
      </c>
      <c r="Q155">
        <f t="shared" si="107"/>
        <v>0.99509445933231933</v>
      </c>
      <c r="R155">
        <f t="shared" si="84"/>
        <v>88249.726175543168</v>
      </c>
      <c r="S155">
        <f t="shared" si="85"/>
        <v>995.48029310125139</v>
      </c>
      <c r="T155">
        <f t="shared" si="68"/>
        <v>88699.535802613085</v>
      </c>
      <c r="U155" s="22">
        <f t="shared" si="119"/>
        <v>995.09445933231927</v>
      </c>
      <c r="V155" s="1">
        <f t="shared" si="69"/>
        <v>0</v>
      </c>
      <c r="W155" s="1">
        <f t="shared" si="70"/>
        <v>0</v>
      </c>
      <c r="X155" s="1">
        <f t="shared" si="71"/>
        <v>-195.31323350646554</v>
      </c>
      <c r="Y155" s="1">
        <f t="shared" si="86"/>
        <v>-38.583376893205774</v>
      </c>
      <c r="Z155" s="1">
        <f t="shared" si="72"/>
        <v>-233.89661039967132</v>
      </c>
      <c r="AA155" s="1">
        <f t="shared" si="73"/>
        <v>-449.80962706991704</v>
      </c>
      <c r="AB155" s="1">
        <f t="shared" si="121"/>
        <v>4908.4863557754434</v>
      </c>
      <c r="AC155" s="1">
        <f t="shared" si="75"/>
        <v>4224.7801183058546</v>
      </c>
      <c r="AD155" s="1">
        <f t="shared" si="76"/>
        <v>0.38583376893211607</v>
      </c>
      <c r="AE155">
        <f t="shared" si="77"/>
        <v>4225.1659520747871</v>
      </c>
      <c r="AG155" s="19">
        <v>59</v>
      </c>
      <c r="AH155" s="19">
        <f t="shared" ref="AH155:AK155" si="150">AH68</f>
        <v>5.9904769412405731E-3</v>
      </c>
      <c r="AI155" s="19">
        <f t="shared" si="150"/>
        <v>2.3218222519894201E-3</v>
      </c>
      <c r="AJ155" s="19">
        <f t="shared" si="150"/>
        <v>891.36800000000005</v>
      </c>
      <c r="AK155" s="19">
        <f t="shared" si="150"/>
        <v>855.79200000000003</v>
      </c>
    </row>
    <row r="156" spans="5:37">
      <c r="E156">
        <v>60</v>
      </c>
      <c r="F156" s="13"/>
      <c r="G156" s="13">
        <f t="shared" si="123"/>
        <v>0</v>
      </c>
      <c r="H156" s="13">
        <f t="shared" si="124"/>
        <v>196.20000000000002</v>
      </c>
      <c r="I156" s="13">
        <f t="shared" si="81"/>
        <v>100000</v>
      </c>
      <c r="J156" s="13">
        <f t="shared" si="63"/>
        <v>861.59</v>
      </c>
      <c r="K156" s="5">
        <f t="shared" si="64"/>
        <v>895.88800000000003</v>
      </c>
      <c r="L156" s="21">
        <f t="shared" si="65"/>
        <v>86159</v>
      </c>
      <c r="M156">
        <f t="shared" si="66"/>
        <v>89588.800000000003</v>
      </c>
      <c r="N156">
        <f t="shared" si="82"/>
        <v>0.40957619247999999</v>
      </c>
      <c r="O156">
        <f t="shared" si="83"/>
        <v>0.99509445933231933</v>
      </c>
      <c r="P156">
        <f t="shared" si="106"/>
        <v>4.0756699981127554E-4</v>
      </c>
      <c r="Q156">
        <f t="shared" si="107"/>
        <v>0.99468689233250807</v>
      </c>
      <c r="R156">
        <f t="shared" si="84"/>
        <v>88699.535802613085</v>
      </c>
      <c r="S156">
        <f t="shared" si="85"/>
        <v>995.09445933231927</v>
      </c>
      <c r="T156">
        <f t="shared" si="68"/>
        <v>89112.8050597986</v>
      </c>
      <c r="U156" s="22">
        <f t="shared" si="119"/>
        <v>994.68689233250802</v>
      </c>
      <c r="V156" s="1">
        <f t="shared" si="69"/>
        <v>0</v>
      </c>
      <c r="W156" s="1">
        <f t="shared" si="70"/>
        <v>0</v>
      </c>
      <c r="X156" s="1">
        <f t="shared" si="71"/>
        <v>-195.23753292100108</v>
      </c>
      <c r="Y156" s="1">
        <f t="shared" si="86"/>
        <v>-40.756699981127554</v>
      </c>
      <c r="Z156" s="1">
        <f t="shared" si="72"/>
        <v>-235.99423290212863</v>
      </c>
      <c r="AA156" s="1">
        <f t="shared" si="73"/>
        <v>-413.26925718551502</v>
      </c>
      <c r="AB156" s="1">
        <f t="shared" si="121"/>
        <v>4933.2046644069978</v>
      </c>
      <c r="AC156" s="1">
        <f t="shared" si="75"/>
        <v>4283.9411743193541</v>
      </c>
      <c r="AD156" s="1">
        <f t="shared" si="76"/>
        <v>0.40756699981125166</v>
      </c>
      <c r="AE156">
        <f t="shared" si="77"/>
        <v>4284.3487413191651</v>
      </c>
      <c r="AG156" s="19">
        <v>60</v>
      </c>
      <c r="AH156" s="19">
        <f t="shared" ref="AH156:AK156" si="151">AH69</f>
        <v>3.668654689251153E-3</v>
      </c>
      <c r="AI156" s="19">
        <f t="shared" si="151"/>
        <v>1.5025936191473848E-3</v>
      </c>
      <c r="AJ156" s="19">
        <f t="shared" si="151"/>
        <v>895.88800000000003</v>
      </c>
      <c r="AK156" s="19">
        <f t="shared" si="151"/>
        <v>861.59</v>
      </c>
    </row>
    <row r="157" spans="5:37">
      <c r="E157">
        <v>61</v>
      </c>
      <c r="F157" s="13"/>
      <c r="G157" s="13">
        <f t="shared" si="123"/>
        <v>0</v>
      </c>
      <c r="H157" s="13">
        <f t="shared" si="124"/>
        <v>196.20000000000002</v>
      </c>
      <c r="I157" s="13">
        <f t="shared" si="81"/>
        <v>100000</v>
      </c>
      <c r="J157" s="13">
        <f t="shared" si="63"/>
        <v>866.99099999999999</v>
      </c>
      <c r="K157" s="5">
        <f t="shared" si="64"/>
        <v>900.09</v>
      </c>
      <c r="L157" s="21">
        <f t="shared" si="65"/>
        <v>86699.1</v>
      </c>
      <c r="M157">
        <f t="shared" si="66"/>
        <v>90009</v>
      </c>
      <c r="N157">
        <f t="shared" si="82"/>
        <v>0.43180309536</v>
      </c>
      <c r="O157">
        <f t="shared" si="83"/>
        <v>0.99468689233250807</v>
      </c>
      <c r="P157">
        <f t="shared" si="106"/>
        <v>4.2950887902319602E-4</v>
      </c>
      <c r="Q157">
        <f t="shared" si="107"/>
        <v>0.99425738345348491</v>
      </c>
      <c r="R157">
        <f t="shared" si="84"/>
        <v>89112.8050597986</v>
      </c>
      <c r="S157">
        <f t="shared" si="85"/>
        <v>994.68689233250802</v>
      </c>
      <c r="T157">
        <f t="shared" si="68"/>
        <v>89492.112827264718</v>
      </c>
      <c r="U157" s="22">
        <f t="shared" si="119"/>
        <v>994.25738345348486</v>
      </c>
      <c r="V157" s="1">
        <f t="shared" si="69"/>
        <v>0</v>
      </c>
      <c r="W157" s="1">
        <f t="shared" si="70"/>
        <v>0</v>
      </c>
      <c r="X157" s="1">
        <f t="shared" si="71"/>
        <v>-195.15756827563811</v>
      </c>
      <c r="Y157" s="1">
        <f t="shared" si="86"/>
        <v>-42.9508879023196</v>
      </c>
      <c r="Z157" s="1">
        <f t="shared" si="72"/>
        <v>-238.10845617795772</v>
      </c>
      <c r="AA157" s="1">
        <f t="shared" si="73"/>
        <v>-379.30776746611809</v>
      </c>
      <c r="AB157" s="1">
        <f t="shared" si="121"/>
        <v>4955.9120573672108</v>
      </c>
      <c r="AC157" s="1">
        <f t="shared" si="75"/>
        <v>4338.4958337231346</v>
      </c>
      <c r="AD157" s="1">
        <f t="shared" si="76"/>
        <v>0.42950887902316026</v>
      </c>
      <c r="AE157">
        <f t="shared" si="77"/>
        <v>4338.9253426021578</v>
      </c>
      <c r="AG157" s="19">
        <v>61</v>
      </c>
      <c r="AH157" s="19">
        <f t="shared" ref="AH157:AK157" si="152">AH70</f>
        <v>2.1660610701037682E-3</v>
      </c>
      <c r="AI157" s="19">
        <f t="shared" si="152"/>
        <v>9.3531187480960104E-4</v>
      </c>
      <c r="AJ157" s="19">
        <f t="shared" si="152"/>
        <v>900.09</v>
      </c>
      <c r="AK157" s="19">
        <f t="shared" si="152"/>
        <v>866.99099999999999</v>
      </c>
    </row>
    <row r="158" spans="5:37">
      <c r="E158">
        <v>62</v>
      </c>
      <c r="F158" s="13"/>
      <c r="G158" s="13">
        <f t="shared" si="123"/>
        <v>0</v>
      </c>
      <c r="H158" s="13">
        <f t="shared" si="124"/>
        <v>196.20000000000002</v>
      </c>
      <c r="I158" s="13">
        <f t="shared" si="81"/>
        <v>100000</v>
      </c>
      <c r="J158" s="13">
        <f t="shared" si="63"/>
        <v>872.04100000000005</v>
      </c>
      <c r="K158" s="5">
        <f t="shared" si="64"/>
        <v>904.00800000000004</v>
      </c>
      <c r="L158" s="21">
        <f t="shared" si="65"/>
        <v>87204.1</v>
      </c>
      <c r="M158">
        <f t="shared" si="66"/>
        <v>90400.8</v>
      </c>
      <c r="N158">
        <f t="shared" si="82"/>
        <v>0.45412589403999998</v>
      </c>
      <c r="O158">
        <f t="shared" si="83"/>
        <v>0.99425738345348491</v>
      </c>
      <c r="P158">
        <f t="shared" si="106"/>
        <v>4.5151802316668492E-4</v>
      </c>
      <c r="Q158">
        <f t="shared" si="107"/>
        <v>0.99380586543031824</v>
      </c>
      <c r="R158">
        <f t="shared" si="84"/>
        <v>89492.112827264718</v>
      </c>
      <c r="S158">
        <f t="shared" si="85"/>
        <v>994.25738345348486</v>
      </c>
      <c r="T158">
        <f t="shared" si="68"/>
        <v>89840.845279593123</v>
      </c>
      <c r="U158" s="22">
        <f t="shared" si="119"/>
        <v>993.80586543031825</v>
      </c>
      <c r="V158" s="1">
        <f t="shared" si="69"/>
        <v>0</v>
      </c>
      <c r="W158" s="1">
        <f t="shared" si="70"/>
        <v>0</v>
      </c>
      <c r="X158" s="1">
        <f t="shared" si="71"/>
        <v>-195.07329863357376</v>
      </c>
      <c r="Y158" s="1">
        <f t="shared" si="86"/>
        <v>-45.151802316668494</v>
      </c>
      <c r="Z158" s="1">
        <f t="shared" si="72"/>
        <v>-240.22510095024225</v>
      </c>
      <c r="AA158" s="1">
        <f t="shared" si="73"/>
        <v>-348.73245232840418</v>
      </c>
      <c r="AB158" s="1">
        <f t="shared" si="121"/>
        <v>4976.7503615895012</v>
      </c>
      <c r="AC158" s="1">
        <f t="shared" si="75"/>
        <v>4387.7928083108545</v>
      </c>
      <c r="AD158" s="1">
        <f t="shared" si="76"/>
        <v>0.4515180231666136</v>
      </c>
      <c r="AE158">
        <f t="shared" si="77"/>
        <v>4388.244326334021</v>
      </c>
      <c r="AG158" s="19">
        <v>62</v>
      </c>
      <c r="AH158" s="19">
        <f t="shared" ref="AH158:AK158" si="153">AH71</f>
        <v>1.2307491952941673E-3</v>
      </c>
      <c r="AI158" s="19">
        <f t="shared" si="153"/>
        <v>5.5891507865197425E-4</v>
      </c>
      <c r="AJ158" s="19">
        <f t="shared" si="153"/>
        <v>904.00800000000004</v>
      </c>
      <c r="AK158" s="19">
        <f t="shared" si="153"/>
        <v>872.04100000000005</v>
      </c>
    </row>
    <row r="159" spans="5:37">
      <c r="E159">
        <v>63</v>
      </c>
      <c r="F159" s="13"/>
      <c r="G159" s="13">
        <f t="shared" si="123"/>
        <v>0</v>
      </c>
      <c r="H159" s="13">
        <f t="shared" si="124"/>
        <v>196.20000000000002</v>
      </c>
      <c r="I159" s="13">
        <f t="shared" si="81"/>
        <v>100000</v>
      </c>
      <c r="J159" s="13">
        <f t="shared" si="63"/>
        <v>876.78200000000004</v>
      </c>
      <c r="K159" s="5">
        <f t="shared" si="64"/>
        <v>907.67899999999997</v>
      </c>
      <c r="L159" s="21">
        <f t="shared" si="65"/>
        <v>87678.2</v>
      </c>
      <c r="M159">
        <f t="shared" si="66"/>
        <v>90767.9</v>
      </c>
      <c r="N159">
        <f t="shared" si="82"/>
        <v>0.47656725480000001</v>
      </c>
      <c r="O159">
        <f t="shared" si="83"/>
        <v>0.99380586543031824</v>
      </c>
      <c r="P159">
        <f t="shared" si="106"/>
        <v>4.7361533309226502E-4</v>
      </c>
      <c r="Q159">
        <f t="shared" si="107"/>
        <v>0.99333225009722592</v>
      </c>
      <c r="R159">
        <f t="shared" si="84"/>
        <v>89840.845279593123</v>
      </c>
      <c r="S159">
        <f t="shared" si="85"/>
        <v>993.80586543031825</v>
      </c>
      <c r="T159">
        <f t="shared" si="68"/>
        <v>90162.682343599983</v>
      </c>
      <c r="U159" s="22">
        <f t="shared" si="119"/>
        <v>993.33225009722594</v>
      </c>
      <c r="V159" s="1">
        <f t="shared" si="69"/>
        <v>0</v>
      </c>
      <c r="W159" s="1">
        <f t="shared" si="70"/>
        <v>0</v>
      </c>
      <c r="X159" s="1">
        <f t="shared" si="71"/>
        <v>-194.98471079742845</v>
      </c>
      <c r="Y159" s="1">
        <f t="shared" si="86"/>
        <v>-47.361533309226502</v>
      </c>
      <c r="Z159" s="1">
        <f t="shared" si="72"/>
        <v>-242.34624410665495</v>
      </c>
      <c r="AA159" s="1">
        <f t="shared" si="73"/>
        <v>-321.8370640068606</v>
      </c>
      <c r="AB159" s="1">
        <f t="shared" si="121"/>
        <v>4995.9058129762889</v>
      </c>
      <c r="AC159" s="1">
        <f t="shared" si="75"/>
        <v>4431.7225048627733</v>
      </c>
      <c r="AD159" s="1">
        <f t="shared" si="76"/>
        <v>0.47361533309231163</v>
      </c>
      <c r="AE159">
        <f t="shared" si="77"/>
        <v>4432.1961201958657</v>
      </c>
      <c r="AG159" s="19">
        <v>63</v>
      </c>
      <c r="AH159" s="19">
        <f t="shared" ref="AH159:AK159" si="154">AH72</f>
        <v>6.7183411664219303E-4</v>
      </c>
      <c r="AI159" s="19">
        <f t="shared" si="154"/>
        <v>3.2017414064915292E-4</v>
      </c>
      <c r="AJ159" s="19">
        <f t="shared" si="154"/>
        <v>907.67899999999997</v>
      </c>
      <c r="AK159" s="19">
        <f t="shared" si="154"/>
        <v>876.78200000000004</v>
      </c>
    </row>
    <row r="160" spans="5:37">
      <c r="E160">
        <v>64</v>
      </c>
      <c r="F160" s="13"/>
      <c r="G160" s="13">
        <f t="shared" si="123"/>
        <v>0</v>
      </c>
      <c r="H160" s="13">
        <f t="shared" si="124"/>
        <v>196.20000000000002</v>
      </c>
      <c r="I160" s="13">
        <f t="shared" si="81"/>
        <v>100000</v>
      </c>
      <c r="J160" s="13">
        <f t="shared" si="63"/>
        <v>881.25599999999997</v>
      </c>
      <c r="K160" s="5">
        <f t="shared" si="64"/>
        <v>911.13599999999997</v>
      </c>
      <c r="L160" s="21">
        <f t="shared" si="65"/>
        <v>88125.6</v>
      </c>
      <c r="M160">
        <f t="shared" si="66"/>
        <v>91113.600000000006</v>
      </c>
      <c r="N160">
        <f t="shared" si="82"/>
        <v>0.49916815130000003</v>
      </c>
      <c r="O160">
        <f t="shared" si="83"/>
        <v>0.99333225009722592</v>
      </c>
      <c r="P160">
        <f t="shared" si="106"/>
        <v>4.9583982290770149E-4</v>
      </c>
      <c r="Q160">
        <f t="shared" si="107"/>
        <v>0.99283641027431824</v>
      </c>
      <c r="R160">
        <f t="shared" si="84"/>
        <v>90162.682343599983</v>
      </c>
      <c r="S160">
        <f t="shared" si="85"/>
        <v>993.33225009722594</v>
      </c>
      <c r="T160">
        <f t="shared" si="68"/>
        <v>90460.899551170121</v>
      </c>
      <c r="U160" s="22">
        <f t="shared" ref="U160:U171" si="155">$B$11*I160*Q160</f>
        <v>992.83641027431827</v>
      </c>
      <c r="V160" s="1">
        <f t="shared" si="69"/>
        <v>0</v>
      </c>
      <c r="W160" s="1">
        <f t="shared" si="70"/>
        <v>0</v>
      </c>
      <c r="X160" s="1">
        <f t="shared" si="71"/>
        <v>-194.89178746907575</v>
      </c>
      <c r="Y160" s="1">
        <f t="shared" si="86"/>
        <v>-49.583982290770152</v>
      </c>
      <c r="Z160" s="1">
        <f t="shared" si="72"/>
        <v>-244.47576975984589</v>
      </c>
      <c r="AA160" s="1">
        <f t="shared" si="73"/>
        <v>-298.21720757013827</v>
      </c>
      <c r="AB160" s="1">
        <f t="shared" si="121"/>
        <v>5013.5808026533468</v>
      </c>
      <c r="AC160" s="1">
        <f t="shared" si="75"/>
        <v>4470.8878253233624</v>
      </c>
      <c r="AD160" s="1">
        <f t="shared" si="76"/>
        <v>0.49583982290766926</v>
      </c>
      <c r="AE160">
        <f t="shared" si="77"/>
        <v>4471.3836651462698</v>
      </c>
      <c r="AG160" s="19">
        <v>64</v>
      </c>
      <c r="AH160" s="19">
        <f t="shared" ref="AH160:AK160" si="156">AH73</f>
        <v>3.5165997599304012E-4</v>
      </c>
      <c r="AI160" s="19">
        <f t="shared" si="156"/>
        <v>1.7553746010264822E-4</v>
      </c>
      <c r="AJ160" s="19">
        <f t="shared" si="156"/>
        <v>911.13599999999997</v>
      </c>
      <c r="AK160" s="19">
        <f t="shared" si="156"/>
        <v>881.25599999999997</v>
      </c>
    </row>
    <row r="161" spans="5:37">
      <c r="E161">
        <v>65</v>
      </c>
      <c r="F161" s="13"/>
      <c r="G161" s="13">
        <f t="shared" si="123"/>
        <v>0</v>
      </c>
      <c r="H161" s="13">
        <f t="shared" si="124"/>
        <v>196.20000000000002</v>
      </c>
      <c r="I161" s="13">
        <f t="shared" si="81"/>
        <v>100000</v>
      </c>
      <c r="J161" s="13">
        <f t="shared" ref="J161:J171" si="157">AK161</f>
        <v>885.553</v>
      </c>
      <c r="K161" s="5">
        <f t="shared" ref="K161:K171" si="158">AJ161</f>
        <v>914.44899999999996</v>
      </c>
      <c r="L161" s="21">
        <f t="shared" ref="L161:L171" si="159">I161*J161/1000</f>
        <v>88555.3</v>
      </c>
      <c r="M161">
        <f t="shared" ref="M161:M171" si="160">I161*K161/1000</f>
        <v>91444.9</v>
      </c>
      <c r="N161">
        <f t="shared" si="82"/>
        <v>0.52180043188000003</v>
      </c>
      <c r="O161">
        <f t="shared" si="83"/>
        <v>0.99283641027431824</v>
      </c>
      <c r="P161">
        <f t="shared" si="106"/>
        <v>5.1806246766732806E-4</v>
      </c>
      <c r="Q161">
        <f t="shared" si="107"/>
        <v>0.99231834780665096</v>
      </c>
      <c r="R161">
        <f t="shared" si="84"/>
        <v>90460.899551170121</v>
      </c>
      <c r="S161">
        <f t="shared" si="85"/>
        <v>992.83641027431827</v>
      </c>
      <c r="T161">
        <f t="shared" ref="T161:T171" si="161">M161*Q161</f>
        <v>90742.452083344411</v>
      </c>
      <c r="U161" s="22">
        <f t="shared" si="155"/>
        <v>992.31834780665099</v>
      </c>
      <c r="V161" s="1">
        <f t="shared" ref="V161:V171" si="162">$O161*F161</f>
        <v>0</v>
      </c>
      <c r="W161" s="1">
        <f t="shared" ref="W161:W171" si="163">-$O161*G161</f>
        <v>0</v>
      </c>
      <c r="X161" s="1">
        <f t="shared" ref="X161:X171" si="164">-$O161*H161</f>
        <v>-194.79450369582125</v>
      </c>
      <c r="Y161" s="1">
        <f t="shared" si="86"/>
        <v>-51.806246766732805</v>
      </c>
      <c r="Z161" s="1">
        <f t="shared" ref="Z161:Z171" si="165">SUM(V161:Y161)</f>
        <v>-246.60075046255406</v>
      </c>
      <c r="AA161" s="1">
        <f t="shared" ref="AA161:AA171" si="166">R161-T161</f>
        <v>-281.55253217428981</v>
      </c>
      <c r="AB161" s="1">
        <f t="shared" ref="AB161:AB171" si="167">$B$12*SUM(R161:S161,V161:W161)</f>
        <v>5029.9554778794445</v>
      </c>
      <c r="AC161" s="1">
        <f t="shared" ref="AC161:AC171" si="168">SUM(Z161:AB161)</f>
        <v>4501.8021952426006</v>
      </c>
      <c r="AD161" s="1">
        <f t="shared" ref="AD161:AD171" si="169">S161-U161</f>
        <v>0.51806246766727782</v>
      </c>
      <c r="AE161">
        <f t="shared" ref="AE161:AE171" si="170">SUM(AC161:AD161)</f>
        <v>4502.3202577102675</v>
      </c>
      <c r="AG161" s="19">
        <v>65</v>
      </c>
      <c r="AH161" s="19">
        <f t="shared" ref="AH161:AK161" si="171">AH74</f>
        <v>1.7612251589039189E-4</v>
      </c>
      <c r="AI161" s="19">
        <f t="shared" si="171"/>
        <v>9.1900804855398662E-5</v>
      </c>
      <c r="AJ161" s="19">
        <f t="shared" si="171"/>
        <v>914.44899999999996</v>
      </c>
      <c r="AK161" s="19">
        <f t="shared" si="171"/>
        <v>885.553</v>
      </c>
    </row>
    <row r="162" spans="5:37">
      <c r="E162">
        <v>66</v>
      </c>
      <c r="F162" s="13"/>
      <c r="G162" s="13">
        <f t="shared" ref="G162:G171" si="172">F162*$B$15</f>
        <v>0</v>
      </c>
      <c r="H162" s="13">
        <f t="shared" ref="H162:H171" si="173">$B$17</f>
        <v>196.20000000000002</v>
      </c>
      <c r="I162" s="13">
        <f t="shared" ref="I162:I171" si="174">I161</f>
        <v>100000</v>
      </c>
      <c r="J162" s="13">
        <f t="shared" si="157"/>
        <v>889.88900000000001</v>
      </c>
      <c r="K162" s="5">
        <f t="shared" si="158"/>
        <v>917.77800000000002</v>
      </c>
      <c r="L162" s="21">
        <f t="shared" si="159"/>
        <v>88988.9</v>
      </c>
      <c r="M162">
        <f t="shared" si="160"/>
        <v>91777.8</v>
      </c>
      <c r="N162">
        <f t="shared" ref="N162:N171" si="175">N75</f>
        <v>0.54433245775999994</v>
      </c>
      <c r="O162">
        <f t="shared" ref="O162:O171" si="176">Q161</f>
        <v>0.99231834780665096</v>
      </c>
      <c r="P162">
        <f t="shared" si="106"/>
        <v>5.4015108514193679E-4</v>
      </c>
      <c r="Q162">
        <f t="shared" si="107"/>
        <v>0.99177819672150902</v>
      </c>
      <c r="R162">
        <f t="shared" ref="R162:R171" si="177">T161</f>
        <v>90742.452083344411</v>
      </c>
      <c r="S162">
        <f t="shared" ref="S162:S171" si="178">U161</f>
        <v>992.31834780665099</v>
      </c>
      <c r="T162">
        <f t="shared" si="161"/>
        <v>91023.220983067309</v>
      </c>
      <c r="U162" s="22">
        <f t="shared" si="155"/>
        <v>991.77819672150906</v>
      </c>
      <c r="V162" s="1">
        <f t="shared" si="162"/>
        <v>0</v>
      </c>
      <c r="W162" s="1">
        <f t="shared" si="163"/>
        <v>0</v>
      </c>
      <c r="X162" s="1">
        <f t="shared" si="164"/>
        <v>-194.69285983966495</v>
      </c>
      <c r="Y162" s="1">
        <f t="shared" ref="Y162:Y171" si="179">-P162*I162</f>
        <v>-54.015108514193678</v>
      </c>
      <c r="Z162" s="1">
        <f t="shared" si="165"/>
        <v>-248.70796835385863</v>
      </c>
      <c r="AA162" s="1">
        <f t="shared" si="166"/>
        <v>-280.76889972289791</v>
      </c>
      <c r="AB162" s="1">
        <f t="shared" si="167"/>
        <v>5045.4123737133086</v>
      </c>
      <c r="AC162" s="1">
        <f t="shared" si="168"/>
        <v>4515.9355056365521</v>
      </c>
      <c r="AD162" s="1">
        <f t="shared" si="169"/>
        <v>0.54015108514192889</v>
      </c>
      <c r="AE162">
        <f t="shared" si="170"/>
        <v>4516.4756567216937</v>
      </c>
      <c r="AG162" s="19">
        <v>66</v>
      </c>
      <c r="AH162" s="19">
        <f t="shared" ref="AH162:AK162" si="180">AH75</f>
        <v>8.4221711034993232E-5</v>
      </c>
      <c r="AI162" s="19">
        <f t="shared" si="180"/>
        <v>4.5844610964430378E-5</v>
      </c>
      <c r="AJ162" s="19">
        <f t="shared" si="180"/>
        <v>917.77800000000002</v>
      </c>
      <c r="AK162" s="19">
        <f t="shared" si="180"/>
        <v>889.88900000000001</v>
      </c>
    </row>
    <row r="163" spans="5:37">
      <c r="E163">
        <v>67</v>
      </c>
      <c r="F163" s="13"/>
      <c r="G163" s="13">
        <f t="shared" si="172"/>
        <v>0</v>
      </c>
      <c r="H163" s="13">
        <f t="shared" si="173"/>
        <v>196.20000000000002</v>
      </c>
      <c r="I163" s="13">
        <f t="shared" si="174"/>
        <v>100000</v>
      </c>
      <c r="J163" s="13">
        <f t="shared" si="157"/>
        <v>893.88300000000004</v>
      </c>
      <c r="K163" s="5">
        <f t="shared" si="158"/>
        <v>920.83199999999999</v>
      </c>
      <c r="L163" s="21">
        <f t="shared" si="159"/>
        <v>89388.3</v>
      </c>
      <c r="M163">
        <f t="shared" si="160"/>
        <v>92083.199999999997</v>
      </c>
      <c r="N163">
        <f t="shared" si="175"/>
        <v>0.57049196021999993</v>
      </c>
      <c r="O163">
        <f t="shared" si="176"/>
        <v>0.99177819672150902</v>
      </c>
      <c r="P163">
        <f t="shared" si="106"/>
        <v>5.6580148755111038E-4</v>
      </c>
      <c r="Q163">
        <f t="shared" si="107"/>
        <v>0.99121239523395788</v>
      </c>
      <c r="R163">
        <f t="shared" si="177"/>
        <v>91023.220983067309</v>
      </c>
      <c r="S163">
        <f t="shared" si="178"/>
        <v>991.77819672150906</v>
      </c>
      <c r="T163">
        <f t="shared" si="161"/>
        <v>91274.009232807584</v>
      </c>
      <c r="U163" s="22">
        <f t="shared" si="155"/>
        <v>991.21239523395786</v>
      </c>
      <c r="V163" s="1">
        <f t="shared" si="162"/>
        <v>0</v>
      </c>
      <c r="W163" s="1">
        <f t="shared" si="163"/>
        <v>0</v>
      </c>
      <c r="X163" s="1">
        <f t="shared" si="164"/>
        <v>-194.58688219676009</v>
      </c>
      <c r="Y163" s="1">
        <f t="shared" si="179"/>
        <v>-56.58014875511104</v>
      </c>
      <c r="Z163" s="1">
        <f t="shared" si="165"/>
        <v>-251.16703095187114</v>
      </c>
      <c r="AA163" s="1">
        <f t="shared" si="166"/>
        <v>-250.78824974027521</v>
      </c>
      <c r="AB163" s="1">
        <f t="shared" si="167"/>
        <v>5060.824954888385</v>
      </c>
      <c r="AC163" s="1">
        <f t="shared" si="168"/>
        <v>4558.8696741962385</v>
      </c>
      <c r="AD163" s="1">
        <f t="shared" si="169"/>
        <v>0.56580148755119808</v>
      </c>
      <c r="AE163">
        <f t="shared" si="170"/>
        <v>4559.4354756837893</v>
      </c>
      <c r="AG163" s="19">
        <v>67</v>
      </c>
      <c r="AH163" s="19">
        <f t="shared" ref="AH163:AK163" si="181">AH76</f>
        <v>3.8377100070562854E-5</v>
      </c>
      <c r="AI163" s="19">
        <f t="shared" si="181"/>
        <v>2.1893827046814499E-5</v>
      </c>
      <c r="AJ163" s="19">
        <f t="shared" si="181"/>
        <v>920.83199999999999</v>
      </c>
      <c r="AK163" s="19">
        <f t="shared" si="181"/>
        <v>893.88300000000004</v>
      </c>
    </row>
    <row r="164" spans="5:37">
      <c r="E164">
        <v>68</v>
      </c>
      <c r="F164" s="13"/>
      <c r="G164" s="13">
        <f t="shared" si="172"/>
        <v>0</v>
      </c>
      <c r="H164" s="13">
        <f t="shared" si="173"/>
        <v>196.20000000000002</v>
      </c>
      <c r="I164" s="13">
        <f t="shared" si="174"/>
        <v>100000</v>
      </c>
      <c r="J164" s="13">
        <f t="shared" si="157"/>
        <v>897.53399999999999</v>
      </c>
      <c r="K164" s="5">
        <f t="shared" si="158"/>
        <v>923.59900000000005</v>
      </c>
      <c r="L164" s="21">
        <f t="shared" si="159"/>
        <v>89753.4</v>
      </c>
      <c r="M164">
        <f t="shared" si="160"/>
        <v>92359.9</v>
      </c>
      <c r="N164">
        <f t="shared" si="175"/>
        <v>0.59650936254000009</v>
      </c>
      <c r="O164">
        <f t="shared" si="176"/>
        <v>0.99121239523395788</v>
      </c>
      <c r="P164">
        <f t="shared" si="106"/>
        <v>5.9126747402275478E-4</v>
      </c>
      <c r="Q164">
        <f t="shared" si="107"/>
        <v>0.99062112775993516</v>
      </c>
      <c r="R164">
        <f t="shared" si="177"/>
        <v>91274.009232807584</v>
      </c>
      <c r="S164">
        <f t="shared" si="178"/>
        <v>991.21239523395786</v>
      </c>
      <c r="T164">
        <f t="shared" si="161"/>
        <v>91493.668297794837</v>
      </c>
      <c r="U164" s="22">
        <f t="shared" si="155"/>
        <v>990.62112775993512</v>
      </c>
      <c r="V164" s="1">
        <f t="shared" si="162"/>
        <v>0</v>
      </c>
      <c r="W164" s="1">
        <f t="shared" si="163"/>
        <v>0</v>
      </c>
      <c r="X164" s="1">
        <f t="shared" si="164"/>
        <v>-194.47587194490256</v>
      </c>
      <c r="Y164" s="1">
        <f t="shared" si="179"/>
        <v>-59.126747402275477</v>
      </c>
      <c r="Z164" s="1">
        <f t="shared" si="165"/>
        <v>-253.60261934717803</v>
      </c>
      <c r="AA164" s="1">
        <f t="shared" si="166"/>
        <v>-219.65906498725235</v>
      </c>
      <c r="AB164" s="1">
        <f t="shared" si="167"/>
        <v>5074.5871895422852</v>
      </c>
      <c r="AC164" s="1">
        <f t="shared" si="168"/>
        <v>4601.3255052078548</v>
      </c>
      <c r="AD164" s="1">
        <f t="shared" si="169"/>
        <v>0.59126747402274304</v>
      </c>
      <c r="AE164">
        <f t="shared" si="170"/>
        <v>4601.9167726818778</v>
      </c>
      <c r="AG164" s="19">
        <v>68</v>
      </c>
      <c r="AH164" s="19">
        <f t="shared" ref="AH164:AK164" si="182">AH77</f>
        <v>1.6483273023748356E-5</v>
      </c>
      <c r="AI164" s="19">
        <f t="shared" si="182"/>
        <v>9.8324266839689121E-6</v>
      </c>
      <c r="AJ164" s="19">
        <f t="shared" si="182"/>
        <v>923.59900000000005</v>
      </c>
      <c r="AK164" s="19">
        <f t="shared" si="182"/>
        <v>897.53399999999999</v>
      </c>
    </row>
    <row r="165" spans="5:37">
      <c r="E165">
        <v>69</v>
      </c>
      <c r="F165" s="13"/>
      <c r="G165" s="13">
        <f t="shared" si="172"/>
        <v>0</v>
      </c>
      <c r="H165" s="13">
        <f t="shared" si="173"/>
        <v>196.20000000000002</v>
      </c>
      <c r="I165" s="13">
        <f t="shared" si="174"/>
        <v>100000</v>
      </c>
      <c r="J165" s="13">
        <f t="shared" si="157"/>
        <v>900.77</v>
      </c>
      <c r="K165" s="5">
        <f t="shared" si="158"/>
        <v>925.99</v>
      </c>
      <c r="L165" s="21">
        <f t="shared" si="159"/>
        <v>90077</v>
      </c>
      <c r="M165">
        <f t="shared" si="160"/>
        <v>92599</v>
      </c>
      <c r="N165">
        <f t="shared" si="175"/>
        <v>0.62235240886000009</v>
      </c>
      <c r="O165">
        <f t="shared" si="176"/>
        <v>0.99062112775993516</v>
      </c>
      <c r="P165">
        <f t="shared" si="106"/>
        <v>6.1651544512900558E-4</v>
      </c>
      <c r="Q165">
        <f t="shared" si="107"/>
        <v>0.99000461231480619</v>
      </c>
      <c r="R165">
        <f t="shared" si="177"/>
        <v>91493.668297794837</v>
      </c>
      <c r="S165">
        <f t="shared" si="178"/>
        <v>990.62112775993512</v>
      </c>
      <c r="T165">
        <f t="shared" si="161"/>
        <v>91673.437095738744</v>
      </c>
      <c r="U165" s="22">
        <f t="shared" si="155"/>
        <v>990.0046123148062</v>
      </c>
      <c r="V165" s="1">
        <f t="shared" si="162"/>
        <v>0</v>
      </c>
      <c r="W165" s="1">
        <f t="shared" si="163"/>
        <v>0</v>
      </c>
      <c r="X165" s="1">
        <f t="shared" si="164"/>
        <v>-194.3598652664993</v>
      </c>
      <c r="Y165" s="1">
        <f t="shared" si="179"/>
        <v>-61.651544512900557</v>
      </c>
      <c r="Z165" s="1">
        <f t="shared" si="165"/>
        <v>-256.01140977939986</v>
      </c>
      <c r="AA165" s="1">
        <f t="shared" si="166"/>
        <v>-179.76879794390697</v>
      </c>
      <c r="AB165" s="1">
        <f t="shared" si="167"/>
        <v>5086.6359184055127</v>
      </c>
      <c r="AC165" s="1">
        <f t="shared" si="168"/>
        <v>4650.8557106822063</v>
      </c>
      <c r="AD165" s="1">
        <f t="shared" si="169"/>
        <v>0.61651544512892542</v>
      </c>
      <c r="AE165">
        <f t="shared" si="170"/>
        <v>4651.4722261273355</v>
      </c>
      <c r="AG165" s="19">
        <v>69</v>
      </c>
      <c r="AH165" s="19">
        <f t="shared" ref="AH165:AK165" si="183">AH78</f>
        <v>6.6508463397794435E-6</v>
      </c>
      <c r="AI165" s="19">
        <f t="shared" si="183"/>
        <v>4.1391702405194512E-6</v>
      </c>
      <c r="AJ165" s="19">
        <f t="shared" si="183"/>
        <v>925.99</v>
      </c>
      <c r="AK165" s="19">
        <f t="shared" si="183"/>
        <v>900.77</v>
      </c>
    </row>
    <row r="166" spans="5:37">
      <c r="E166">
        <v>70</v>
      </c>
      <c r="F166" s="13"/>
      <c r="G166" s="13">
        <f t="shared" si="172"/>
        <v>0</v>
      </c>
      <c r="H166" s="13">
        <f t="shared" si="173"/>
        <v>196.20000000000002</v>
      </c>
      <c r="I166" s="13">
        <f t="shared" si="174"/>
        <v>100000</v>
      </c>
      <c r="J166" s="13">
        <f t="shared" si="157"/>
        <v>903.28700000000003</v>
      </c>
      <c r="K166" s="5">
        <f t="shared" si="158"/>
        <v>927.66499999999996</v>
      </c>
      <c r="L166" s="21">
        <f t="shared" si="159"/>
        <v>90328.7</v>
      </c>
      <c r="M166">
        <f t="shared" si="160"/>
        <v>92766.5</v>
      </c>
      <c r="N166">
        <f t="shared" si="175"/>
        <v>0.64798884332000006</v>
      </c>
      <c r="O166">
        <f t="shared" si="176"/>
        <v>0.99000461231480619</v>
      </c>
      <c r="P166">
        <f t="shared" si="106"/>
        <v>6.4151194361533636E-4</v>
      </c>
      <c r="Q166">
        <f t="shared" si="107"/>
        <v>0.9893631003711908</v>
      </c>
      <c r="R166">
        <f t="shared" si="177"/>
        <v>91673.437095738744</v>
      </c>
      <c r="S166">
        <f t="shared" si="178"/>
        <v>990.0046123148062</v>
      </c>
      <c r="T166">
        <f t="shared" si="161"/>
        <v>91779.752050584066</v>
      </c>
      <c r="U166" s="22">
        <f t="shared" si="155"/>
        <v>989.36310037119074</v>
      </c>
      <c r="V166" s="1">
        <f t="shared" si="162"/>
        <v>0</v>
      </c>
      <c r="W166" s="1">
        <f t="shared" si="163"/>
        <v>0</v>
      </c>
      <c r="X166" s="1">
        <f t="shared" si="164"/>
        <v>-194.238904936165</v>
      </c>
      <c r="Y166" s="1">
        <f t="shared" si="179"/>
        <v>-64.151194361533641</v>
      </c>
      <c r="Z166" s="1">
        <f t="shared" si="165"/>
        <v>-258.39009929769861</v>
      </c>
      <c r="AA166" s="1">
        <f t="shared" si="166"/>
        <v>-106.31495484532206</v>
      </c>
      <c r="AB166" s="1">
        <f t="shared" si="167"/>
        <v>5096.4892939429456</v>
      </c>
      <c r="AC166" s="1">
        <f t="shared" si="168"/>
        <v>4731.7842397999248</v>
      </c>
      <c r="AD166" s="1">
        <f t="shared" si="169"/>
        <v>0.64151194361545549</v>
      </c>
      <c r="AE166">
        <f t="shared" si="170"/>
        <v>4732.4257517435399</v>
      </c>
      <c r="AG166" s="19">
        <v>70</v>
      </c>
      <c r="AH166" s="19">
        <f t="shared" ref="AH166:AK166" si="184">AH79</f>
        <v>2.5116760992599924E-6</v>
      </c>
      <c r="AI166" s="19">
        <f t="shared" si="184"/>
        <v>1.6275380903539721E-6</v>
      </c>
      <c r="AJ166" s="19">
        <f t="shared" si="184"/>
        <v>927.66499999999996</v>
      </c>
      <c r="AK166" s="19">
        <f t="shared" si="184"/>
        <v>903.28700000000003</v>
      </c>
    </row>
    <row r="167" spans="5:37">
      <c r="E167">
        <v>71</v>
      </c>
      <c r="F167" s="13"/>
      <c r="G167" s="13">
        <f t="shared" si="172"/>
        <v>0</v>
      </c>
      <c r="H167" s="13">
        <f t="shared" si="173"/>
        <v>196.20000000000002</v>
      </c>
      <c r="I167" s="13">
        <f t="shared" si="174"/>
        <v>100000</v>
      </c>
      <c r="J167" s="13">
        <f t="shared" si="157"/>
        <v>903.93499999999995</v>
      </c>
      <c r="K167" s="5">
        <f t="shared" si="158"/>
        <v>927.37199999999996</v>
      </c>
      <c r="L167" s="21">
        <f t="shared" si="159"/>
        <v>90393.5</v>
      </c>
      <c r="M167">
        <f t="shared" si="160"/>
        <v>92737.2</v>
      </c>
      <c r="N167">
        <f t="shared" si="175"/>
        <v>0.67338728183999996</v>
      </c>
      <c r="O167">
        <f t="shared" si="176"/>
        <v>0.9893631003711908</v>
      </c>
      <c r="P167">
        <f t="shared" si="106"/>
        <v>6.6622452891175118E-4</v>
      </c>
      <c r="Q167">
        <f t="shared" si="107"/>
        <v>0.98869687584227905</v>
      </c>
      <c r="R167">
        <f t="shared" si="177"/>
        <v>91779.752050584066</v>
      </c>
      <c r="S167">
        <f t="shared" si="178"/>
        <v>989.36310037119074</v>
      </c>
      <c r="T167">
        <f t="shared" si="161"/>
        <v>91688.979914360592</v>
      </c>
      <c r="U167" s="22">
        <f t="shared" si="155"/>
        <v>988.69687584227904</v>
      </c>
      <c r="V167" s="1">
        <f t="shared" si="162"/>
        <v>0</v>
      </c>
      <c r="W167" s="1">
        <f t="shared" si="163"/>
        <v>0</v>
      </c>
      <c r="X167" s="1">
        <f t="shared" si="164"/>
        <v>-194.11304029282766</v>
      </c>
      <c r="Y167" s="1">
        <f t="shared" si="179"/>
        <v>-66.622452891175115</v>
      </c>
      <c r="Z167" s="1">
        <f t="shared" si="165"/>
        <v>-260.73549318400279</v>
      </c>
      <c r="AA167" s="1">
        <f t="shared" si="166"/>
        <v>90.772136223473353</v>
      </c>
      <c r="AB167" s="1">
        <f t="shared" si="167"/>
        <v>5102.3013333025392</v>
      </c>
      <c r="AC167" s="1">
        <f t="shared" si="168"/>
        <v>4932.3379763420098</v>
      </c>
      <c r="AD167" s="1">
        <f t="shared" si="169"/>
        <v>0.66622452891169814</v>
      </c>
      <c r="AE167">
        <f t="shared" si="170"/>
        <v>4933.0042008709215</v>
      </c>
      <c r="AG167" s="19">
        <v>71</v>
      </c>
      <c r="AH167" s="19">
        <f t="shared" ref="AH167:AK167" si="185">AH80</f>
        <v>8.8413800890602027E-7</v>
      </c>
      <c r="AI167" s="19">
        <f t="shared" si="185"/>
        <v>5.9536729058865463E-7</v>
      </c>
      <c r="AJ167" s="19">
        <f t="shared" si="185"/>
        <v>927.37199999999996</v>
      </c>
      <c r="AK167" s="19">
        <f t="shared" si="185"/>
        <v>903.93499999999995</v>
      </c>
    </row>
    <row r="168" spans="5:37">
      <c r="E168">
        <v>72</v>
      </c>
      <c r="F168" s="13"/>
      <c r="G168" s="13">
        <f t="shared" si="172"/>
        <v>0</v>
      </c>
      <c r="H168" s="13">
        <f t="shared" si="173"/>
        <v>196.20000000000002</v>
      </c>
      <c r="I168" s="13">
        <f t="shared" si="174"/>
        <v>100000</v>
      </c>
      <c r="J168" s="13">
        <f t="shared" si="157"/>
        <v>898.16</v>
      </c>
      <c r="K168" s="5">
        <f t="shared" si="158"/>
        <v>920.27300000000002</v>
      </c>
      <c r="L168" s="21">
        <f t="shared" si="159"/>
        <v>89816</v>
      </c>
      <c r="M168">
        <f t="shared" si="160"/>
        <v>92027.3</v>
      </c>
      <c r="N168">
        <f t="shared" si="175"/>
        <v>0.69865669691999999</v>
      </c>
      <c r="O168">
        <f t="shared" si="176"/>
        <v>0.98869687584227905</v>
      </c>
      <c r="P168">
        <f t="shared" si="106"/>
        <v>6.9075969353108997E-4</v>
      </c>
      <c r="Q168">
        <f t="shared" si="107"/>
        <v>0.988006116148748</v>
      </c>
      <c r="R168">
        <f t="shared" si="177"/>
        <v>91688.979914360592</v>
      </c>
      <c r="S168">
        <f t="shared" si="178"/>
        <v>988.69687584227904</v>
      </c>
      <c r="T168">
        <f t="shared" si="161"/>
        <v>90923.535252655682</v>
      </c>
      <c r="U168" s="22">
        <f t="shared" si="155"/>
        <v>988.00611614874799</v>
      </c>
      <c r="V168" s="1">
        <f t="shared" si="162"/>
        <v>0</v>
      </c>
      <c r="W168" s="1">
        <f t="shared" si="163"/>
        <v>0</v>
      </c>
      <c r="X168" s="1">
        <f t="shared" si="164"/>
        <v>-193.98232704025517</v>
      </c>
      <c r="Y168" s="1">
        <f t="shared" si="179"/>
        <v>-69.075969353109002</v>
      </c>
      <c r="Z168" s="1">
        <f t="shared" si="165"/>
        <v>-263.05829639336417</v>
      </c>
      <c r="AA168" s="1">
        <f t="shared" si="166"/>
        <v>765.44466170491069</v>
      </c>
      <c r="AB168" s="1">
        <f t="shared" si="167"/>
        <v>5097.2722234611574</v>
      </c>
      <c r="AC168" s="1">
        <f t="shared" si="168"/>
        <v>5599.6585887727042</v>
      </c>
      <c r="AD168" s="1">
        <f t="shared" si="169"/>
        <v>0.69075969353104938</v>
      </c>
      <c r="AE168">
        <f t="shared" si="170"/>
        <v>5600.3493484662349</v>
      </c>
      <c r="AG168" s="19">
        <v>72</v>
      </c>
      <c r="AH168" s="19">
        <f t="shared" ref="AH168:AK168" si="186">AH81</f>
        <v>2.8877071831736564E-7</v>
      </c>
      <c r="AI168" s="19">
        <f t="shared" si="186"/>
        <v>2.0175159622682641E-7</v>
      </c>
      <c r="AJ168" s="19">
        <f t="shared" si="186"/>
        <v>920.27300000000002</v>
      </c>
      <c r="AK168" s="19">
        <f t="shared" si="186"/>
        <v>898.16</v>
      </c>
    </row>
    <row r="169" spans="5:37">
      <c r="E169">
        <v>73</v>
      </c>
      <c r="F169" s="13"/>
      <c r="G169" s="13">
        <f t="shared" si="172"/>
        <v>0</v>
      </c>
      <c r="H169" s="13">
        <f t="shared" si="173"/>
        <v>196.20000000000002</v>
      </c>
      <c r="I169" s="13">
        <f t="shared" si="174"/>
        <v>100000</v>
      </c>
      <c r="J169" s="13">
        <f t="shared" si="157"/>
        <v>866.66399999999999</v>
      </c>
      <c r="K169" s="5">
        <f t="shared" si="158"/>
        <v>886.23199999999997</v>
      </c>
      <c r="L169" s="21">
        <f t="shared" si="159"/>
        <v>86666.4</v>
      </c>
      <c r="M169">
        <f t="shared" si="160"/>
        <v>88623.2</v>
      </c>
      <c r="N169">
        <f t="shared" si="175"/>
        <v>0.72392524022000004</v>
      </c>
      <c r="O169">
        <f t="shared" si="176"/>
        <v>0.988006116148748</v>
      </c>
      <c r="P169">
        <f t="shared" si="106"/>
        <v>7.1524256497181168E-4</v>
      </c>
      <c r="Q169">
        <f t="shared" si="107"/>
        <v>0.98729087358377621</v>
      </c>
      <c r="R169">
        <f t="shared" si="177"/>
        <v>90923.535252655682</v>
      </c>
      <c r="S169">
        <f t="shared" si="178"/>
        <v>988.00611614874799</v>
      </c>
      <c r="T169">
        <f t="shared" si="161"/>
        <v>87496.87654778971</v>
      </c>
      <c r="U169" s="22">
        <f t="shared" si="155"/>
        <v>987.29087358377626</v>
      </c>
      <c r="V169" s="1">
        <f t="shared" si="162"/>
        <v>0</v>
      </c>
      <c r="W169" s="1">
        <f t="shared" si="163"/>
        <v>0</v>
      </c>
      <c r="X169" s="1">
        <f t="shared" si="164"/>
        <v>-193.84679998838436</v>
      </c>
      <c r="Y169" s="1">
        <f t="shared" si="179"/>
        <v>-71.52425649718117</v>
      </c>
      <c r="Z169" s="1">
        <f t="shared" si="165"/>
        <v>-265.37105648556553</v>
      </c>
      <c r="AA169" s="1">
        <f t="shared" si="166"/>
        <v>3426.6587048659712</v>
      </c>
      <c r="AB169" s="1">
        <f t="shared" si="167"/>
        <v>5055.1347752842439</v>
      </c>
      <c r="AC169" s="1">
        <f t="shared" si="168"/>
        <v>8216.4224236646496</v>
      </c>
      <c r="AD169" s="1">
        <f t="shared" si="169"/>
        <v>0.71524256497173155</v>
      </c>
      <c r="AE169">
        <f t="shared" si="170"/>
        <v>8217.1376662296207</v>
      </c>
      <c r="AG169" s="19">
        <v>73</v>
      </c>
      <c r="AH169" s="19">
        <f t="shared" ref="AH169:AK169" si="187">AH82</f>
        <v>8.7019122090539232E-8</v>
      </c>
      <c r="AI169" s="19">
        <f t="shared" si="187"/>
        <v>6.2995338863127127E-8</v>
      </c>
      <c r="AJ169" s="19">
        <f t="shared" si="187"/>
        <v>886.23199999999997</v>
      </c>
      <c r="AK169" s="19">
        <f t="shared" si="187"/>
        <v>866.66399999999999</v>
      </c>
    </row>
    <row r="170" spans="5:37">
      <c r="E170">
        <v>74</v>
      </c>
      <c r="F170" s="13"/>
      <c r="G170" s="13">
        <f t="shared" si="172"/>
        <v>0</v>
      </c>
      <c r="H170" s="13">
        <f t="shared" si="173"/>
        <v>196.20000000000002</v>
      </c>
      <c r="I170" s="13">
        <f t="shared" si="174"/>
        <v>100000</v>
      </c>
      <c r="J170" s="13">
        <f t="shared" si="157"/>
        <v>710.20299999999997</v>
      </c>
      <c r="K170" s="5">
        <f t="shared" si="158"/>
        <v>733.61199999999997</v>
      </c>
      <c r="L170" s="21">
        <f t="shared" si="159"/>
        <v>71020.3</v>
      </c>
      <c r="M170">
        <f t="shared" si="160"/>
        <v>73361.2</v>
      </c>
      <c r="N170">
        <f t="shared" si="175"/>
        <v>0.74919465529999996</v>
      </c>
      <c r="O170">
        <f t="shared" si="176"/>
        <v>0.98729087358377621</v>
      </c>
      <c r="P170">
        <f t="shared" si="106"/>
        <v>7.39673045715433E-4</v>
      </c>
      <c r="Q170">
        <f t="shared" si="107"/>
        <v>0.98655120053806078</v>
      </c>
      <c r="R170">
        <f t="shared" si="177"/>
        <v>87496.87654778971</v>
      </c>
      <c r="S170">
        <f t="shared" si="178"/>
        <v>987.29087358377626</v>
      </c>
      <c r="T170">
        <f t="shared" si="161"/>
        <v>72374.579932912777</v>
      </c>
      <c r="U170" s="22">
        <f t="shared" si="155"/>
        <v>986.55120053806081</v>
      </c>
      <c r="V170" s="1">
        <f t="shared" si="162"/>
        <v>0</v>
      </c>
      <c r="W170" s="1">
        <f t="shared" si="163"/>
        <v>0</v>
      </c>
      <c r="X170" s="1">
        <f t="shared" si="164"/>
        <v>-193.70646939713691</v>
      </c>
      <c r="Y170" s="1">
        <f t="shared" si="179"/>
        <v>-73.967304571543295</v>
      </c>
      <c r="Z170" s="1">
        <f t="shared" si="165"/>
        <v>-267.67377396868022</v>
      </c>
      <c r="AA170" s="1">
        <f t="shared" si="166"/>
        <v>15122.296614876934</v>
      </c>
      <c r="AB170" s="1">
        <f t="shared" si="167"/>
        <v>4866.6292081755419</v>
      </c>
      <c r="AC170" s="1">
        <f t="shared" si="168"/>
        <v>19721.252049083796</v>
      </c>
      <c r="AD170" s="1">
        <f t="shared" si="169"/>
        <v>0.73967304571544901</v>
      </c>
      <c r="AE170">
        <f t="shared" si="170"/>
        <v>19721.991722129511</v>
      </c>
      <c r="AG170" s="19">
        <v>74</v>
      </c>
      <c r="AH170" s="19">
        <f t="shared" ref="AH170:AK170" si="188">AH83</f>
        <v>2.4023783227412105E-8</v>
      </c>
      <c r="AI170" s="19">
        <f t="shared" si="188"/>
        <v>1.7998489994062932E-8</v>
      </c>
      <c r="AJ170" s="19">
        <f t="shared" si="188"/>
        <v>733.61199999999997</v>
      </c>
      <c r="AK170" s="19">
        <f t="shared" si="188"/>
        <v>710.20299999999997</v>
      </c>
    </row>
    <row r="171" spans="5:37">
      <c r="E171">
        <v>75</v>
      </c>
      <c r="F171" s="13"/>
      <c r="G171" s="13">
        <f t="shared" si="172"/>
        <v>0</v>
      </c>
      <c r="H171" s="13">
        <f t="shared" si="173"/>
        <v>196.20000000000002</v>
      </c>
      <c r="I171" s="13">
        <f t="shared" si="174"/>
        <v>100000</v>
      </c>
      <c r="J171" s="13">
        <f t="shared" si="157"/>
        <v>0</v>
      </c>
      <c r="K171" s="5">
        <f t="shared" si="158"/>
        <v>0</v>
      </c>
      <c r="L171" s="21">
        <f t="shared" si="159"/>
        <v>0</v>
      </c>
      <c r="M171">
        <f t="shared" si="160"/>
        <v>0</v>
      </c>
      <c r="N171">
        <f t="shared" si="175"/>
        <v>0.77446407037999998</v>
      </c>
      <c r="O171">
        <f t="shared" si="176"/>
        <v>0.98655120053806078</v>
      </c>
      <c r="P171">
        <f t="shared" si="106"/>
        <v>7.6404845840698221E-4</v>
      </c>
      <c r="Q171">
        <f t="shared" si="107"/>
        <v>0.98578715207965384</v>
      </c>
      <c r="R171">
        <f t="shared" si="177"/>
        <v>72374.579932912777</v>
      </c>
      <c r="S171">
        <f t="shared" si="178"/>
        <v>986.55120053806081</v>
      </c>
      <c r="T171">
        <f t="shared" si="161"/>
        <v>0</v>
      </c>
      <c r="U171" s="22">
        <f t="shared" si="155"/>
        <v>985.78715207965388</v>
      </c>
      <c r="V171" s="1">
        <f t="shared" si="162"/>
        <v>0</v>
      </c>
      <c r="W171" s="1">
        <f t="shared" si="163"/>
        <v>0</v>
      </c>
      <c r="X171" s="1">
        <f t="shared" si="164"/>
        <v>-193.56134554556755</v>
      </c>
      <c r="Y171" s="1">
        <f t="shared" si="179"/>
        <v>-76.404845840698215</v>
      </c>
      <c r="Z171" s="1">
        <f t="shared" si="165"/>
        <v>-269.96619138626579</v>
      </c>
      <c r="AA171" s="1">
        <f t="shared" si="166"/>
        <v>72374.579932912777</v>
      </c>
      <c r="AB171" s="1">
        <f t="shared" si="167"/>
        <v>4034.8622123397959</v>
      </c>
      <c r="AC171" s="1">
        <f t="shared" si="168"/>
        <v>76139.475953866306</v>
      </c>
      <c r="AD171" s="1">
        <f t="shared" si="169"/>
        <v>0.7640484584069327</v>
      </c>
      <c r="AE171">
        <f t="shared" si="170"/>
        <v>76140.240002324717</v>
      </c>
      <c r="AG171" s="19">
        <v>75</v>
      </c>
      <c r="AH171" s="19">
        <f t="shared" ref="AH171:AK171" si="189">AH84</f>
        <v>6.0252932333491729E-9</v>
      </c>
      <c r="AI171" s="19">
        <f t="shared" si="189"/>
        <v>4.6663731227326711E-9</v>
      </c>
      <c r="AJ171" s="19">
        <f t="shared" si="189"/>
        <v>0</v>
      </c>
      <c r="AK171" s="19">
        <f t="shared" si="189"/>
        <v>0</v>
      </c>
    </row>
    <row r="172" spans="5:37">
      <c r="F172" s="13"/>
      <c r="G172" s="13"/>
      <c r="H172" s="13"/>
      <c r="I172" s="13"/>
      <c r="J172" s="13"/>
      <c r="AG172" s="19"/>
    </row>
    <row r="173" spans="5:37">
      <c r="T173" s="19"/>
      <c r="AG173" s="19"/>
      <c r="AH173" s="19"/>
      <c r="AI173" s="19"/>
      <c r="AJ173" s="19"/>
      <c r="AK173" s="19"/>
    </row>
    <row r="174" spans="5:37">
      <c r="T174" s="19"/>
      <c r="U174" s="19" t="s">
        <v>116</v>
      </c>
      <c r="V174" s="19">
        <f>SUM(V96:V171)</f>
        <v>10830.390874328761</v>
      </c>
      <c r="W174" s="19">
        <f t="shared" ref="W174:AE174" si="190">SUM(W96:W171)</f>
        <v>-1083.0390874328762</v>
      </c>
      <c r="X174" s="19">
        <f t="shared" si="190"/>
        <v>-14751.482796915769</v>
      </c>
      <c r="Y174" s="19">
        <f t="shared" si="190"/>
        <v>-1421.2847920346169</v>
      </c>
      <c r="Z174" s="19">
        <f t="shared" si="190"/>
        <v>-6425.4158020545065</v>
      </c>
      <c r="AA174" s="19">
        <f t="shared" si="190"/>
        <v>0</v>
      </c>
      <c r="AB174" s="19">
        <f t="shared" si="190"/>
        <v>242288.69321544559</v>
      </c>
      <c r="AC174" s="19">
        <f t="shared" si="190"/>
        <v>235863.2774133911</v>
      </c>
      <c r="AD174" s="19">
        <f t="shared" si="190"/>
        <v>-985.78715207965388</v>
      </c>
      <c r="AE174" s="19">
        <f t="shared" si="190"/>
        <v>234877.49026131144</v>
      </c>
      <c r="AF174" s="19"/>
      <c r="AG174" s="19"/>
      <c r="AH174" s="19"/>
      <c r="AI174" s="19"/>
      <c r="AJ174" s="19"/>
      <c r="AK174" s="19"/>
    </row>
    <row r="175" spans="5:37">
      <c r="T175" s="19"/>
      <c r="U175" t="str">
        <f>"PV at "&amp;$B$12</f>
        <v>PV at 0.055</v>
      </c>
      <c r="V175">
        <f>V96+NPV($B$12,V97:V171)</f>
        <v>10830.390874328761</v>
      </c>
      <c r="W175">
        <f t="shared" ref="W175:AE175" si="191">W96+NPV($B$12,W97:W171)</f>
        <v>-1083.0390874328762</v>
      </c>
      <c r="X175">
        <f t="shared" si="191"/>
        <v>-3585.2093046726905</v>
      </c>
      <c r="Y175">
        <f t="shared" si="191"/>
        <v>-66.658235413910788</v>
      </c>
      <c r="Z175">
        <f t="shared" si="191"/>
        <v>6095.4842468092793</v>
      </c>
      <c r="AA175">
        <f t="shared" si="191"/>
        <v>-28273.036678962977</v>
      </c>
      <c r="AB175">
        <f t="shared" si="191"/>
        <v>29254.59349739294</v>
      </c>
      <c r="AC175">
        <f t="shared" si="191"/>
        <v>7077.041065239252</v>
      </c>
      <c r="AD175">
        <f t="shared" si="191"/>
        <v>-999.33341764586089</v>
      </c>
      <c r="AE175">
        <f t="shared" si="191"/>
        <v>6077.7076475933873</v>
      </c>
      <c r="AH175" s="19"/>
      <c r="AI175" s="19"/>
      <c r="AJ175" s="19"/>
      <c r="AK175" s="19"/>
    </row>
    <row r="176" spans="5:37">
      <c r="T176" s="19"/>
      <c r="U176" t="str">
        <f>"PV at "&amp;$B$13</f>
        <v>PV at 0.12</v>
      </c>
      <c r="V176" s="19">
        <f>V96+NPV($B$13,V97:V171)</f>
        <v>10830.390874328761</v>
      </c>
      <c r="W176" s="19">
        <f t="shared" ref="W176:AE176" si="192">W96+NPV($B$13,W97:W171)</f>
        <v>-1083.0390874328762</v>
      </c>
      <c r="X176" s="19">
        <f t="shared" si="192"/>
        <v>-1729.0974301343726</v>
      </c>
      <c r="Y176" s="19">
        <f t="shared" si="192"/>
        <v>-5.8679823616045361</v>
      </c>
      <c r="Z176" s="19">
        <f t="shared" si="192"/>
        <v>8012.3863743999063</v>
      </c>
      <c r="AA176" s="19">
        <f t="shared" si="192"/>
        <v>-15460.849198847434</v>
      </c>
      <c r="AB176" s="19">
        <f t="shared" si="192"/>
        <v>7544.437024935346</v>
      </c>
      <c r="AC176" s="19">
        <f t="shared" si="192"/>
        <v>95.974200487828057</v>
      </c>
      <c r="AD176" s="19">
        <f t="shared" si="192"/>
        <v>-999.9413201763839</v>
      </c>
      <c r="AE176" s="19">
        <f t="shared" si="192"/>
        <v>-903.96711968856016</v>
      </c>
      <c r="AF176" s="19"/>
      <c r="AG176" s="19"/>
      <c r="AH176" s="19"/>
      <c r="AI176" s="19"/>
      <c r="AJ176" s="19"/>
      <c r="AK176" s="19"/>
    </row>
    <row r="177" spans="1:37">
      <c r="T177" s="19"/>
      <c r="AG177" s="19"/>
      <c r="AH177" s="19"/>
      <c r="AI177" s="19"/>
      <c r="AJ177" s="19"/>
      <c r="AK177" s="19"/>
    </row>
    <row r="178" spans="1:37">
      <c r="U178" t="s">
        <v>117</v>
      </c>
      <c r="V178">
        <f>AC176</f>
        <v>95.974200487828057</v>
      </c>
      <c r="AG178" s="19"/>
      <c r="AH178" s="19"/>
      <c r="AI178" s="19"/>
      <c r="AJ178" s="19"/>
      <c r="AK178" s="19"/>
    </row>
    <row r="179" spans="1:37">
      <c r="U179" t="s">
        <v>118</v>
      </c>
      <c r="V179">
        <f>AE176</f>
        <v>-903.96711968856016</v>
      </c>
      <c r="AG179" s="19"/>
      <c r="AH179" s="19"/>
      <c r="AI179" s="19"/>
      <c r="AJ179" s="19"/>
      <c r="AK179" s="19"/>
    </row>
    <row r="180" spans="1:37">
      <c r="AH180" s="19"/>
      <c r="AI180" s="19"/>
      <c r="AJ180" s="19"/>
      <c r="AK180" s="19"/>
    </row>
    <row r="181" spans="1:37">
      <c r="A181" s="4" t="str">
        <f>"Base Assumptions for "&amp;B184&amp;" Death benefit (M,NS,44,Moderate)"</f>
        <v>Base Assumptions for 250000 Death benefit (M,NS,44,Moderate)</v>
      </c>
      <c r="E181" s="8" t="s">
        <v>61</v>
      </c>
      <c r="F181" s="8"/>
      <c r="G181" s="8"/>
      <c r="H181" s="8"/>
      <c r="I181" s="8"/>
      <c r="J181" s="8"/>
      <c r="K181" s="8"/>
      <c r="L181" s="8"/>
      <c r="M181" s="8"/>
      <c r="N181" s="9" t="s">
        <v>62</v>
      </c>
      <c r="O181" s="9"/>
      <c r="P181" s="9"/>
      <c r="Q181" s="9"/>
      <c r="R181" s="10" t="s">
        <v>63</v>
      </c>
      <c r="S181" s="10"/>
      <c r="T181" s="10"/>
      <c r="U181" s="11"/>
      <c r="V181" s="48" t="s">
        <v>64</v>
      </c>
      <c r="W181" s="48" t="s">
        <v>65</v>
      </c>
      <c r="X181" s="48" t="s">
        <v>66</v>
      </c>
      <c r="Y181" s="48" t="s">
        <v>121</v>
      </c>
      <c r="Z181" s="48"/>
      <c r="AA181" s="48" t="s">
        <v>68</v>
      </c>
      <c r="AB181" s="48" t="s">
        <v>69</v>
      </c>
      <c r="AC181" s="48" t="s">
        <v>70</v>
      </c>
      <c r="AD181" s="48" t="s">
        <v>71</v>
      </c>
      <c r="AE181" s="48" t="s">
        <v>72</v>
      </c>
      <c r="AH181" s="19"/>
      <c r="AI181" s="19"/>
      <c r="AJ181" s="19"/>
      <c r="AK181" s="19"/>
    </row>
    <row r="182" spans="1:37" ht="42.95">
      <c r="E182" t="s">
        <v>73</v>
      </c>
      <c r="F182" s="19" t="s">
        <v>60</v>
      </c>
      <c r="G182" s="19" t="s">
        <v>74</v>
      </c>
      <c r="H182" s="19" t="s">
        <v>46</v>
      </c>
      <c r="I182" s="1" t="s">
        <v>75</v>
      </c>
      <c r="J182" s="1" t="s">
        <v>122</v>
      </c>
      <c r="K182" s="1" t="s">
        <v>76</v>
      </c>
      <c r="L182" s="1" t="s">
        <v>123</v>
      </c>
      <c r="M182" s="1" t="s">
        <v>77</v>
      </c>
      <c r="N182" s="1" t="s">
        <v>79</v>
      </c>
      <c r="O182" s="1" t="s">
        <v>81</v>
      </c>
      <c r="P182" s="1" t="s">
        <v>82</v>
      </c>
      <c r="Q182" s="1" t="s">
        <v>84</v>
      </c>
      <c r="R182" s="1" t="s">
        <v>85</v>
      </c>
      <c r="S182" s="1" t="s">
        <v>86</v>
      </c>
      <c r="T182" s="1" t="s">
        <v>87</v>
      </c>
      <c r="U182" s="1" t="s">
        <v>88</v>
      </c>
      <c r="V182" s="1" t="s">
        <v>89</v>
      </c>
      <c r="W182" s="1" t="s">
        <v>90</v>
      </c>
      <c r="X182" s="1" t="s">
        <v>91</v>
      </c>
      <c r="Y182" s="1" t="s">
        <v>124</v>
      </c>
      <c r="Z182" s="1" t="s">
        <v>93</v>
      </c>
      <c r="AA182" s="1" t="s">
        <v>94</v>
      </c>
      <c r="AB182" s="1" t="s">
        <v>95</v>
      </c>
      <c r="AC182" s="1" t="s">
        <v>44</v>
      </c>
      <c r="AD182" s="1" t="s">
        <v>96</v>
      </c>
      <c r="AE182" s="1" t="s">
        <v>97</v>
      </c>
      <c r="AG182" s="19" t="s">
        <v>73</v>
      </c>
      <c r="AH182" s="19" t="s">
        <v>125</v>
      </c>
      <c r="AI182" s="19" t="s">
        <v>82</v>
      </c>
      <c r="AJ182" s="19" t="s">
        <v>77</v>
      </c>
      <c r="AK182" s="19" t="s">
        <v>126</v>
      </c>
    </row>
    <row r="183" spans="1:37">
      <c r="A183" t="s">
        <v>60</v>
      </c>
      <c r="B183" s="12">
        <v>24194.190074203769</v>
      </c>
      <c r="E183">
        <v>0</v>
      </c>
      <c r="F183" s="13">
        <f>$B$183</f>
        <v>24194.190074203769</v>
      </c>
      <c r="G183" s="13">
        <f>F183*$B$14</f>
        <v>2419.4190074203771</v>
      </c>
      <c r="H183" s="13">
        <f>$B$16</f>
        <v>269.70000000000005</v>
      </c>
      <c r="I183" s="13">
        <f>B184</f>
        <v>250000</v>
      </c>
      <c r="J183" s="13">
        <f>AK183</f>
        <v>0</v>
      </c>
      <c r="K183" s="5">
        <f>AJ183</f>
        <v>37.930999999999997</v>
      </c>
      <c r="L183" s="21">
        <f>I183*J183/1000</f>
        <v>0</v>
      </c>
      <c r="M183">
        <f>I183*K183/1000</f>
        <v>9482.75</v>
      </c>
      <c r="O183">
        <v>1</v>
      </c>
      <c r="Q183">
        <f t="shared" ref="Q183:Q203" si="193">O183-SUM(P183:P183)</f>
        <v>1</v>
      </c>
      <c r="T183">
        <f>M183*Q183</f>
        <v>9482.75</v>
      </c>
      <c r="U183" s="22">
        <f t="shared" ref="U183:U214" si="194">$B$11*I183*Q183</f>
        <v>2500</v>
      </c>
      <c r="V183" s="1">
        <f>$O183*F183</f>
        <v>24194.190074203769</v>
      </c>
      <c r="W183" s="1">
        <f>-$O183*G183</f>
        <v>-2419.4190074203771</v>
      </c>
      <c r="X183" s="1">
        <f>-$O183*H183</f>
        <v>-269.70000000000005</v>
      </c>
      <c r="Y183" s="1"/>
      <c r="Z183" s="1">
        <f>SUM(V183:Y183)</f>
        <v>21505.071066783392</v>
      </c>
      <c r="AA183" s="1">
        <f>R183-T183</f>
        <v>-9482.75</v>
      </c>
      <c r="AB183" s="1"/>
      <c r="AC183" s="1">
        <f>SUM(Z183:AB183)</f>
        <v>12022.321066783392</v>
      </c>
      <c r="AD183" s="1">
        <f>S183-U183</f>
        <v>-2500</v>
      </c>
      <c r="AE183">
        <f>SUM(AC183:AD183)</f>
        <v>9522.3210667833919</v>
      </c>
      <c r="AG183" s="19">
        <v>0</v>
      </c>
      <c r="AH183" s="19">
        <f>AH96</f>
        <v>1</v>
      </c>
      <c r="AI183" s="19" t="str">
        <f t="shared" ref="AI183:AK183" si="195">AI96</f>
        <v xml:space="preserve">               -  </v>
      </c>
      <c r="AJ183" s="19">
        <f t="shared" si="195"/>
        <v>37.930999999999997</v>
      </c>
      <c r="AK183" s="19">
        <f t="shared" si="195"/>
        <v>0</v>
      </c>
    </row>
    <row r="184" spans="1:37">
      <c r="A184" t="s">
        <v>98</v>
      </c>
      <c r="B184" s="12">
        <v>250000</v>
      </c>
      <c r="E184">
        <v>1</v>
      </c>
      <c r="I184" s="13">
        <f>I183</f>
        <v>250000</v>
      </c>
      <c r="J184" s="13">
        <f t="shared" ref="J184:J247" si="196">AK184</f>
        <v>0</v>
      </c>
      <c r="K184" s="5">
        <f t="shared" ref="K184:K247" si="197">AJ184</f>
        <v>49.417000000000002</v>
      </c>
      <c r="L184" s="21">
        <f t="shared" ref="L184:L247" si="198">I184*J184/1000</f>
        <v>0</v>
      </c>
      <c r="M184">
        <f t="shared" ref="M184:M247" si="199">I184*K184/1000</f>
        <v>12354.25</v>
      </c>
      <c r="N184">
        <f>N97</f>
        <v>1.6188954599999999E-3</v>
      </c>
      <c r="O184">
        <f>Q183</f>
        <v>1</v>
      </c>
      <c r="P184">
        <f t="shared" ref="P184:P203" si="200">N184*O184/1000</f>
        <v>1.6188954599999999E-6</v>
      </c>
      <c r="Q184">
        <f t="shared" si="193"/>
        <v>0.99999838110453998</v>
      </c>
      <c r="R184">
        <f>T183</f>
        <v>9482.75</v>
      </c>
      <c r="S184">
        <f>U183</f>
        <v>2500</v>
      </c>
      <c r="T184">
        <f t="shared" ref="T184:T247" si="201">M184*Q184</f>
        <v>12354.229999760762</v>
      </c>
      <c r="U184" s="22">
        <f t="shared" si="194"/>
        <v>2499.9959527613501</v>
      </c>
      <c r="V184" s="1">
        <f t="shared" ref="V184:V247" si="202">$O184*F184</f>
        <v>0</v>
      </c>
      <c r="W184" s="1">
        <f t="shared" ref="W184:W247" si="203">-$O184*G184</f>
        <v>0</v>
      </c>
      <c r="X184" s="1">
        <f t="shared" ref="X184:X247" si="204">-$O184*H184</f>
        <v>0</v>
      </c>
      <c r="Y184" s="1">
        <f>-P184*I184</f>
        <v>-0.40472386499999996</v>
      </c>
      <c r="Z184" s="1">
        <f t="shared" ref="Z184:Z247" si="205">SUM(V184:Y184)</f>
        <v>-0.40472386499999996</v>
      </c>
      <c r="AA184" s="1">
        <f t="shared" ref="AA184:AA247" si="206">R184-T184</f>
        <v>-2871.4799997607624</v>
      </c>
      <c r="AB184" s="1">
        <f t="shared" ref="AB184:AB215" si="207">$B$12*SUM(R184:S184,V184:W184)</f>
        <v>659.05124999999998</v>
      </c>
      <c r="AC184" s="1">
        <f t="shared" ref="AC184:AC247" si="208">SUM(Z184:AB184)</f>
        <v>-2212.8334736257625</v>
      </c>
      <c r="AD184" s="1">
        <f t="shared" ref="AD184:AD247" si="209">S184-U184</f>
        <v>4.047238649945939E-3</v>
      </c>
      <c r="AE184">
        <f t="shared" ref="AE184:AE247" si="210">SUM(AC184:AD184)</f>
        <v>-2212.8294263871126</v>
      </c>
      <c r="AG184" s="19">
        <v>1</v>
      </c>
      <c r="AH184" s="19">
        <f t="shared" ref="AH184:AK184" si="211">AH97</f>
        <v>1</v>
      </c>
      <c r="AI184" s="19">
        <f t="shared" si="211"/>
        <v>1.6188954599999999E-3</v>
      </c>
      <c r="AJ184" s="19">
        <f t="shared" si="211"/>
        <v>49.417000000000002</v>
      </c>
      <c r="AK184" s="19">
        <f t="shared" si="211"/>
        <v>0</v>
      </c>
    </row>
    <row r="185" spans="1:37">
      <c r="E185">
        <v>2</v>
      </c>
      <c r="F185" s="13"/>
      <c r="G185" s="13">
        <f t="shared" ref="G185:G216" si="212">F185*$B$15</f>
        <v>0</v>
      </c>
      <c r="H185" s="13">
        <f t="shared" ref="H185:H216" si="213">$B$17</f>
        <v>196.20000000000002</v>
      </c>
      <c r="I185" s="13">
        <f t="shared" ref="I185:I248" si="214">I184</f>
        <v>250000</v>
      </c>
      <c r="J185" s="13">
        <f t="shared" si="196"/>
        <v>0</v>
      </c>
      <c r="K185" s="5">
        <f t="shared" si="197"/>
        <v>61.253</v>
      </c>
      <c r="L185" s="21">
        <f t="shared" si="198"/>
        <v>0</v>
      </c>
      <c r="M185">
        <f t="shared" si="199"/>
        <v>15313.25</v>
      </c>
      <c r="N185">
        <f t="shared" ref="N185:N248" si="215">N98</f>
        <v>1.7557649200000002E-3</v>
      </c>
      <c r="O185">
        <f t="shared" ref="O185:O248" si="216">Q184</f>
        <v>0.99999838110453998</v>
      </c>
      <c r="P185">
        <f t="shared" si="200"/>
        <v>1.7557620776001423E-6</v>
      </c>
      <c r="Q185">
        <f t="shared" si="193"/>
        <v>0.99999662534246236</v>
      </c>
      <c r="R185">
        <f t="shared" ref="R185:R248" si="217">T184</f>
        <v>12354.229999760762</v>
      </c>
      <c r="S185">
        <f t="shared" ref="S185:S248" si="218">U184</f>
        <v>2499.9959527613501</v>
      </c>
      <c r="T185">
        <f t="shared" si="201"/>
        <v>15313.198323025461</v>
      </c>
      <c r="U185" s="22">
        <f t="shared" si="194"/>
        <v>2499.9915633561559</v>
      </c>
      <c r="V185" s="1">
        <f t="shared" si="202"/>
        <v>0</v>
      </c>
      <c r="W185" s="1">
        <f t="shared" si="203"/>
        <v>0</v>
      </c>
      <c r="X185" s="1">
        <f t="shared" si="204"/>
        <v>-196.19968237271075</v>
      </c>
      <c r="Y185" s="1">
        <f t="shared" ref="Y185:Y248" si="219">-P185*I185</f>
        <v>-0.43894051940003559</v>
      </c>
      <c r="Z185" s="1">
        <f t="shared" si="205"/>
        <v>-196.63862289211079</v>
      </c>
      <c r="AA185" s="1">
        <f t="shared" si="206"/>
        <v>-2958.9683232646985</v>
      </c>
      <c r="AB185" s="1">
        <f t="shared" si="207"/>
        <v>816.98242738871625</v>
      </c>
      <c r="AC185" s="1">
        <f t="shared" si="208"/>
        <v>-2338.6245187680934</v>
      </c>
      <c r="AD185" s="1">
        <f t="shared" si="209"/>
        <v>4.3894051941606449E-3</v>
      </c>
      <c r="AE185">
        <f t="shared" si="210"/>
        <v>-2338.6201293628992</v>
      </c>
      <c r="AG185" s="19">
        <v>2</v>
      </c>
      <c r="AH185" s="19">
        <f t="shared" ref="AH185:AK185" si="220">AH98</f>
        <v>0.99838110453999995</v>
      </c>
      <c r="AI185" s="19">
        <f t="shared" si="220"/>
        <v>1.7529225201421848E-3</v>
      </c>
      <c r="AJ185" s="19">
        <f t="shared" si="220"/>
        <v>61.253</v>
      </c>
      <c r="AK185" s="19">
        <f t="shared" si="220"/>
        <v>0</v>
      </c>
    </row>
    <row r="186" spans="1:37">
      <c r="E186">
        <v>3</v>
      </c>
      <c r="F186" s="13"/>
      <c r="G186" s="13">
        <f t="shared" si="212"/>
        <v>0</v>
      </c>
      <c r="H186" s="13">
        <f t="shared" si="213"/>
        <v>196.20000000000002</v>
      </c>
      <c r="I186" s="13">
        <f t="shared" si="214"/>
        <v>250000</v>
      </c>
      <c r="J186" s="13">
        <f t="shared" si="196"/>
        <v>8.91</v>
      </c>
      <c r="K186" s="5">
        <f t="shared" si="197"/>
        <v>73.433999999999997</v>
      </c>
      <c r="L186" s="21">
        <f t="shared" si="198"/>
        <v>2227.5</v>
      </c>
      <c r="M186">
        <f t="shared" si="199"/>
        <v>18358.5</v>
      </c>
      <c r="N186">
        <f t="shared" si="215"/>
        <v>1.9170442199999999E-3</v>
      </c>
      <c r="O186">
        <f t="shared" si="216"/>
        <v>0.99999662534246236</v>
      </c>
      <c r="P186">
        <f t="shared" si="200"/>
        <v>1.9170377506322728E-6</v>
      </c>
      <c r="Q186">
        <f t="shared" si="193"/>
        <v>0.99999470830471171</v>
      </c>
      <c r="R186">
        <f t="shared" si="217"/>
        <v>15313.198323025461</v>
      </c>
      <c r="S186">
        <f t="shared" si="218"/>
        <v>2499.9915633561559</v>
      </c>
      <c r="T186">
        <f t="shared" si="201"/>
        <v>18358.402852412051</v>
      </c>
      <c r="U186" s="22">
        <f t="shared" si="194"/>
        <v>2499.9867707617791</v>
      </c>
      <c r="V186" s="1">
        <f t="shared" si="202"/>
        <v>0</v>
      </c>
      <c r="W186" s="1">
        <f t="shared" si="203"/>
        <v>0</v>
      </c>
      <c r="X186" s="1">
        <f t="shared" si="204"/>
        <v>-196.19933789219112</v>
      </c>
      <c r="Y186" s="1">
        <f t="shared" si="219"/>
        <v>-0.47925943765806822</v>
      </c>
      <c r="Z186" s="1">
        <f t="shared" si="205"/>
        <v>-196.6785973298492</v>
      </c>
      <c r="AA186" s="1">
        <f t="shared" si="206"/>
        <v>-3045.2045293865904</v>
      </c>
      <c r="AB186" s="1">
        <f t="shared" si="207"/>
        <v>979.72544375098892</v>
      </c>
      <c r="AC186" s="1">
        <f t="shared" si="208"/>
        <v>-2262.1576829654505</v>
      </c>
      <c r="AD186" s="1">
        <f t="shared" si="209"/>
        <v>4.792594376795023E-3</v>
      </c>
      <c r="AE186">
        <f t="shared" si="210"/>
        <v>-2262.1528903710737</v>
      </c>
      <c r="AG186" s="19">
        <v>3</v>
      </c>
      <c r="AH186" s="19">
        <f t="shared" ref="AH186:AK186" si="221">AH99</f>
        <v>0.99662818201985781</v>
      </c>
      <c r="AI186" s="19">
        <f t="shared" si="221"/>
        <v>1.9105802958302763E-3</v>
      </c>
      <c r="AJ186" s="19">
        <f t="shared" si="221"/>
        <v>73.433999999999997</v>
      </c>
      <c r="AK186" s="19">
        <f t="shared" si="221"/>
        <v>8.91</v>
      </c>
    </row>
    <row r="187" spans="1:37">
      <c r="E187">
        <v>4</v>
      </c>
      <c r="F187" s="13"/>
      <c r="G187" s="13">
        <f t="shared" si="212"/>
        <v>0</v>
      </c>
      <c r="H187" s="13">
        <f t="shared" si="213"/>
        <v>196.20000000000002</v>
      </c>
      <c r="I187" s="13">
        <f t="shared" si="214"/>
        <v>250000</v>
      </c>
      <c r="J187" s="13">
        <f t="shared" si="196"/>
        <v>18.521000000000001</v>
      </c>
      <c r="K187" s="5">
        <f t="shared" si="197"/>
        <v>85.957999999999998</v>
      </c>
      <c r="L187" s="21">
        <f t="shared" si="198"/>
        <v>4630.25</v>
      </c>
      <c r="M187">
        <f t="shared" si="199"/>
        <v>21489.5</v>
      </c>
      <c r="N187">
        <f t="shared" si="215"/>
        <v>2.1018615799999999E-3</v>
      </c>
      <c r="O187">
        <f t="shared" si="216"/>
        <v>0.99999470830471171</v>
      </c>
      <c r="P187">
        <f t="shared" si="200"/>
        <v>2.1018504575889805E-6</v>
      </c>
      <c r="Q187">
        <f t="shared" si="193"/>
        <v>0.99999260645425414</v>
      </c>
      <c r="R187">
        <f t="shared" si="217"/>
        <v>18358.402852412051</v>
      </c>
      <c r="S187">
        <f t="shared" si="218"/>
        <v>2499.9867707617791</v>
      </c>
      <c r="T187">
        <f t="shared" si="201"/>
        <v>21489.341116398693</v>
      </c>
      <c r="U187" s="22">
        <f t="shared" si="194"/>
        <v>2499.9815161356355</v>
      </c>
      <c r="V187" s="1">
        <f t="shared" si="202"/>
        <v>0</v>
      </c>
      <c r="W187" s="1">
        <f t="shared" si="203"/>
        <v>0</v>
      </c>
      <c r="X187" s="1">
        <f t="shared" si="204"/>
        <v>-196.19896176938445</v>
      </c>
      <c r="Y187" s="1">
        <f t="shared" si="219"/>
        <v>-0.52546261439724506</v>
      </c>
      <c r="Z187" s="1">
        <f t="shared" si="205"/>
        <v>-196.7244243837817</v>
      </c>
      <c r="AA187" s="1">
        <f t="shared" si="206"/>
        <v>-3130.9382639866417</v>
      </c>
      <c r="AB187" s="1">
        <f t="shared" si="207"/>
        <v>1147.2114292745607</v>
      </c>
      <c r="AC187" s="1">
        <f t="shared" si="208"/>
        <v>-2180.451259095863</v>
      </c>
      <c r="AD187" s="1">
        <f t="shared" si="209"/>
        <v>5.254626143596397E-3</v>
      </c>
      <c r="AE187">
        <f t="shared" si="210"/>
        <v>-2180.4460044697194</v>
      </c>
      <c r="AG187" s="19">
        <v>4</v>
      </c>
      <c r="AH187" s="19">
        <f t="shared" ref="AH187:AK187" si="222">AH100</f>
        <v>0.99471760172402757</v>
      </c>
      <c r="AI187" s="19">
        <f t="shared" si="222"/>
        <v>2.0907587100134749E-3</v>
      </c>
      <c r="AJ187" s="19">
        <f t="shared" si="222"/>
        <v>85.957999999999998</v>
      </c>
      <c r="AK187" s="19">
        <f t="shared" si="222"/>
        <v>18.521000000000001</v>
      </c>
    </row>
    <row r="188" spans="1:37">
      <c r="E188">
        <v>5</v>
      </c>
      <c r="F188" s="13"/>
      <c r="G188" s="13">
        <f t="shared" si="212"/>
        <v>0</v>
      </c>
      <c r="H188" s="13">
        <f t="shared" si="213"/>
        <v>196.20000000000002</v>
      </c>
      <c r="I188" s="13">
        <f t="shared" si="214"/>
        <v>250000</v>
      </c>
      <c r="J188" s="13">
        <f t="shared" si="196"/>
        <v>28.541</v>
      </c>
      <c r="K188" s="5">
        <f t="shared" si="197"/>
        <v>98.834000000000003</v>
      </c>
      <c r="L188" s="21">
        <f t="shared" si="198"/>
        <v>7135.25</v>
      </c>
      <c r="M188">
        <f t="shared" si="199"/>
        <v>24708.5</v>
      </c>
      <c r="N188">
        <f t="shared" si="215"/>
        <v>2.2971403000000001E-3</v>
      </c>
      <c r="O188">
        <f t="shared" si="216"/>
        <v>0.99999260645425414</v>
      </c>
      <c r="P188">
        <f t="shared" si="200"/>
        <v>2.2971233159881075E-6</v>
      </c>
      <c r="Q188">
        <f t="shared" si="193"/>
        <v>0.99999030933093813</v>
      </c>
      <c r="R188">
        <f t="shared" si="217"/>
        <v>21489.341116398693</v>
      </c>
      <c r="S188">
        <f t="shared" si="218"/>
        <v>2499.9815161356355</v>
      </c>
      <c r="T188">
        <f t="shared" si="201"/>
        <v>24708.260558103484</v>
      </c>
      <c r="U188" s="22">
        <f t="shared" si="194"/>
        <v>2499.9757733273455</v>
      </c>
      <c r="V188" s="1">
        <f t="shared" si="202"/>
        <v>0</v>
      </c>
      <c r="W188" s="1">
        <f t="shared" si="203"/>
        <v>0</v>
      </c>
      <c r="X188" s="1">
        <f t="shared" si="204"/>
        <v>-196.19854938632469</v>
      </c>
      <c r="Y188" s="1">
        <f t="shared" si="219"/>
        <v>-0.57428082899702693</v>
      </c>
      <c r="Z188" s="1">
        <f t="shared" si="205"/>
        <v>-196.7728302153217</v>
      </c>
      <c r="AA188" s="1">
        <f t="shared" si="206"/>
        <v>-3218.9194417047911</v>
      </c>
      <c r="AB188" s="1">
        <f t="shared" si="207"/>
        <v>1319.4127447893879</v>
      </c>
      <c r="AC188" s="1">
        <f t="shared" si="208"/>
        <v>-2096.279527130725</v>
      </c>
      <c r="AD188" s="1">
        <f t="shared" si="209"/>
        <v>5.742808290051471E-3</v>
      </c>
      <c r="AE188">
        <f t="shared" si="210"/>
        <v>-2096.2737843224349</v>
      </c>
      <c r="AG188" s="19">
        <v>5</v>
      </c>
      <c r="AH188" s="19">
        <f t="shared" ref="AH188:AK188" si="223">AH101</f>
        <v>0.99262684301401405</v>
      </c>
      <c r="AI188" s="19">
        <f t="shared" si="223"/>
        <v>2.2802031239492651E-3</v>
      </c>
      <c r="AJ188" s="19">
        <f t="shared" si="223"/>
        <v>98.834000000000003</v>
      </c>
      <c r="AK188" s="19">
        <f t="shared" si="223"/>
        <v>28.541</v>
      </c>
    </row>
    <row r="189" spans="1:37">
      <c r="E189">
        <v>6</v>
      </c>
      <c r="F189" s="13"/>
      <c r="G189" s="13">
        <f t="shared" si="212"/>
        <v>0</v>
      </c>
      <c r="H189" s="13">
        <f t="shared" si="213"/>
        <v>196.20000000000002</v>
      </c>
      <c r="I189" s="13">
        <f t="shared" si="214"/>
        <v>250000</v>
      </c>
      <c r="J189" s="13">
        <f t="shared" si="196"/>
        <v>38.979999999999997</v>
      </c>
      <c r="K189" s="5">
        <f t="shared" si="197"/>
        <v>112.065</v>
      </c>
      <c r="L189" s="21">
        <f t="shared" si="198"/>
        <v>9745</v>
      </c>
      <c r="M189">
        <f t="shared" si="199"/>
        <v>28016.25</v>
      </c>
      <c r="N189">
        <f t="shared" si="215"/>
        <v>2.51159818E-3</v>
      </c>
      <c r="O189">
        <f t="shared" si="216"/>
        <v>0.99999030933093813</v>
      </c>
      <c r="P189">
        <f t="shared" si="200"/>
        <v>2.5115738409332209E-6</v>
      </c>
      <c r="Q189">
        <f t="shared" si="193"/>
        <v>0.99998779775709723</v>
      </c>
      <c r="R189">
        <f t="shared" si="217"/>
        <v>24708.260558103484</v>
      </c>
      <c r="S189">
        <f t="shared" si="218"/>
        <v>2499.9757733273455</v>
      </c>
      <c r="T189">
        <f t="shared" si="201"/>
        <v>28015.908138912277</v>
      </c>
      <c r="U189" s="22">
        <f t="shared" si="194"/>
        <v>2499.9694943927429</v>
      </c>
      <c r="V189" s="1">
        <f t="shared" si="202"/>
        <v>0</v>
      </c>
      <c r="W189" s="1">
        <f t="shared" si="203"/>
        <v>0</v>
      </c>
      <c r="X189" s="1">
        <f t="shared" si="204"/>
        <v>-196.19809869073009</v>
      </c>
      <c r="Y189" s="1">
        <f t="shared" si="219"/>
        <v>-0.62789346023330517</v>
      </c>
      <c r="Z189" s="1">
        <f t="shared" si="205"/>
        <v>-196.8259921509634</v>
      </c>
      <c r="AA189" s="1">
        <f t="shared" si="206"/>
        <v>-3307.6475808087926</v>
      </c>
      <c r="AB189" s="1">
        <f t="shared" si="207"/>
        <v>1496.4529982286958</v>
      </c>
      <c r="AC189" s="1">
        <f t="shared" si="208"/>
        <v>-2008.0205747310602</v>
      </c>
      <c r="AD189" s="1">
        <f t="shared" si="209"/>
        <v>6.2789346025056147E-3</v>
      </c>
      <c r="AE189">
        <f t="shared" si="210"/>
        <v>-2008.0142957964576</v>
      </c>
      <c r="AG189" s="19">
        <v>6</v>
      </c>
      <c r="AH189" s="19">
        <f t="shared" ref="AH189:AK189" si="224">AH102</f>
        <v>0.99034663989006477</v>
      </c>
      <c r="AI189" s="19">
        <f t="shared" si="224"/>
        <v>2.4873528183170022E-3</v>
      </c>
      <c r="AJ189" s="19">
        <f t="shared" si="224"/>
        <v>112.065</v>
      </c>
      <c r="AK189" s="19">
        <f t="shared" si="224"/>
        <v>38.979999999999997</v>
      </c>
    </row>
    <row r="190" spans="1:37">
      <c r="E190">
        <v>7</v>
      </c>
      <c r="F190" s="13"/>
      <c r="G190" s="13">
        <f t="shared" si="212"/>
        <v>0</v>
      </c>
      <c r="H190" s="13">
        <f t="shared" si="213"/>
        <v>196.20000000000002</v>
      </c>
      <c r="I190" s="13">
        <f t="shared" si="214"/>
        <v>250000</v>
      </c>
      <c r="J190" s="13">
        <f t="shared" si="196"/>
        <v>49.853000000000002</v>
      </c>
      <c r="K190" s="5">
        <f t="shared" si="197"/>
        <v>125.658</v>
      </c>
      <c r="L190" s="21">
        <f t="shared" si="198"/>
        <v>12463.25</v>
      </c>
      <c r="M190">
        <f t="shared" si="199"/>
        <v>31414.5</v>
      </c>
      <c r="N190">
        <f t="shared" si="215"/>
        <v>2.7417480999999996E-3</v>
      </c>
      <c r="O190">
        <f t="shared" si="216"/>
        <v>0.99998779775709723</v>
      </c>
      <c r="P190">
        <f t="shared" si="200"/>
        <v>2.7417146445237053E-6</v>
      </c>
      <c r="Q190">
        <f t="shared" si="193"/>
        <v>0.99998505604245269</v>
      </c>
      <c r="R190">
        <f t="shared" si="217"/>
        <v>28015.908138912277</v>
      </c>
      <c r="S190">
        <f t="shared" si="218"/>
        <v>2499.9694943927429</v>
      </c>
      <c r="T190">
        <f t="shared" si="201"/>
        <v>31414.030543045628</v>
      </c>
      <c r="U190" s="22">
        <f t="shared" si="194"/>
        <v>2499.9626401061319</v>
      </c>
      <c r="V190" s="1">
        <f t="shared" si="202"/>
        <v>0</v>
      </c>
      <c r="W190" s="1">
        <f t="shared" si="203"/>
        <v>0</v>
      </c>
      <c r="X190" s="1">
        <f t="shared" si="204"/>
        <v>-196.1976059199425</v>
      </c>
      <c r="Y190" s="1">
        <f t="shared" si="219"/>
        <v>-0.68542866113092638</v>
      </c>
      <c r="Z190" s="1">
        <f t="shared" si="205"/>
        <v>-196.88303458107342</v>
      </c>
      <c r="AA190" s="1">
        <f t="shared" si="206"/>
        <v>-3398.1224041333517</v>
      </c>
      <c r="AB190" s="1">
        <f t="shared" si="207"/>
        <v>1678.373269831776</v>
      </c>
      <c r="AC190" s="1">
        <f t="shared" si="208"/>
        <v>-1916.632168882649</v>
      </c>
      <c r="AD190" s="1">
        <f t="shared" si="209"/>
        <v>6.8542866110874456E-3</v>
      </c>
      <c r="AE190">
        <f t="shared" si="210"/>
        <v>-1916.6253145960379</v>
      </c>
      <c r="AG190" s="19">
        <v>7</v>
      </c>
      <c r="AH190" s="19">
        <f t="shared" ref="AH190:AK190" si="225">AH103</f>
        <v>0.98785928707174775</v>
      </c>
      <c r="AI190" s="19">
        <f t="shared" si="225"/>
        <v>2.7084613233963185E-3</v>
      </c>
      <c r="AJ190" s="19">
        <f t="shared" si="225"/>
        <v>125.658</v>
      </c>
      <c r="AK190" s="19">
        <f t="shared" si="225"/>
        <v>49.853000000000002</v>
      </c>
    </row>
    <row r="191" spans="1:37">
      <c r="E191">
        <v>8</v>
      </c>
      <c r="F191" s="13"/>
      <c r="G191" s="13">
        <f t="shared" si="212"/>
        <v>0</v>
      </c>
      <c r="H191" s="13">
        <f t="shared" si="213"/>
        <v>196.20000000000002</v>
      </c>
      <c r="I191" s="13">
        <f t="shared" si="214"/>
        <v>250000</v>
      </c>
      <c r="J191" s="13">
        <f t="shared" si="196"/>
        <v>61.161999999999999</v>
      </c>
      <c r="K191" s="5">
        <f t="shared" si="197"/>
        <v>139.60400000000001</v>
      </c>
      <c r="L191" s="21">
        <f t="shared" si="198"/>
        <v>15290.5</v>
      </c>
      <c r="M191">
        <f t="shared" si="199"/>
        <v>34901</v>
      </c>
      <c r="N191">
        <f t="shared" si="215"/>
        <v>3.0067692199999998E-3</v>
      </c>
      <c r="O191">
        <f t="shared" si="216"/>
        <v>0.99998505604245269</v>
      </c>
      <c r="P191">
        <f t="shared" si="200"/>
        <v>3.0067242869684218E-6</v>
      </c>
      <c r="Q191">
        <f t="shared" si="193"/>
        <v>0.9999820493181657</v>
      </c>
      <c r="R191">
        <f t="shared" si="217"/>
        <v>31414.030543045628</v>
      </c>
      <c r="S191">
        <f t="shared" si="218"/>
        <v>2499.9626401061319</v>
      </c>
      <c r="T191">
        <f t="shared" si="201"/>
        <v>34900.3735032533</v>
      </c>
      <c r="U191" s="22">
        <f t="shared" si="194"/>
        <v>2499.9551232954141</v>
      </c>
      <c r="V191" s="1">
        <f t="shared" si="202"/>
        <v>0</v>
      </c>
      <c r="W191" s="1">
        <f t="shared" si="203"/>
        <v>0</v>
      </c>
      <c r="X191" s="1">
        <f t="shared" si="204"/>
        <v>-196.19706799552924</v>
      </c>
      <c r="Y191" s="1">
        <f t="shared" si="219"/>
        <v>-0.75168107174210541</v>
      </c>
      <c r="Z191" s="1">
        <f t="shared" si="205"/>
        <v>-196.94874906727134</v>
      </c>
      <c r="AA191" s="1">
        <f t="shared" si="206"/>
        <v>-3486.3429602076721</v>
      </c>
      <c r="AB191" s="1">
        <f t="shared" si="207"/>
        <v>1865.2696250733468</v>
      </c>
      <c r="AC191" s="1">
        <f t="shared" si="208"/>
        <v>-1818.0220842015967</v>
      </c>
      <c r="AD191" s="1">
        <f t="shared" si="209"/>
        <v>7.5168107177887578E-3</v>
      </c>
      <c r="AE191">
        <f t="shared" si="210"/>
        <v>-1818.0145673908789</v>
      </c>
      <c r="AG191" s="19">
        <v>8</v>
      </c>
      <c r="AH191" s="19">
        <f t="shared" ref="AH191:AK191" si="226">AH104</f>
        <v>0.98515082574835144</v>
      </c>
      <c r="AI191" s="19">
        <f t="shared" si="226"/>
        <v>2.9621211799177264E-3</v>
      </c>
      <c r="AJ191" s="19">
        <f t="shared" si="226"/>
        <v>139.60400000000001</v>
      </c>
      <c r="AK191" s="19">
        <f t="shared" si="226"/>
        <v>61.161999999999999</v>
      </c>
    </row>
    <row r="192" spans="1:37">
      <c r="E192">
        <v>9</v>
      </c>
      <c r="F192" s="13"/>
      <c r="G192" s="13">
        <f t="shared" si="212"/>
        <v>0</v>
      </c>
      <c r="H192" s="13">
        <f t="shared" si="213"/>
        <v>196.20000000000002</v>
      </c>
      <c r="I192" s="13">
        <f t="shared" si="214"/>
        <v>250000</v>
      </c>
      <c r="J192" s="13">
        <f t="shared" si="196"/>
        <v>72.903999999999996</v>
      </c>
      <c r="K192" s="5">
        <f t="shared" si="197"/>
        <v>153.89699999999999</v>
      </c>
      <c r="L192" s="21">
        <f t="shared" si="198"/>
        <v>18226</v>
      </c>
      <c r="M192">
        <f t="shared" si="199"/>
        <v>38474.25</v>
      </c>
      <c r="N192">
        <f t="shared" si="215"/>
        <v>3.3084051E-3</v>
      </c>
      <c r="O192">
        <f t="shared" si="216"/>
        <v>0.9999820493181657</v>
      </c>
      <c r="P192">
        <f t="shared" si="200"/>
        <v>3.308345711872671E-6</v>
      </c>
      <c r="Q192">
        <f t="shared" si="193"/>
        <v>0.99997874097245387</v>
      </c>
      <c r="R192">
        <f t="shared" si="217"/>
        <v>34900.3735032533</v>
      </c>
      <c r="S192">
        <f t="shared" si="218"/>
        <v>2499.9551232954141</v>
      </c>
      <c r="T192">
        <f t="shared" si="201"/>
        <v>38473.432074859433</v>
      </c>
      <c r="U192" s="22">
        <f t="shared" si="194"/>
        <v>2499.9468524311346</v>
      </c>
      <c r="V192" s="1">
        <f t="shared" si="202"/>
        <v>0</v>
      </c>
      <c r="W192" s="1">
        <f t="shared" si="203"/>
        <v>0</v>
      </c>
      <c r="X192" s="1">
        <f t="shared" si="204"/>
        <v>-196.19647807622414</v>
      </c>
      <c r="Y192" s="1">
        <f t="shared" si="219"/>
        <v>-0.82708642796816778</v>
      </c>
      <c r="Z192" s="1">
        <f t="shared" si="205"/>
        <v>-197.02356450419231</v>
      </c>
      <c r="AA192" s="1">
        <f t="shared" si="206"/>
        <v>-3573.0585716061323</v>
      </c>
      <c r="AB192" s="1">
        <f t="shared" si="207"/>
        <v>2057.0180744601789</v>
      </c>
      <c r="AC192" s="1">
        <f t="shared" si="208"/>
        <v>-1713.0640616501455</v>
      </c>
      <c r="AD192" s="1">
        <f t="shared" si="209"/>
        <v>8.2708642794386833E-3</v>
      </c>
      <c r="AE192">
        <f t="shared" si="210"/>
        <v>-1713.0557907858661</v>
      </c>
      <c r="AG192" s="19">
        <v>9</v>
      </c>
      <c r="AH192" s="19">
        <f t="shared" ref="AH192:AK192" si="227">AH105</f>
        <v>0.98218870456843377</v>
      </c>
      <c r="AI192" s="19">
        <f t="shared" si="227"/>
        <v>3.2494781193565993E-3</v>
      </c>
      <c r="AJ192" s="19">
        <f t="shared" si="227"/>
        <v>153.89699999999999</v>
      </c>
      <c r="AK192" s="19">
        <f t="shared" si="227"/>
        <v>72.903999999999996</v>
      </c>
    </row>
    <row r="193" spans="5:37">
      <c r="E193">
        <v>10</v>
      </c>
      <c r="F193" s="13"/>
      <c r="G193" s="13">
        <f t="shared" si="212"/>
        <v>0</v>
      </c>
      <c r="H193" s="13">
        <f t="shared" si="213"/>
        <v>196.20000000000002</v>
      </c>
      <c r="I193" s="13">
        <f t="shared" si="214"/>
        <v>250000</v>
      </c>
      <c r="J193" s="13">
        <f t="shared" si="196"/>
        <v>85.085999999999999</v>
      </c>
      <c r="K193" s="5">
        <f t="shared" si="197"/>
        <v>168.53200000000001</v>
      </c>
      <c r="L193" s="21">
        <f t="shared" si="198"/>
        <v>21271.5</v>
      </c>
      <c r="M193">
        <f t="shared" si="199"/>
        <v>42133</v>
      </c>
      <c r="N193">
        <f t="shared" si="215"/>
        <v>3.6422968400000003E-3</v>
      </c>
      <c r="O193">
        <f t="shared" si="216"/>
        <v>0.99997874097245387</v>
      </c>
      <c r="P193">
        <f t="shared" si="200"/>
        <v>3.6422194083111475E-6</v>
      </c>
      <c r="Q193">
        <f t="shared" si="193"/>
        <v>0.99997509875304558</v>
      </c>
      <c r="R193">
        <f t="shared" si="217"/>
        <v>38473.432074859433</v>
      </c>
      <c r="S193">
        <f t="shared" si="218"/>
        <v>2499.9468524311346</v>
      </c>
      <c r="T193">
        <f t="shared" si="201"/>
        <v>42131.950835762073</v>
      </c>
      <c r="U193" s="22">
        <f t="shared" si="194"/>
        <v>2499.9377468826137</v>
      </c>
      <c r="V193" s="1">
        <f t="shared" si="202"/>
        <v>0</v>
      </c>
      <c r="W193" s="1">
        <f t="shared" si="203"/>
        <v>0</v>
      </c>
      <c r="X193" s="1">
        <f t="shared" si="204"/>
        <v>-196.19582897879548</v>
      </c>
      <c r="Y193" s="1">
        <f t="shared" si="219"/>
        <v>-0.91055485207778686</v>
      </c>
      <c r="Z193" s="1">
        <f t="shared" si="205"/>
        <v>-197.10638383087326</v>
      </c>
      <c r="AA193" s="1">
        <f t="shared" si="206"/>
        <v>-3658.5187609026398</v>
      </c>
      <c r="AB193" s="1">
        <f t="shared" si="207"/>
        <v>2253.5358410009812</v>
      </c>
      <c r="AC193" s="1">
        <f t="shared" si="208"/>
        <v>-1602.0893037325318</v>
      </c>
      <c r="AD193" s="1">
        <f t="shared" si="209"/>
        <v>9.1055485208926257E-3</v>
      </c>
      <c r="AE193">
        <f t="shared" si="210"/>
        <v>-1602.0801981840109</v>
      </c>
      <c r="AG193" s="19">
        <v>10</v>
      </c>
      <c r="AH193" s="19">
        <f t="shared" ref="AH193:AK193" si="228">AH106</f>
        <v>0.97893922644907716</v>
      </c>
      <c r="AI193" s="19">
        <f t="shared" si="228"/>
        <v>3.5655872510475185E-3</v>
      </c>
      <c r="AJ193" s="19">
        <f t="shared" si="228"/>
        <v>168.53200000000001</v>
      </c>
      <c r="AK193" s="19">
        <f t="shared" si="228"/>
        <v>85.085999999999999</v>
      </c>
    </row>
    <row r="194" spans="5:37">
      <c r="E194">
        <v>11</v>
      </c>
      <c r="F194" s="13"/>
      <c r="G194" s="13">
        <f t="shared" si="212"/>
        <v>0</v>
      </c>
      <c r="H194" s="13">
        <f t="shared" si="213"/>
        <v>196.20000000000002</v>
      </c>
      <c r="I194" s="13">
        <f t="shared" si="214"/>
        <v>250000</v>
      </c>
      <c r="J194" s="13">
        <f t="shared" si="196"/>
        <v>97.701999999999998</v>
      </c>
      <c r="K194" s="5">
        <f t="shared" si="197"/>
        <v>183.49700000000001</v>
      </c>
      <c r="L194" s="21">
        <f t="shared" si="198"/>
        <v>24425.5</v>
      </c>
      <c r="M194">
        <f t="shared" si="199"/>
        <v>45874.25</v>
      </c>
      <c r="N194">
        <f t="shared" si="215"/>
        <v>4.0215211399999996E-3</v>
      </c>
      <c r="O194">
        <f t="shared" si="216"/>
        <v>0.99997509875304558</v>
      </c>
      <c r="P194">
        <f t="shared" si="200"/>
        <v>4.0214209991089604E-6</v>
      </c>
      <c r="Q194">
        <f t="shared" si="193"/>
        <v>0.99997107733204649</v>
      </c>
      <c r="R194">
        <f t="shared" si="217"/>
        <v>42131.950835762073</v>
      </c>
      <c r="S194">
        <f t="shared" si="218"/>
        <v>2499.9377468826137</v>
      </c>
      <c r="T194">
        <f t="shared" si="201"/>
        <v>45872.923194299634</v>
      </c>
      <c r="U194" s="22">
        <f t="shared" si="194"/>
        <v>2499.9276933301162</v>
      </c>
      <c r="V194" s="1">
        <f t="shared" si="202"/>
        <v>0</v>
      </c>
      <c r="W194" s="1">
        <f t="shared" si="203"/>
        <v>0</v>
      </c>
      <c r="X194" s="1">
        <f t="shared" si="204"/>
        <v>-196.19511437534757</v>
      </c>
      <c r="Y194" s="1">
        <f t="shared" si="219"/>
        <v>-1.00535524977724</v>
      </c>
      <c r="Z194" s="1">
        <f t="shared" si="205"/>
        <v>-197.20046962512481</v>
      </c>
      <c r="AA194" s="1">
        <f t="shared" si="206"/>
        <v>-3740.9723585375614</v>
      </c>
      <c r="AB194" s="1">
        <f t="shared" si="207"/>
        <v>2454.7538720454577</v>
      </c>
      <c r="AC194" s="1">
        <f t="shared" si="208"/>
        <v>-1483.4189561172284</v>
      </c>
      <c r="AD194" s="1">
        <f t="shared" si="209"/>
        <v>1.0053552497538476E-2</v>
      </c>
      <c r="AE194">
        <f t="shared" si="210"/>
        <v>-1483.4089025647309</v>
      </c>
      <c r="AG194" s="19">
        <v>11</v>
      </c>
      <c r="AH194" s="19">
        <f t="shared" ref="AH194:AK194" si="229">AH107</f>
        <v>0.97537363919802966</v>
      </c>
      <c r="AI194" s="19">
        <f t="shared" si="229"/>
        <v>3.9224857094336089E-3</v>
      </c>
      <c r="AJ194" s="19">
        <f t="shared" si="229"/>
        <v>183.49700000000001</v>
      </c>
      <c r="AK194" s="19">
        <f t="shared" si="229"/>
        <v>97.701999999999998</v>
      </c>
    </row>
    <row r="195" spans="5:37">
      <c r="E195">
        <v>12</v>
      </c>
      <c r="F195" s="13"/>
      <c r="G195" s="13">
        <f t="shared" si="212"/>
        <v>0</v>
      </c>
      <c r="H195" s="13">
        <f t="shared" si="213"/>
        <v>196.20000000000002</v>
      </c>
      <c r="I195" s="13">
        <f t="shared" si="214"/>
        <v>250000</v>
      </c>
      <c r="J195" s="13">
        <f t="shared" si="196"/>
        <v>110.746</v>
      </c>
      <c r="K195" s="5">
        <f t="shared" si="197"/>
        <v>198.77799999999999</v>
      </c>
      <c r="L195" s="21">
        <f t="shared" si="198"/>
        <v>27686.5</v>
      </c>
      <c r="M195">
        <f t="shared" si="199"/>
        <v>49694.5</v>
      </c>
      <c r="N195">
        <f t="shared" si="215"/>
        <v>4.4513086800000001E-3</v>
      </c>
      <c r="O195">
        <f t="shared" si="216"/>
        <v>0.99997107733204649</v>
      </c>
      <c r="P195">
        <f t="shared" si="200"/>
        <v>4.4511799362770898E-6</v>
      </c>
      <c r="Q195">
        <f t="shared" si="193"/>
        <v>0.99996662615211018</v>
      </c>
      <c r="R195">
        <f t="shared" si="217"/>
        <v>45872.923194299634</v>
      </c>
      <c r="S195">
        <f t="shared" si="218"/>
        <v>2499.9276933301162</v>
      </c>
      <c r="T195">
        <f t="shared" si="201"/>
        <v>49692.841503316042</v>
      </c>
      <c r="U195" s="22">
        <f t="shared" si="194"/>
        <v>2499.9165653802756</v>
      </c>
      <c r="V195" s="1">
        <f t="shared" si="202"/>
        <v>0</v>
      </c>
      <c r="W195" s="1">
        <f t="shared" si="203"/>
        <v>0</v>
      </c>
      <c r="X195" s="1">
        <f t="shared" si="204"/>
        <v>-196.19432537254752</v>
      </c>
      <c r="Y195" s="1">
        <f t="shared" si="219"/>
        <v>-1.1127949840692724</v>
      </c>
      <c r="Z195" s="1">
        <f t="shared" si="205"/>
        <v>-197.30712035661679</v>
      </c>
      <c r="AA195" s="1">
        <f t="shared" si="206"/>
        <v>-3819.9183090164079</v>
      </c>
      <c r="AB195" s="1">
        <f t="shared" si="207"/>
        <v>2660.5067988196361</v>
      </c>
      <c r="AC195" s="1">
        <f t="shared" si="208"/>
        <v>-1356.7186305533887</v>
      </c>
      <c r="AD195" s="1">
        <f t="shared" si="209"/>
        <v>1.1127949840556539E-2</v>
      </c>
      <c r="AE195">
        <f t="shared" si="210"/>
        <v>-1356.7075026035482</v>
      </c>
      <c r="AG195" s="19">
        <v>12</v>
      </c>
      <c r="AH195" s="19">
        <f t="shared" ref="AH195:AK195" si="230">AH108</f>
        <v>0.97145115348859601</v>
      </c>
      <c r="AI195" s="19">
        <f t="shared" si="230"/>
        <v>4.3242289517197996E-3</v>
      </c>
      <c r="AJ195" s="19">
        <f t="shared" si="230"/>
        <v>198.77799999999999</v>
      </c>
      <c r="AK195" s="19">
        <f t="shared" si="230"/>
        <v>110.746</v>
      </c>
    </row>
    <row r="196" spans="5:37">
      <c r="E196">
        <v>13</v>
      </c>
      <c r="F196" s="13"/>
      <c r="G196" s="13">
        <f t="shared" si="212"/>
        <v>0</v>
      </c>
      <c r="H196" s="13">
        <f t="shared" si="213"/>
        <v>196.20000000000002</v>
      </c>
      <c r="I196" s="13">
        <f t="shared" si="214"/>
        <v>250000</v>
      </c>
      <c r="J196" s="13">
        <f t="shared" si="196"/>
        <v>124.24</v>
      </c>
      <c r="K196" s="5">
        <f t="shared" si="197"/>
        <v>214.38800000000001</v>
      </c>
      <c r="L196" s="21">
        <f t="shared" si="198"/>
        <v>31060</v>
      </c>
      <c r="M196">
        <f t="shared" si="199"/>
        <v>53597</v>
      </c>
      <c r="N196">
        <f t="shared" si="215"/>
        <v>4.8994036000000003E-3</v>
      </c>
      <c r="O196">
        <f t="shared" si="216"/>
        <v>0.99996662615211018</v>
      </c>
      <c r="P196">
        <f t="shared" si="200"/>
        <v>4.8992400880495033E-6</v>
      </c>
      <c r="Q196">
        <f t="shared" si="193"/>
        <v>0.99996172691202212</v>
      </c>
      <c r="R196">
        <f t="shared" si="217"/>
        <v>49692.841503316042</v>
      </c>
      <c r="S196">
        <f t="shared" si="218"/>
        <v>2499.9165653802756</v>
      </c>
      <c r="T196">
        <f t="shared" si="201"/>
        <v>53594.948677303648</v>
      </c>
      <c r="U196" s="22">
        <f t="shared" si="194"/>
        <v>2499.9043172800552</v>
      </c>
      <c r="V196" s="1">
        <f t="shared" si="202"/>
        <v>0</v>
      </c>
      <c r="W196" s="1">
        <f t="shared" si="203"/>
        <v>0</v>
      </c>
      <c r="X196" s="1">
        <f t="shared" si="204"/>
        <v>-196.19345205104403</v>
      </c>
      <c r="Y196" s="1">
        <f t="shared" si="219"/>
        <v>-1.2248100220123759</v>
      </c>
      <c r="Z196" s="1">
        <f t="shared" si="205"/>
        <v>-197.41826207305641</v>
      </c>
      <c r="AA196" s="1">
        <f t="shared" si="206"/>
        <v>-3902.1071739876061</v>
      </c>
      <c r="AB196" s="1">
        <f t="shared" si="207"/>
        <v>2870.6016937782974</v>
      </c>
      <c r="AC196" s="1">
        <f t="shared" si="208"/>
        <v>-1228.9237422823649</v>
      </c>
      <c r="AD196" s="1">
        <f t="shared" si="209"/>
        <v>1.2248100220404012E-2</v>
      </c>
      <c r="AE196">
        <f t="shared" si="210"/>
        <v>-1228.9114941821445</v>
      </c>
      <c r="AG196" s="19">
        <v>13</v>
      </c>
      <c r="AH196" s="19">
        <f t="shared" ref="AH196:AK196" si="231">AH109</f>
        <v>0.96712692453687621</v>
      </c>
      <c r="AI196" s="19">
        <f t="shared" si="231"/>
        <v>4.7383451357329003E-3</v>
      </c>
      <c r="AJ196" s="19">
        <f t="shared" si="231"/>
        <v>214.38800000000001</v>
      </c>
      <c r="AK196" s="19">
        <f t="shared" si="231"/>
        <v>124.24</v>
      </c>
    </row>
    <row r="197" spans="5:37">
      <c r="E197">
        <v>14</v>
      </c>
      <c r="F197" s="13"/>
      <c r="G197" s="13">
        <f t="shared" si="212"/>
        <v>0</v>
      </c>
      <c r="H197" s="13">
        <f t="shared" si="213"/>
        <v>196.20000000000002</v>
      </c>
      <c r="I197" s="13">
        <f t="shared" si="214"/>
        <v>250000</v>
      </c>
      <c r="J197" s="13">
        <f t="shared" si="196"/>
        <v>138.19900000000001</v>
      </c>
      <c r="K197" s="5">
        <f t="shared" si="197"/>
        <v>230.33099999999999</v>
      </c>
      <c r="L197" s="21">
        <f t="shared" si="198"/>
        <v>34549.75</v>
      </c>
      <c r="M197">
        <f t="shared" si="199"/>
        <v>57582.75</v>
      </c>
      <c r="N197">
        <f t="shared" si="215"/>
        <v>5.3788826E-3</v>
      </c>
      <c r="O197">
        <f t="shared" si="216"/>
        <v>0.99996172691202212</v>
      </c>
      <c r="P197">
        <f t="shared" si="200"/>
        <v>5.378676733553027E-6</v>
      </c>
      <c r="Q197">
        <f t="shared" si="193"/>
        <v>0.99995634823528856</v>
      </c>
      <c r="R197">
        <f t="shared" si="217"/>
        <v>53594.948677303648</v>
      </c>
      <c r="S197">
        <f t="shared" si="218"/>
        <v>2499.9043172800552</v>
      </c>
      <c r="T197">
        <f t="shared" si="201"/>
        <v>57580.236411345562</v>
      </c>
      <c r="U197" s="22">
        <f t="shared" si="194"/>
        <v>2499.8908705882213</v>
      </c>
      <c r="V197" s="1">
        <f t="shared" si="202"/>
        <v>0</v>
      </c>
      <c r="W197" s="1">
        <f t="shared" si="203"/>
        <v>0</v>
      </c>
      <c r="X197" s="1">
        <f t="shared" si="204"/>
        <v>-196.19249082013874</v>
      </c>
      <c r="Y197" s="1">
        <f t="shared" si="219"/>
        <v>-1.3446691833882567</v>
      </c>
      <c r="Z197" s="1">
        <f t="shared" si="205"/>
        <v>-197.53716000352699</v>
      </c>
      <c r="AA197" s="1">
        <f t="shared" si="206"/>
        <v>-3985.2877340419145</v>
      </c>
      <c r="AB197" s="1">
        <f t="shared" si="207"/>
        <v>3085.2169147021036</v>
      </c>
      <c r="AC197" s="1">
        <f t="shared" si="208"/>
        <v>-1097.6079793433378</v>
      </c>
      <c r="AD197" s="1">
        <f t="shared" si="209"/>
        <v>1.3446691833905788E-2</v>
      </c>
      <c r="AE197">
        <f t="shared" si="210"/>
        <v>-1097.5945326515039</v>
      </c>
      <c r="AG197" s="19">
        <v>14</v>
      </c>
      <c r="AH197" s="19">
        <f t="shared" ref="AH197:AK197" si="232">AH110</f>
        <v>0.96238857940114331</v>
      </c>
      <c r="AI197" s="19">
        <f t="shared" si="232"/>
        <v>5.1765751841795285E-3</v>
      </c>
      <c r="AJ197" s="19">
        <f t="shared" si="232"/>
        <v>230.33099999999999</v>
      </c>
      <c r="AK197" s="19">
        <f t="shared" si="232"/>
        <v>138.19900000000001</v>
      </c>
    </row>
    <row r="198" spans="5:37">
      <c r="E198">
        <v>15</v>
      </c>
      <c r="F198" s="13"/>
      <c r="G198" s="13">
        <f t="shared" si="212"/>
        <v>0</v>
      </c>
      <c r="H198" s="13">
        <f t="shared" si="213"/>
        <v>196.20000000000002</v>
      </c>
      <c r="I198" s="13">
        <f t="shared" si="214"/>
        <v>250000</v>
      </c>
      <c r="J198" s="13">
        <f t="shared" si="196"/>
        <v>152.625</v>
      </c>
      <c r="K198" s="5">
        <f t="shared" si="197"/>
        <v>246.602</v>
      </c>
      <c r="L198" s="21">
        <f t="shared" si="198"/>
        <v>38156.25</v>
      </c>
      <c r="M198">
        <f t="shared" si="199"/>
        <v>61650.5</v>
      </c>
      <c r="N198">
        <f t="shared" si="215"/>
        <v>5.9071812799999998E-3</v>
      </c>
      <c r="O198">
        <f t="shared" si="216"/>
        <v>0.99995634823528856</v>
      </c>
      <c r="P198">
        <f t="shared" si="200"/>
        <v>5.9069234211126574E-6</v>
      </c>
      <c r="Q198">
        <f t="shared" si="193"/>
        <v>0.9999504413118675</v>
      </c>
      <c r="R198">
        <f t="shared" si="217"/>
        <v>57580.236411345562</v>
      </c>
      <c r="S198">
        <f t="shared" si="218"/>
        <v>2499.8908705882213</v>
      </c>
      <c r="T198">
        <f t="shared" si="201"/>
        <v>61647.444682097288</v>
      </c>
      <c r="U198" s="22">
        <f t="shared" si="194"/>
        <v>2499.8761032796688</v>
      </c>
      <c r="V198" s="1">
        <f t="shared" si="202"/>
        <v>0</v>
      </c>
      <c r="W198" s="1">
        <f t="shared" si="203"/>
        <v>0</v>
      </c>
      <c r="X198" s="1">
        <f t="shared" si="204"/>
        <v>-196.19143552376363</v>
      </c>
      <c r="Y198" s="1">
        <f t="shared" si="219"/>
        <v>-1.4767308552781644</v>
      </c>
      <c r="Z198" s="1">
        <f t="shared" si="205"/>
        <v>-197.66816637904179</v>
      </c>
      <c r="AA198" s="1">
        <f t="shared" si="206"/>
        <v>-4067.2082707517256</v>
      </c>
      <c r="AB198" s="1">
        <f t="shared" si="207"/>
        <v>3304.4070005063581</v>
      </c>
      <c r="AC198" s="1">
        <f t="shared" si="208"/>
        <v>-960.4694366244089</v>
      </c>
      <c r="AD198" s="1">
        <f t="shared" si="209"/>
        <v>1.4767308552563918E-2</v>
      </c>
      <c r="AE198">
        <f t="shared" si="210"/>
        <v>-960.45466931585634</v>
      </c>
      <c r="AG198" s="19">
        <v>15</v>
      </c>
      <c r="AH198" s="19">
        <f t="shared" ref="AH198:AK198" si="233">AH111</f>
        <v>0.95721200421696373</v>
      </c>
      <c r="AI198" s="19">
        <f t="shared" si="233"/>
        <v>5.6544248323017292E-3</v>
      </c>
      <c r="AJ198" s="19">
        <f t="shared" si="233"/>
        <v>246.602</v>
      </c>
      <c r="AK198" s="19">
        <f t="shared" si="233"/>
        <v>152.625</v>
      </c>
    </row>
    <row r="199" spans="5:37">
      <c r="E199">
        <v>16</v>
      </c>
      <c r="F199" s="13"/>
      <c r="G199" s="13">
        <f t="shared" si="212"/>
        <v>0</v>
      </c>
      <c r="H199" s="13">
        <f t="shared" si="213"/>
        <v>196.20000000000002</v>
      </c>
      <c r="I199" s="13">
        <f t="shared" si="214"/>
        <v>250000</v>
      </c>
      <c r="J199" s="13">
        <f t="shared" si="196"/>
        <v>167.47900000000001</v>
      </c>
      <c r="K199" s="5">
        <f t="shared" si="197"/>
        <v>263.15499999999997</v>
      </c>
      <c r="L199" s="21">
        <f t="shared" si="198"/>
        <v>41869.75</v>
      </c>
      <c r="M199">
        <f t="shared" si="199"/>
        <v>65788.749999999985</v>
      </c>
      <c r="N199">
        <f t="shared" si="215"/>
        <v>6.5392217799999999E-3</v>
      </c>
      <c r="O199">
        <f t="shared" si="216"/>
        <v>0.9999504413118675</v>
      </c>
      <c r="P199">
        <f t="shared" si="200"/>
        <v>6.5388977047471757E-6</v>
      </c>
      <c r="Q199">
        <f t="shared" si="193"/>
        <v>0.99994390241416276</v>
      </c>
      <c r="R199">
        <f t="shared" si="217"/>
        <v>61647.444682097288</v>
      </c>
      <c r="S199">
        <f t="shared" si="218"/>
        <v>2499.8761032796688</v>
      </c>
      <c r="T199">
        <f t="shared" si="201"/>
        <v>65785.059409949739</v>
      </c>
      <c r="U199" s="22">
        <f t="shared" si="194"/>
        <v>2499.8597560354069</v>
      </c>
      <c r="V199" s="1">
        <f t="shared" si="202"/>
        <v>0</v>
      </c>
      <c r="W199" s="1">
        <f t="shared" si="203"/>
        <v>0</v>
      </c>
      <c r="X199" s="1">
        <f t="shared" si="204"/>
        <v>-196.19027658538843</v>
      </c>
      <c r="Y199" s="1">
        <f t="shared" si="219"/>
        <v>-1.6347244261867939</v>
      </c>
      <c r="Z199" s="1">
        <f t="shared" si="205"/>
        <v>-197.82500101157524</v>
      </c>
      <c r="AA199" s="1">
        <f t="shared" si="206"/>
        <v>-4137.6147278524513</v>
      </c>
      <c r="AB199" s="1">
        <f t="shared" si="207"/>
        <v>3528.1026431957325</v>
      </c>
      <c r="AC199" s="1">
        <f t="shared" si="208"/>
        <v>-807.33708566829409</v>
      </c>
      <c r="AD199" s="1">
        <f t="shared" si="209"/>
        <v>1.6347244261851301E-2</v>
      </c>
      <c r="AE199">
        <f t="shared" si="210"/>
        <v>-807.32073842403224</v>
      </c>
      <c r="AG199" s="19">
        <v>16</v>
      </c>
      <c r="AH199" s="19">
        <f t="shared" ref="AH199:AK199" si="234">AH112</f>
        <v>0.95155757938466201</v>
      </c>
      <c r="AI199" s="19">
        <f t="shared" si="234"/>
        <v>6.2224460480362611E-3</v>
      </c>
      <c r="AJ199" s="19">
        <f t="shared" si="234"/>
        <v>263.15499999999997</v>
      </c>
      <c r="AK199" s="19">
        <f t="shared" si="234"/>
        <v>167.47900000000001</v>
      </c>
    </row>
    <row r="200" spans="5:37">
      <c r="E200">
        <v>17</v>
      </c>
      <c r="F200" s="13"/>
      <c r="G200" s="13">
        <f t="shared" si="212"/>
        <v>0</v>
      </c>
      <c r="H200" s="13">
        <f t="shared" si="213"/>
        <v>196.20000000000002</v>
      </c>
      <c r="I200" s="13">
        <f t="shared" si="214"/>
        <v>250000</v>
      </c>
      <c r="J200" s="13">
        <f t="shared" si="196"/>
        <v>182.773</v>
      </c>
      <c r="K200" s="5">
        <f t="shared" si="197"/>
        <v>279.995</v>
      </c>
      <c r="L200" s="21">
        <f t="shared" si="198"/>
        <v>45693.25</v>
      </c>
      <c r="M200">
        <f t="shared" si="199"/>
        <v>69998.75</v>
      </c>
      <c r="N200">
        <f t="shared" si="215"/>
        <v>7.2131077200000004E-3</v>
      </c>
      <c r="O200">
        <f t="shared" si="216"/>
        <v>0.99994390241416276</v>
      </c>
      <c r="P200">
        <f t="shared" si="200"/>
        <v>7.2127030820705252E-6</v>
      </c>
      <c r="Q200">
        <f t="shared" si="193"/>
        <v>0.99993668971108074</v>
      </c>
      <c r="R200">
        <f t="shared" si="217"/>
        <v>65785.059409949739</v>
      </c>
      <c r="S200">
        <f t="shared" si="218"/>
        <v>2499.8597560354069</v>
      </c>
      <c r="T200">
        <f t="shared" si="201"/>
        <v>69994.318358913515</v>
      </c>
      <c r="U200" s="22">
        <f t="shared" si="194"/>
        <v>2499.8417242777018</v>
      </c>
      <c r="V200" s="1">
        <f t="shared" si="202"/>
        <v>0</v>
      </c>
      <c r="W200" s="1">
        <f t="shared" si="203"/>
        <v>0</v>
      </c>
      <c r="X200" s="1">
        <f t="shared" si="204"/>
        <v>-196.18899365365874</v>
      </c>
      <c r="Y200" s="1">
        <f t="shared" si="219"/>
        <v>-1.8031757705176312</v>
      </c>
      <c r="Z200" s="1">
        <f t="shared" si="205"/>
        <v>-197.99216942417638</v>
      </c>
      <c r="AA200" s="1">
        <f t="shared" si="206"/>
        <v>-4209.2589489637758</v>
      </c>
      <c r="AB200" s="1">
        <f t="shared" si="207"/>
        <v>3755.6705541291831</v>
      </c>
      <c r="AC200" s="1">
        <f t="shared" si="208"/>
        <v>-651.5805642587693</v>
      </c>
      <c r="AD200" s="1">
        <f t="shared" si="209"/>
        <v>1.8031757705102791E-2</v>
      </c>
      <c r="AE200">
        <f t="shared" si="210"/>
        <v>-651.5625325010642</v>
      </c>
      <c r="AG200" s="19">
        <v>17</v>
      </c>
      <c r="AH200" s="19">
        <f t="shared" ref="AH200:AK200" si="235">AH113</f>
        <v>0.94533513333662578</v>
      </c>
      <c r="AI200" s="19">
        <f t="shared" si="235"/>
        <v>6.8188041482576452E-3</v>
      </c>
      <c r="AJ200" s="19">
        <f t="shared" si="235"/>
        <v>279.995</v>
      </c>
      <c r="AK200" s="19">
        <f t="shared" si="235"/>
        <v>182.773</v>
      </c>
    </row>
    <row r="201" spans="5:37">
      <c r="E201">
        <v>18</v>
      </c>
      <c r="F201" s="13"/>
      <c r="G201" s="13">
        <f t="shared" si="212"/>
        <v>0</v>
      </c>
      <c r="H201" s="13">
        <f t="shared" si="213"/>
        <v>196.20000000000002</v>
      </c>
      <c r="I201" s="13">
        <f t="shared" si="214"/>
        <v>250000</v>
      </c>
      <c r="J201" s="13">
        <f t="shared" si="196"/>
        <v>198.56</v>
      </c>
      <c r="K201" s="5">
        <f t="shared" si="197"/>
        <v>297.161</v>
      </c>
      <c r="L201" s="21">
        <f t="shared" si="198"/>
        <v>49640</v>
      </c>
      <c r="M201">
        <f t="shared" si="199"/>
        <v>74290.25</v>
      </c>
      <c r="N201">
        <f t="shared" si="215"/>
        <v>7.8843783199999996E-3</v>
      </c>
      <c r="O201">
        <f t="shared" si="216"/>
        <v>0.99993668971108074</v>
      </c>
      <c r="P201">
        <f t="shared" si="200"/>
        <v>7.8838791577306114E-6</v>
      </c>
      <c r="Q201">
        <f t="shared" si="193"/>
        <v>0.99992880583192301</v>
      </c>
      <c r="R201">
        <f t="shared" si="217"/>
        <v>69994.318358913515</v>
      </c>
      <c r="S201">
        <f t="shared" si="218"/>
        <v>2499.8417242777018</v>
      </c>
      <c r="T201">
        <f t="shared" si="201"/>
        <v>74284.960967455016</v>
      </c>
      <c r="U201" s="22">
        <f t="shared" si="194"/>
        <v>2499.8220145798077</v>
      </c>
      <c r="V201" s="1">
        <f t="shared" si="202"/>
        <v>0</v>
      </c>
      <c r="W201" s="1">
        <f t="shared" si="203"/>
        <v>0</v>
      </c>
      <c r="X201" s="1">
        <f t="shared" si="204"/>
        <v>-196.18757852131407</v>
      </c>
      <c r="Y201" s="1">
        <f t="shared" si="219"/>
        <v>-1.9709697894326528</v>
      </c>
      <c r="Z201" s="1">
        <f t="shared" si="205"/>
        <v>-198.15854831074671</v>
      </c>
      <c r="AA201" s="1">
        <f t="shared" si="206"/>
        <v>-4290.6426085415005</v>
      </c>
      <c r="AB201" s="1">
        <f t="shared" si="207"/>
        <v>3987.178804575517</v>
      </c>
      <c r="AC201" s="1">
        <f t="shared" si="208"/>
        <v>-501.62235227673</v>
      </c>
      <c r="AD201" s="1">
        <f t="shared" si="209"/>
        <v>1.9709697894086275E-2</v>
      </c>
      <c r="AE201">
        <f t="shared" si="210"/>
        <v>-501.60264257883591</v>
      </c>
      <c r="AG201" s="19">
        <v>18</v>
      </c>
      <c r="AH201" s="19">
        <f t="shared" ref="AH201:AK201" si="236">AH114</f>
        <v>0.93851632918836814</v>
      </c>
      <c r="AI201" s="19">
        <f t="shared" si="236"/>
        <v>7.3996177988187523E-3</v>
      </c>
      <c r="AJ201" s="19">
        <f t="shared" si="236"/>
        <v>297.161</v>
      </c>
      <c r="AK201" s="19">
        <f t="shared" si="236"/>
        <v>198.56</v>
      </c>
    </row>
    <row r="202" spans="5:37">
      <c r="E202">
        <v>19</v>
      </c>
      <c r="F202" s="13"/>
      <c r="G202" s="13">
        <f t="shared" si="212"/>
        <v>0</v>
      </c>
      <c r="H202" s="13">
        <f t="shared" si="213"/>
        <v>196.20000000000002</v>
      </c>
      <c r="I202" s="13">
        <f t="shared" si="214"/>
        <v>250000</v>
      </c>
      <c r="J202" s="13">
        <f t="shared" si="196"/>
        <v>214.84399999999999</v>
      </c>
      <c r="K202" s="5">
        <f t="shared" si="197"/>
        <v>314.64499999999998</v>
      </c>
      <c r="L202" s="21">
        <f t="shared" si="198"/>
        <v>53711</v>
      </c>
      <c r="M202">
        <f t="shared" si="199"/>
        <v>78661.25</v>
      </c>
      <c r="N202">
        <f t="shared" si="215"/>
        <v>8.6227759800000005E-3</v>
      </c>
      <c r="O202">
        <f t="shared" si="216"/>
        <v>0.99992880583192301</v>
      </c>
      <c r="P202">
        <f t="shared" si="200"/>
        <v>8.6221620886375896E-6</v>
      </c>
      <c r="Q202">
        <f t="shared" si="193"/>
        <v>0.99992018366983437</v>
      </c>
      <c r="R202">
        <f t="shared" si="217"/>
        <v>74284.960967455016</v>
      </c>
      <c r="S202">
        <f t="shared" si="218"/>
        <v>2499.8220145798077</v>
      </c>
      <c r="T202">
        <f t="shared" si="201"/>
        <v>78654.971547698762</v>
      </c>
      <c r="U202" s="22">
        <f t="shared" si="194"/>
        <v>2499.8004591745857</v>
      </c>
      <c r="V202" s="1">
        <f t="shared" si="202"/>
        <v>0</v>
      </c>
      <c r="W202" s="1">
        <f t="shared" si="203"/>
        <v>0</v>
      </c>
      <c r="X202" s="1">
        <f t="shared" si="204"/>
        <v>-196.18603170422332</v>
      </c>
      <c r="Y202" s="1">
        <f t="shared" si="219"/>
        <v>-2.1555405221593973</v>
      </c>
      <c r="Z202" s="1">
        <f t="shared" si="205"/>
        <v>-198.34157222638271</v>
      </c>
      <c r="AA202" s="1">
        <f t="shared" si="206"/>
        <v>-4370.0105802437465</v>
      </c>
      <c r="AB202" s="1">
        <f t="shared" si="207"/>
        <v>4223.1630640119156</v>
      </c>
      <c r="AC202" s="1">
        <f t="shared" si="208"/>
        <v>-345.18908845821352</v>
      </c>
      <c r="AD202" s="1">
        <f t="shared" si="209"/>
        <v>2.1555405221988622E-2</v>
      </c>
      <c r="AE202">
        <f t="shared" si="210"/>
        <v>-345.16753305299153</v>
      </c>
      <c r="AG202" s="19">
        <v>19</v>
      </c>
      <c r="AH202" s="19">
        <f t="shared" ref="AH202:AK202" si="237">AH115</f>
        <v>0.93111671138954943</v>
      </c>
      <c r="AI202" s="19">
        <f t="shared" si="237"/>
        <v>8.0288108135463995E-3</v>
      </c>
      <c r="AJ202" s="19">
        <f t="shared" si="237"/>
        <v>314.64499999999998</v>
      </c>
      <c r="AK202" s="19">
        <f t="shared" si="237"/>
        <v>214.84399999999999</v>
      </c>
    </row>
    <row r="203" spans="5:37">
      <c r="E203">
        <v>20</v>
      </c>
      <c r="F203" s="13"/>
      <c r="G203" s="13">
        <f t="shared" si="212"/>
        <v>0</v>
      </c>
      <c r="H203" s="13">
        <f t="shared" si="213"/>
        <v>196.20000000000002</v>
      </c>
      <c r="I203" s="13">
        <f t="shared" si="214"/>
        <v>250000</v>
      </c>
      <c r="J203" s="13">
        <f t="shared" si="196"/>
        <v>231.64500000000001</v>
      </c>
      <c r="K203" s="5">
        <f t="shared" si="197"/>
        <v>332.459</v>
      </c>
      <c r="L203" s="21">
        <f t="shared" si="198"/>
        <v>57911.25</v>
      </c>
      <c r="M203">
        <f t="shared" si="199"/>
        <v>83114.75</v>
      </c>
      <c r="N203">
        <f t="shared" si="215"/>
        <v>9.4082497599999992E-3</v>
      </c>
      <c r="O203">
        <f t="shared" si="216"/>
        <v>0.99992018366983437</v>
      </c>
      <c r="P203">
        <f t="shared" si="200"/>
        <v>9.4074988280308749E-6</v>
      </c>
      <c r="Q203">
        <f t="shared" si="193"/>
        <v>0.99991077617100632</v>
      </c>
      <c r="R203">
        <f t="shared" si="217"/>
        <v>78654.971547698762</v>
      </c>
      <c r="S203">
        <f t="shared" si="218"/>
        <v>2499.8004591745857</v>
      </c>
      <c r="T203">
        <f t="shared" si="201"/>
        <v>83107.334183759143</v>
      </c>
      <c r="U203" s="22">
        <f t="shared" si="194"/>
        <v>2499.7769404275159</v>
      </c>
      <c r="V203" s="1">
        <f t="shared" si="202"/>
        <v>0</v>
      </c>
      <c r="W203" s="1">
        <f t="shared" si="203"/>
        <v>0</v>
      </c>
      <c r="X203" s="1">
        <f t="shared" si="204"/>
        <v>-196.18434003602152</v>
      </c>
      <c r="Y203" s="1">
        <f t="shared" si="219"/>
        <v>-2.3518747070077186</v>
      </c>
      <c r="Z203" s="1">
        <f t="shared" si="205"/>
        <v>-198.53621474302923</v>
      </c>
      <c r="AA203" s="1">
        <f t="shared" si="206"/>
        <v>-4452.3626360603812</v>
      </c>
      <c r="AB203" s="1">
        <f t="shared" si="207"/>
        <v>4463.5124603780341</v>
      </c>
      <c r="AC203" s="1">
        <f t="shared" si="208"/>
        <v>-187.3863904253767</v>
      </c>
      <c r="AD203" s="1">
        <f t="shared" si="209"/>
        <v>2.351874706982926E-2</v>
      </c>
      <c r="AE203">
        <f t="shared" si="210"/>
        <v>-187.36287167830687</v>
      </c>
      <c r="AG203" s="19">
        <v>20</v>
      </c>
      <c r="AH203" s="19">
        <f t="shared" ref="AH203:AK203" si="238">AH116</f>
        <v>0.92308790057600298</v>
      </c>
      <c r="AI203" s="19">
        <f t="shared" si="238"/>
        <v>8.6846415190530834E-3</v>
      </c>
      <c r="AJ203" s="19">
        <f t="shared" si="238"/>
        <v>332.459</v>
      </c>
      <c r="AK203" s="19">
        <f t="shared" si="238"/>
        <v>231.64500000000001</v>
      </c>
    </row>
    <row r="204" spans="5:37">
      <c r="E204">
        <v>21</v>
      </c>
      <c r="F204" s="13"/>
      <c r="G204" s="13">
        <f t="shared" si="212"/>
        <v>0</v>
      </c>
      <c r="H204" s="13">
        <f t="shared" si="213"/>
        <v>196.20000000000002</v>
      </c>
      <c r="I204" s="13">
        <f t="shared" si="214"/>
        <v>250000</v>
      </c>
      <c r="J204" s="13">
        <f t="shared" si="196"/>
        <v>248.96100000000001</v>
      </c>
      <c r="K204" s="5">
        <f t="shared" si="197"/>
        <v>350.58699999999999</v>
      </c>
      <c r="L204" s="21">
        <f t="shared" si="198"/>
        <v>62240.25</v>
      </c>
      <c r="M204">
        <f t="shared" si="199"/>
        <v>87646.75</v>
      </c>
      <c r="N204">
        <f t="shared" si="215"/>
        <v>1.02826451E-2</v>
      </c>
      <c r="O204">
        <f t="shared" si="216"/>
        <v>0.99991077617100632</v>
      </c>
      <c r="P204">
        <f t="shared" ref="P204:P258" si="239">N204*O204/1000</f>
        <v>1.0281727643031995E-5</v>
      </c>
      <c r="Q204">
        <f t="shared" ref="Q204:Q258" si="240">O204-SUM(P204:P204)</f>
        <v>0.99990049444336326</v>
      </c>
      <c r="R204">
        <f t="shared" si="217"/>
        <v>83107.334183759143</v>
      </c>
      <c r="S204">
        <f t="shared" si="218"/>
        <v>2499.7769404275159</v>
      </c>
      <c r="T204">
        <f t="shared" si="201"/>
        <v>87638.028661353848</v>
      </c>
      <c r="U204" s="22">
        <f t="shared" si="194"/>
        <v>2499.7512361084082</v>
      </c>
      <c r="V204" s="1">
        <f t="shared" si="202"/>
        <v>0</v>
      </c>
      <c r="W204" s="1">
        <f t="shared" si="203"/>
        <v>0</v>
      </c>
      <c r="X204" s="1">
        <f t="shared" si="204"/>
        <v>-196.18249428475147</v>
      </c>
      <c r="Y204" s="1">
        <f t="shared" si="219"/>
        <v>-2.5704319107579985</v>
      </c>
      <c r="Z204" s="1">
        <f t="shared" si="205"/>
        <v>-198.75292619550947</v>
      </c>
      <c r="AA204" s="1">
        <f t="shared" si="206"/>
        <v>-4530.6944775947049</v>
      </c>
      <c r="AB204" s="1">
        <f t="shared" si="207"/>
        <v>4708.3911118302667</v>
      </c>
      <c r="AC204" s="1">
        <f t="shared" si="208"/>
        <v>-21.056291959947885</v>
      </c>
      <c r="AD204" s="1">
        <f t="shared" si="209"/>
        <v>2.5704319107717311E-2</v>
      </c>
      <c r="AE204">
        <f t="shared" si="210"/>
        <v>-21.030587640840167</v>
      </c>
      <c r="AG204" s="19">
        <v>21</v>
      </c>
      <c r="AH204" s="19">
        <f t="shared" ref="AH204:AK204" si="241">AH117</f>
        <v>0.91440325905694986</v>
      </c>
      <c r="AI204" s="19">
        <f t="shared" si="241"/>
        <v>9.4024841911659763E-3</v>
      </c>
      <c r="AJ204" s="19">
        <f t="shared" si="241"/>
        <v>350.58699999999999</v>
      </c>
      <c r="AK204" s="19">
        <f t="shared" si="241"/>
        <v>248.96100000000001</v>
      </c>
    </row>
    <row r="205" spans="5:37">
      <c r="E205">
        <v>22</v>
      </c>
      <c r="F205" s="13"/>
      <c r="G205" s="13">
        <f t="shared" si="212"/>
        <v>0</v>
      </c>
      <c r="H205" s="13">
        <f t="shared" si="213"/>
        <v>196.20000000000002</v>
      </c>
      <c r="I205" s="13">
        <f t="shared" si="214"/>
        <v>250000</v>
      </c>
      <c r="J205" s="13">
        <f t="shared" si="196"/>
        <v>266.76</v>
      </c>
      <c r="K205" s="5">
        <f t="shared" si="197"/>
        <v>368.99299999999999</v>
      </c>
      <c r="L205" s="21">
        <f t="shared" si="198"/>
        <v>66690</v>
      </c>
      <c r="M205">
        <f t="shared" si="199"/>
        <v>92248.25</v>
      </c>
      <c r="N205">
        <f t="shared" si="215"/>
        <v>1.129129456E-2</v>
      </c>
      <c r="O205">
        <f t="shared" si="216"/>
        <v>0.99990049444336326</v>
      </c>
      <c r="P205">
        <f t="shared" si="239"/>
        <v>1.1290171013449658E-5</v>
      </c>
      <c r="Q205">
        <f t="shared" si="240"/>
        <v>0.99988920427234984</v>
      </c>
      <c r="R205">
        <f t="shared" si="217"/>
        <v>87638.028661353848</v>
      </c>
      <c r="S205">
        <f t="shared" si="218"/>
        <v>2499.7512361084082</v>
      </c>
      <c r="T205">
        <f t="shared" si="201"/>
        <v>92238.029288016798</v>
      </c>
      <c r="U205" s="22">
        <f t="shared" si="194"/>
        <v>2499.7230106808747</v>
      </c>
      <c r="V205" s="1">
        <f t="shared" si="202"/>
        <v>0</v>
      </c>
      <c r="W205" s="1">
        <f t="shared" si="203"/>
        <v>0</v>
      </c>
      <c r="X205" s="1">
        <f t="shared" si="204"/>
        <v>-196.18047700978789</v>
      </c>
      <c r="Y205" s="1">
        <f t="shared" si="219"/>
        <v>-2.8225427533624146</v>
      </c>
      <c r="Z205" s="1">
        <f t="shared" si="205"/>
        <v>-199.00301976315032</v>
      </c>
      <c r="AA205" s="1">
        <f t="shared" si="206"/>
        <v>-4600.0006266629498</v>
      </c>
      <c r="AB205" s="1">
        <f t="shared" si="207"/>
        <v>4957.5778943604246</v>
      </c>
      <c r="AC205" s="1">
        <f t="shared" si="208"/>
        <v>158.57424793432438</v>
      </c>
      <c r="AD205" s="1">
        <f t="shared" si="209"/>
        <v>2.8225427533470793E-2</v>
      </c>
      <c r="AE205">
        <f t="shared" si="210"/>
        <v>158.60247336185785</v>
      </c>
      <c r="AG205" s="19">
        <v>22</v>
      </c>
      <c r="AH205" s="19">
        <f t="shared" ref="AH205:AK205" si="242">AH118</f>
        <v>0.9050007748657839</v>
      </c>
      <c r="AI205" s="19">
        <f t="shared" si="242"/>
        <v>1.0218630326037811E-2</v>
      </c>
      <c r="AJ205" s="19">
        <f t="shared" si="242"/>
        <v>368.99299999999999</v>
      </c>
      <c r="AK205" s="19">
        <f t="shared" si="242"/>
        <v>266.76</v>
      </c>
    </row>
    <row r="206" spans="5:37">
      <c r="E206">
        <v>23</v>
      </c>
      <c r="F206" s="13"/>
      <c r="G206" s="13">
        <f t="shared" si="212"/>
        <v>0</v>
      </c>
      <c r="H206" s="13">
        <f t="shared" si="213"/>
        <v>196.20000000000002</v>
      </c>
      <c r="I206" s="13">
        <f t="shared" si="214"/>
        <v>250000</v>
      </c>
      <c r="J206" s="13">
        <f t="shared" si="196"/>
        <v>285.06200000000001</v>
      </c>
      <c r="K206" s="5">
        <f t="shared" si="197"/>
        <v>387.68599999999998</v>
      </c>
      <c r="L206" s="21">
        <f t="shared" si="198"/>
        <v>71265.5</v>
      </c>
      <c r="M206">
        <f t="shared" si="199"/>
        <v>96921.5</v>
      </c>
      <c r="N206">
        <f t="shared" si="215"/>
        <v>1.236968642E-2</v>
      </c>
      <c r="O206">
        <f t="shared" si="216"/>
        <v>0.99988920427234984</v>
      </c>
      <c r="P206">
        <f t="shared" si="239"/>
        <v>1.236831591159229E-5</v>
      </c>
      <c r="Q206">
        <f t="shared" si="240"/>
        <v>0.99987683595643828</v>
      </c>
      <c r="R206">
        <f t="shared" si="217"/>
        <v>92238.029288016798</v>
      </c>
      <c r="S206">
        <f t="shared" si="218"/>
        <v>2499.7230106808747</v>
      </c>
      <c r="T206">
        <f t="shared" si="201"/>
        <v>96909.562756151936</v>
      </c>
      <c r="U206" s="22">
        <f t="shared" si="194"/>
        <v>2499.6920898910957</v>
      </c>
      <c r="V206" s="1">
        <f t="shared" si="202"/>
        <v>0</v>
      </c>
      <c r="W206" s="1">
        <f t="shared" si="203"/>
        <v>0</v>
      </c>
      <c r="X206" s="1">
        <f t="shared" si="204"/>
        <v>-196.17826187823505</v>
      </c>
      <c r="Y206" s="1">
        <f t="shared" si="219"/>
        <v>-3.0920789778980726</v>
      </c>
      <c r="Z206" s="1">
        <f t="shared" si="205"/>
        <v>-199.27034085613312</v>
      </c>
      <c r="AA206" s="1">
        <f t="shared" si="206"/>
        <v>-4671.5334681351378</v>
      </c>
      <c r="AB206" s="1">
        <f t="shared" si="207"/>
        <v>5210.576376428372</v>
      </c>
      <c r="AC206" s="1">
        <f t="shared" si="208"/>
        <v>339.77256743710132</v>
      </c>
      <c r="AD206" s="1">
        <f t="shared" si="209"/>
        <v>3.0920789778974722E-2</v>
      </c>
      <c r="AE206">
        <f t="shared" si="210"/>
        <v>339.80348822688029</v>
      </c>
      <c r="AG206" s="19">
        <v>23</v>
      </c>
      <c r="AH206" s="19">
        <f t="shared" ref="AH206:AK206" si="243">AH119</f>
        <v>0.89478214453974614</v>
      </c>
      <c r="AI206" s="19">
        <f t="shared" si="243"/>
        <v>1.1068174542171775E-2</v>
      </c>
      <c r="AJ206" s="19">
        <f t="shared" si="243"/>
        <v>387.68599999999998</v>
      </c>
      <c r="AK206" s="19">
        <f t="shared" si="243"/>
        <v>285.06200000000001</v>
      </c>
    </row>
    <row r="207" spans="5:37">
      <c r="E207">
        <v>24</v>
      </c>
      <c r="F207" s="13"/>
      <c r="G207" s="13">
        <f t="shared" si="212"/>
        <v>0</v>
      </c>
      <c r="H207" s="13">
        <f t="shared" si="213"/>
        <v>196.20000000000002</v>
      </c>
      <c r="I207" s="13">
        <f t="shared" si="214"/>
        <v>250000</v>
      </c>
      <c r="J207" s="13">
        <f t="shared" si="196"/>
        <v>303.89800000000002</v>
      </c>
      <c r="K207" s="5">
        <f t="shared" si="197"/>
        <v>406.68200000000002</v>
      </c>
      <c r="L207" s="21">
        <f t="shared" si="198"/>
        <v>75974.5</v>
      </c>
      <c r="M207">
        <f t="shared" si="199"/>
        <v>101670.5</v>
      </c>
      <c r="N207">
        <f t="shared" si="215"/>
        <v>1.3515205339999999E-2</v>
      </c>
      <c r="O207">
        <f t="shared" si="216"/>
        <v>0.99987683595643828</v>
      </c>
      <c r="P207">
        <f t="shared" si="239"/>
        <v>1.3513540752660758E-5</v>
      </c>
      <c r="Q207">
        <f t="shared" si="240"/>
        <v>0.99986332241568565</v>
      </c>
      <c r="R207">
        <f t="shared" si="217"/>
        <v>96909.562756151936</v>
      </c>
      <c r="S207">
        <f t="shared" si="218"/>
        <v>2499.6920898910957</v>
      </c>
      <c r="T207">
        <f t="shared" si="201"/>
        <v>101656.60392166396</v>
      </c>
      <c r="U207" s="22">
        <f t="shared" si="194"/>
        <v>2499.658306039214</v>
      </c>
      <c r="V207" s="1">
        <f t="shared" si="202"/>
        <v>0</v>
      </c>
      <c r="W207" s="1">
        <f t="shared" si="203"/>
        <v>0</v>
      </c>
      <c r="X207" s="1">
        <f t="shared" si="204"/>
        <v>-196.1758352146532</v>
      </c>
      <c r="Y207" s="1">
        <f t="shared" si="219"/>
        <v>-3.3783851881651894</v>
      </c>
      <c r="Z207" s="1">
        <f t="shared" si="205"/>
        <v>-199.5542204028184</v>
      </c>
      <c r="AA207" s="1">
        <f t="shared" si="206"/>
        <v>-4747.0411655120261</v>
      </c>
      <c r="AB207" s="1">
        <f t="shared" si="207"/>
        <v>5467.5090165323663</v>
      </c>
      <c r="AC207" s="1">
        <f t="shared" si="208"/>
        <v>520.91363061752145</v>
      </c>
      <c r="AD207" s="1">
        <f t="shared" si="209"/>
        <v>3.378385188170796E-2</v>
      </c>
      <c r="AE207">
        <f t="shared" si="210"/>
        <v>520.94741446940316</v>
      </c>
      <c r="AG207" s="19">
        <v>24</v>
      </c>
      <c r="AH207" s="19">
        <f t="shared" ref="AH207:AK207" si="244">AH120</f>
        <v>0.88371396999757434</v>
      </c>
      <c r="AI207" s="19">
        <f t="shared" si="244"/>
        <v>1.1943575766343816E-2</v>
      </c>
      <c r="AJ207" s="19">
        <f t="shared" si="244"/>
        <v>406.68200000000002</v>
      </c>
      <c r="AK207" s="19">
        <f t="shared" si="244"/>
        <v>303.89800000000002</v>
      </c>
    </row>
    <row r="208" spans="5:37">
      <c r="E208">
        <v>25</v>
      </c>
      <c r="F208" s="13"/>
      <c r="G208" s="13">
        <f t="shared" si="212"/>
        <v>0</v>
      </c>
      <c r="H208" s="13">
        <f t="shared" si="213"/>
        <v>196.20000000000002</v>
      </c>
      <c r="I208" s="13">
        <f t="shared" si="214"/>
        <v>250000</v>
      </c>
      <c r="J208" s="13">
        <f t="shared" si="196"/>
        <v>323.25200000000001</v>
      </c>
      <c r="K208" s="5">
        <f t="shared" si="197"/>
        <v>425.95800000000003</v>
      </c>
      <c r="L208" s="21">
        <f t="shared" si="198"/>
        <v>80813</v>
      </c>
      <c r="M208">
        <f t="shared" si="199"/>
        <v>106489.5</v>
      </c>
      <c r="N208">
        <f t="shared" si="215"/>
        <v>1.4805439740000001E-2</v>
      </c>
      <c r="O208">
        <f t="shared" si="216"/>
        <v>0.99986332241568565</v>
      </c>
      <c r="P208">
        <f t="shared" si="239"/>
        <v>1.4803416168261625E-5</v>
      </c>
      <c r="Q208">
        <f t="shared" si="240"/>
        <v>0.99984851899951743</v>
      </c>
      <c r="R208">
        <f t="shared" si="217"/>
        <v>101656.60392166396</v>
      </c>
      <c r="S208">
        <f t="shared" si="218"/>
        <v>2499.658306039214</v>
      </c>
      <c r="T208">
        <f t="shared" si="201"/>
        <v>106473.36886399912</v>
      </c>
      <c r="U208" s="22">
        <f t="shared" si="194"/>
        <v>2499.6212974987934</v>
      </c>
      <c r="V208" s="1">
        <f t="shared" si="202"/>
        <v>0</v>
      </c>
      <c r="W208" s="1">
        <f t="shared" si="203"/>
        <v>0</v>
      </c>
      <c r="X208" s="1">
        <f t="shared" si="204"/>
        <v>-196.17318385795755</v>
      </c>
      <c r="Y208" s="1">
        <f t="shared" si="219"/>
        <v>-3.7008540420654064</v>
      </c>
      <c r="Z208" s="1">
        <f t="shared" si="205"/>
        <v>-199.87403790002296</v>
      </c>
      <c r="AA208" s="1">
        <f t="shared" si="206"/>
        <v>-4816.764942335154</v>
      </c>
      <c r="AB208" s="1">
        <f t="shared" si="207"/>
        <v>5728.5944225236744</v>
      </c>
      <c r="AC208" s="1">
        <f t="shared" si="208"/>
        <v>711.95544228849758</v>
      </c>
      <c r="AD208" s="1">
        <f t="shared" si="209"/>
        <v>3.7008540420629288E-2</v>
      </c>
      <c r="AE208">
        <f t="shared" si="210"/>
        <v>711.99245082891821</v>
      </c>
      <c r="AG208" s="19">
        <v>25</v>
      </c>
      <c r="AH208" s="19">
        <f t="shared" ref="AH208:AK208" si="245">AH121</f>
        <v>0.87177039423123048</v>
      </c>
      <c r="AI208" s="19">
        <f t="shared" si="245"/>
        <v>1.2906944038906527E-2</v>
      </c>
      <c r="AJ208" s="19">
        <f t="shared" si="245"/>
        <v>425.95800000000003</v>
      </c>
      <c r="AK208" s="19">
        <f t="shared" si="245"/>
        <v>323.25200000000001</v>
      </c>
    </row>
    <row r="209" spans="5:37">
      <c r="E209">
        <v>26</v>
      </c>
      <c r="F209" s="13"/>
      <c r="G209" s="13">
        <f t="shared" si="212"/>
        <v>0</v>
      </c>
      <c r="H209" s="13">
        <f t="shared" si="213"/>
        <v>196.20000000000002</v>
      </c>
      <c r="I209" s="13">
        <f t="shared" si="214"/>
        <v>250000</v>
      </c>
      <c r="J209" s="13">
        <f t="shared" si="196"/>
        <v>343.10500000000002</v>
      </c>
      <c r="K209" s="5">
        <f t="shared" si="197"/>
        <v>445.488</v>
      </c>
      <c r="L209" s="21">
        <f t="shared" si="198"/>
        <v>85776.25</v>
      </c>
      <c r="M209">
        <f t="shared" si="199"/>
        <v>111372</v>
      </c>
      <c r="N209">
        <f t="shared" si="215"/>
        <v>1.6260440559999999E-2</v>
      </c>
      <c r="O209">
        <f t="shared" si="216"/>
        <v>0.99984851899951743</v>
      </c>
      <c r="P209">
        <f t="shared" si="239"/>
        <v>1.6257977412195685E-5</v>
      </c>
      <c r="Q209">
        <f t="shared" si="240"/>
        <v>0.99983226102210521</v>
      </c>
      <c r="R209">
        <f t="shared" si="217"/>
        <v>106473.36886399912</v>
      </c>
      <c r="S209">
        <f t="shared" si="218"/>
        <v>2499.6212974987934</v>
      </c>
      <c r="T209">
        <f t="shared" si="201"/>
        <v>111353.31857455389</v>
      </c>
      <c r="U209" s="22">
        <f t="shared" si="194"/>
        <v>2499.580652555263</v>
      </c>
      <c r="V209" s="1">
        <f t="shared" si="202"/>
        <v>0</v>
      </c>
      <c r="W209" s="1">
        <f t="shared" si="203"/>
        <v>0</v>
      </c>
      <c r="X209" s="1">
        <f t="shared" si="204"/>
        <v>-196.17027942770534</v>
      </c>
      <c r="Y209" s="1">
        <f t="shared" si="219"/>
        <v>-4.0644943530489215</v>
      </c>
      <c r="Z209" s="1">
        <f t="shared" si="205"/>
        <v>-200.23477378075427</v>
      </c>
      <c r="AA209" s="1">
        <f t="shared" si="206"/>
        <v>-4879.949710554778</v>
      </c>
      <c r="AB209" s="1">
        <f t="shared" si="207"/>
        <v>5993.514458882385</v>
      </c>
      <c r="AC209" s="1">
        <f t="shared" si="208"/>
        <v>913.32997454685301</v>
      </c>
      <c r="AD209" s="1">
        <f t="shared" si="209"/>
        <v>4.0644943530423916E-2</v>
      </c>
      <c r="AE209">
        <f t="shared" si="210"/>
        <v>913.37061949038343</v>
      </c>
      <c r="AG209" s="19">
        <v>26</v>
      </c>
      <c r="AH209" s="19">
        <f t="shared" ref="AH209:AK209" si="246">AH122</f>
        <v>0.85886345019232391</v>
      </c>
      <c r="AI209" s="19">
        <f t="shared" si="246"/>
        <v>1.3965498081008802E-2</v>
      </c>
      <c r="AJ209" s="19">
        <f t="shared" si="246"/>
        <v>445.488</v>
      </c>
      <c r="AK209" s="19">
        <f t="shared" si="246"/>
        <v>343.10500000000002</v>
      </c>
    </row>
    <row r="210" spans="5:37">
      <c r="E210">
        <v>27</v>
      </c>
      <c r="F210" s="13"/>
      <c r="G210" s="13">
        <f t="shared" si="212"/>
        <v>0</v>
      </c>
      <c r="H210" s="13">
        <f t="shared" si="213"/>
        <v>196.20000000000002</v>
      </c>
      <c r="I210" s="13">
        <f t="shared" si="214"/>
        <v>250000</v>
      </c>
      <c r="J210" s="13">
        <f t="shared" si="196"/>
        <v>363.42099999999999</v>
      </c>
      <c r="K210" s="5">
        <f t="shared" si="197"/>
        <v>465.22899999999998</v>
      </c>
      <c r="L210" s="21">
        <f t="shared" si="198"/>
        <v>90855.25</v>
      </c>
      <c r="M210">
        <f t="shared" si="199"/>
        <v>116307.25</v>
      </c>
      <c r="N210">
        <f t="shared" si="215"/>
        <v>1.7925540359999999E-2</v>
      </c>
      <c r="O210">
        <f t="shared" si="216"/>
        <v>0.99983226102210521</v>
      </c>
      <c r="P210">
        <f t="shared" si="239"/>
        <v>1.79225335481818E-5</v>
      </c>
      <c r="Q210">
        <f t="shared" si="240"/>
        <v>0.99981433848855705</v>
      </c>
      <c r="R210">
        <f t="shared" si="217"/>
        <v>111353.31857455389</v>
      </c>
      <c r="S210">
        <f t="shared" si="218"/>
        <v>2499.580652555263</v>
      </c>
      <c r="T210">
        <f t="shared" si="201"/>
        <v>116285.65622017323</v>
      </c>
      <c r="U210" s="22">
        <f t="shared" si="194"/>
        <v>2499.5358462213926</v>
      </c>
      <c r="V210" s="1">
        <f t="shared" si="202"/>
        <v>0</v>
      </c>
      <c r="W210" s="1">
        <f t="shared" si="203"/>
        <v>0</v>
      </c>
      <c r="X210" s="1">
        <f t="shared" si="204"/>
        <v>-196.16708961253707</v>
      </c>
      <c r="Y210" s="1">
        <f t="shared" si="219"/>
        <v>-4.48063338704545</v>
      </c>
      <c r="Z210" s="1">
        <f t="shared" si="205"/>
        <v>-200.64772299958253</v>
      </c>
      <c r="AA210" s="1">
        <f t="shared" si="206"/>
        <v>-4932.3376456193364</v>
      </c>
      <c r="AB210" s="1">
        <f t="shared" si="207"/>
        <v>6261.9094574910032</v>
      </c>
      <c r="AC210" s="1">
        <f t="shared" si="208"/>
        <v>1128.9240888720842</v>
      </c>
      <c r="AD210" s="1">
        <f t="shared" si="209"/>
        <v>4.4806333870383241E-2</v>
      </c>
      <c r="AE210">
        <f t="shared" si="210"/>
        <v>1128.9688952059546</v>
      </c>
      <c r="AG210" s="19">
        <v>27</v>
      </c>
      <c r="AH210" s="19">
        <f t="shared" ref="AH210:AK210" si="247">AH123</f>
        <v>0.84489795211131513</v>
      </c>
      <c r="AI210" s="19">
        <f t="shared" si="247"/>
        <v>1.5145252340652726E-2</v>
      </c>
      <c r="AJ210" s="19">
        <f t="shared" si="247"/>
        <v>465.22899999999998</v>
      </c>
      <c r="AK210" s="19">
        <f t="shared" si="247"/>
        <v>363.42099999999999</v>
      </c>
    </row>
    <row r="211" spans="5:37">
      <c r="E211">
        <v>28</v>
      </c>
      <c r="F211" s="13"/>
      <c r="G211" s="13">
        <f t="shared" si="212"/>
        <v>0</v>
      </c>
      <c r="H211" s="13">
        <f t="shared" si="213"/>
        <v>196.20000000000002</v>
      </c>
      <c r="I211" s="13">
        <f t="shared" si="214"/>
        <v>250000</v>
      </c>
      <c r="J211" s="13">
        <f t="shared" si="196"/>
        <v>384.14299999999997</v>
      </c>
      <c r="K211" s="5">
        <f t="shared" si="197"/>
        <v>485.12700000000001</v>
      </c>
      <c r="L211" s="21">
        <f t="shared" si="198"/>
        <v>96035.75</v>
      </c>
      <c r="M211">
        <f t="shared" si="199"/>
        <v>121281.75</v>
      </c>
      <c r="N211">
        <f t="shared" si="215"/>
        <v>1.984694348E-2</v>
      </c>
      <c r="O211">
        <f t="shared" si="216"/>
        <v>0.99981433848855705</v>
      </c>
      <c r="P211">
        <f t="shared" si="239"/>
        <v>1.9843258666475981E-5</v>
      </c>
      <c r="Q211">
        <f t="shared" si="240"/>
        <v>0.99979449522989061</v>
      </c>
      <c r="R211">
        <f t="shared" si="217"/>
        <v>116285.65622017323</v>
      </c>
      <c r="S211">
        <f t="shared" si="218"/>
        <v>2499.5358462213926</v>
      </c>
      <c r="T211">
        <f t="shared" si="201"/>
        <v>121256.82602184778</v>
      </c>
      <c r="U211" s="22">
        <f t="shared" si="194"/>
        <v>2499.4862380747263</v>
      </c>
      <c r="V211" s="1">
        <f t="shared" si="202"/>
        <v>0</v>
      </c>
      <c r="W211" s="1">
        <f t="shared" si="203"/>
        <v>0</v>
      </c>
      <c r="X211" s="1">
        <f t="shared" si="204"/>
        <v>-196.16357321145492</v>
      </c>
      <c r="Y211" s="1">
        <f t="shared" si="219"/>
        <v>-4.9608146666189956</v>
      </c>
      <c r="Z211" s="1">
        <f t="shared" si="205"/>
        <v>-201.12438787807392</v>
      </c>
      <c r="AA211" s="1">
        <f t="shared" si="206"/>
        <v>-4971.1698016745504</v>
      </c>
      <c r="AB211" s="1">
        <f t="shared" si="207"/>
        <v>6533.1855636517039</v>
      </c>
      <c r="AC211" s="1">
        <f t="shared" si="208"/>
        <v>1360.8913740990793</v>
      </c>
      <c r="AD211" s="1">
        <f t="shared" si="209"/>
        <v>4.9608146666287212E-2</v>
      </c>
      <c r="AE211">
        <f t="shared" si="210"/>
        <v>1360.9409822457455</v>
      </c>
      <c r="AG211" s="19">
        <v>28</v>
      </c>
      <c r="AH211" s="19">
        <f t="shared" ref="AH211:AK211" si="248">AH124</f>
        <v>0.82975269977066235</v>
      </c>
      <c r="AI211" s="19">
        <f t="shared" si="248"/>
        <v>1.6468054934725744E-2</v>
      </c>
      <c r="AJ211" s="19">
        <f t="shared" si="248"/>
        <v>485.12700000000001</v>
      </c>
      <c r="AK211" s="19">
        <f t="shared" si="248"/>
        <v>384.14299999999997</v>
      </c>
    </row>
    <row r="212" spans="5:37">
      <c r="E212">
        <v>29</v>
      </c>
      <c r="F212" s="13"/>
      <c r="G212" s="13">
        <f t="shared" si="212"/>
        <v>0</v>
      </c>
      <c r="H212" s="13">
        <f t="shared" si="213"/>
        <v>196.20000000000002</v>
      </c>
      <c r="I212" s="13">
        <f t="shared" si="214"/>
        <v>250000</v>
      </c>
      <c r="J212" s="13">
        <f t="shared" si="196"/>
        <v>405.209</v>
      </c>
      <c r="K212" s="5">
        <f t="shared" si="197"/>
        <v>505.12099999999998</v>
      </c>
      <c r="L212" s="21">
        <f t="shared" si="198"/>
        <v>101302.25</v>
      </c>
      <c r="M212">
        <f t="shared" si="199"/>
        <v>126280.25</v>
      </c>
      <c r="N212">
        <f t="shared" si="215"/>
        <v>2.2062136459999999E-2</v>
      </c>
      <c r="O212">
        <f t="shared" si="216"/>
        <v>0.99979449522989061</v>
      </c>
      <c r="P212">
        <f t="shared" si="239"/>
        <v>2.2057602585718664E-5</v>
      </c>
      <c r="Q212">
        <f t="shared" si="240"/>
        <v>0.99977243762730494</v>
      </c>
      <c r="R212">
        <f t="shared" si="217"/>
        <v>121256.82602184778</v>
      </c>
      <c r="S212">
        <f t="shared" si="218"/>
        <v>2499.4862380747263</v>
      </c>
      <c r="T212">
        <f t="shared" si="201"/>
        <v>126251.51336668548</v>
      </c>
      <c r="U212" s="22">
        <f t="shared" si="194"/>
        <v>2499.4310940682622</v>
      </c>
      <c r="V212" s="1">
        <f t="shared" si="202"/>
        <v>0</v>
      </c>
      <c r="W212" s="1">
        <f t="shared" si="203"/>
        <v>0</v>
      </c>
      <c r="X212" s="1">
        <f t="shared" si="204"/>
        <v>-196.15967996410455</v>
      </c>
      <c r="Y212" s="1">
        <f t="shared" si="219"/>
        <v>-5.5144006464296664</v>
      </c>
      <c r="Z212" s="1">
        <f t="shared" si="205"/>
        <v>-201.67408061053422</v>
      </c>
      <c r="AA212" s="1">
        <f t="shared" si="206"/>
        <v>-4994.6873448377009</v>
      </c>
      <c r="AB212" s="1">
        <f t="shared" si="207"/>
        <v>6806.5971742957381</v>
      </c>
      <c r="AC212" s="1">
        <f t="shared" si="208"/>
        <v>1610.2357488475027</v>
      </c>
      <c r="AD212" s="1">
        <f t="shared" si="209"/>
        <v>5.5144006464161066E-2</v>
      </c>
      <c r="AE212">
        <f t="shared" si="210"/>
        <v>1610.2908928539669</v>
      </c>
      <c r="AG212" s="19">
        <v>29</v>
      </c>
      <c r="AH212" s="19">
        <f t="shared" ref="AH212:AK212" si="249">AH125</f>
        <v>0.81328464483593665</v>
      </c>
      <c r="AI212" s="19">
        <f t="shared" si="249"/>
        <v>1.794279681519307E-2</v>
      </c>
      <c r="AJ212" s="19">
        <f t="shared" si="249"/>
        <v>505.12099999999998</v>
      </c>
      <c r="AK212" s="19">
        <f t="shared" si="249"/>
        <v>405.209</v>
      </c>
    </row>
    <row r="213" spans="5:37">
      <c r="E213">
        <v>30</v>
      </c>
      <c r="F213" s="13"/>
      <c r="G213" s="13">
        <f t="shared" si="212"/>
        <v>0</v>
      </c>
      <c r="H213" s="13">
        <f t="shared" si="213"/>
        <v>196.20000000000002</v>
      </c>
      <c r="I213" s="13">
        <f t="shared" si="214"/>
        <v>250000</v>
      </c>
      <c r="J213" s="13">
        <f t="shared" si="196"/>
        <v>426.49599999999998</v>
      </c>
      <c r="K213" s="5">
        <f t="shared" si="197"/>
        <v>525.10299999999995</v>
      </c>
      <c r="L213" s="21">
        <f t="shared" si="198"/>
        <v>106624</v>
      </c>
      <c r="M213">
        <f t="shared" si="199"/>
        <v>131275.74999999997</v>
      </c>
      <c r="N213">
        <f t="shared" si="215"/>
        <v>2.4701014520000002E-2</v>
      </c>
      <c r="O213">
        <f t="shared" si="216"/>
        <v>0.99977243762730494</v>
      </c>
      <c r="P213">
        <f t="shared" si="239"/>
        <v>2.4695393498527853E-5</v>
      </c>
      <c r="Q213">
        <f t="shared" si="240"/>
        <v>0.99974774223380647</v>
      </c>
      <c r="R213">
        <f t="shared" si="217"/>
        <v>126251.51336668548</v>
      </c>
      <c r="S213">
        <f t="shared" si="218"/>
        <v>2499.4310940682622</v>
      </c>
      <c r="T213">
        <f t="shared" si="201"/>
        <v>131242.63467254958</v>
      </c>
      <c r="U213" s="22">
        <f t="shared" si="194"/>
        <v>2499.3693555845161</v>
      </c>
      <c r="V213" s="1">
        <f t="shared" si="202"/>
        <v>0</v>
      </c>
      <c r="W213" s="1">
        <f t="shared" si="203"/>
        <v>0</v>
      </c>
      <c r="X213" s="1">
        <f t="shared" si="204"/>
        <v>-196.15535226247724</v>
      </c>
      <c r="Y213" s="1">
        <f t="shared" si="219"/>
        <v>-6.1738483746319632</v>
      </c>
      <c r="Z213" s="1">
        <f t="shared" si="205"/>
        <v>-202.32920063710921</v>
      </c>
      <c r="AA213" s="1">
        <f t="shared" si="206"/>
        <v>-4991.1213058641006</v>
      </c>
      <c r="AB213" s="1">
        <f t="shared" si="207"/>
        <v>7081.3019453414563</v>
      </c>
      <c r="AC213" s="1">
        <f t="shared" si="208"/>
        <v>1887.8514388402464</v>
      </c>
      <c r="AD213" s="1">
        <f t="shared" si="209"/>
        <v>6.1738483746012207E-2</v>
      </c>
      <c r="AE213">
        <f t="shared" si="210"/>
        <v>1887.9131773239924</v>
      </c>
      <c r="AG213" s="19">
        <v>30</v>
      </c>
      <c r="AH213" s="19">
        <f t="shared" ref="AH213:AK213" si="250">AH126</f>
        <v>0.79534184802074359</v>
      </c>
      <c r="AI213" s="19">
        <f t="shared" si="250"/>
        <v>1.9645750536324023E-2</v>
      </c>
      <c r="AJ213" s="19">
        <f t="shared" si="250"/>
        <v>525.10299999999995</v>
      </c>
      <c r="AK213" s="19">
        <f t="shared" si="250"/>
        <v>426.49599999999998</v>
      </c>
    </row>
    <row r="214" spans="5:37">
      <c r="E214">
        <v>31</v>
      </c>
      <c r="F214" s="13"/>
      <c r="G214" s="13">
        <f t="shared" si="212"/>
        <v>0</v>
      </c>
      <c r="H214" s="13">
        <f t="shared" si="213"/>
        <v>196.20000000000002</v>
      </c>
      <c r="I214" s="13">
        <f t="shared" si="214"/>
        <v>250000</v>
      </c>
      <c r="J214" s="13">
        <f t="shared" si="196"/>
        <v>447.90800000000002</v>
      </c>
      <c r="K214" s="5">
        <f t="shared" si="197"/>
        <v>544.99099999999999</v>
      </c>
      <c r="L214" s="21">
        <f t="shared" si="198"/>
        <v>111977</v>
      </c>
      <c r="M214">
        <f t="shared" si="199"/>
        <v>136247.75</v>
      </c>
      <c r="N214">
        <f t="shared" si="215"/>
        <v>2.77443985E-2</v>
      </c>
      <c r="O214">
        <f t="shared" si="216"/>
        <v>0.99974774223380647</v>
      </c>
      <c r="P214">
        <f t="shared" si="239"/>
        <v>2.7737399760010006E-5</v>
      </c>
      <c r="Q214">
        <f t="shared" si="240"/>
        <v>0.99972000483404644</v>
      </c>
      <c r="R214">
        <f t="shared" si="217"/>
        <v>131242.63467254958</v>
      </c>
      <c r="S214">
        <f t="shared" si="218"/>
        <v>2499.3693555845161</v>
      </c>
      <c r="T214">
        <f t="shared" si="201"/>
        <v>136209.60128862795</v>
      </c>
      <c r="U214" s="22">
        <f t="shared" si="194"/>
        <v>2499.3000120851161</v>
      </c>
      <c r="V214" s="1">
        <f t="shared" si="202"/>
        <v>0</v>
      </c>
      <c r="W214" s="1">
        <f t="shared" si="203"/>
        <v>0</v>
      </c>
      <c r="X214" s="1">
        <f t="shared" si="204"/>
        <v>-196.15050702627283</v>
      </c>
      <c r="Y214" s="1">
        <f t="shared" si="219"/>
        <v>-6.9343499400025017</v>
      </c>
      <c r="Z214" s="1">
        <f t="shared" si="205"/>
        <v>-203.08485696627534</v>
      </c>
      <c r="AA214" s="1">
        <f t="shared" si="206"/>
        <v>-4966.9666160783672</v>
      </c>
      <c r="AB214" s="1">
        <f t="shared" si="207"/>
        <v>7355.8102215473755</v>
      </c>
      <c r="AC214" s="1">
        <f t="shared" si="208"/>
        <v>2185.7587485027325</v>
      </c>
      <c r="AD214" s="1">
        <f t="shared" si="209"/>
        <v>6.9343499400019937E-2</v>
      </c>
      <c r="AE214">
        <f t="shared" si="210"/>
        <v>2185.8280920021325</v>
      </c>
      <c r="AG214" s="19">
        <v>31</v>
      </c>
      <c r="AH214" s="19">
        <f t="shared" ref="AH214:AK214" si="251">AH127</f>
        <v>0.77569609748441959</v>
      </c>
      <c r="AI214" s="19">
        <f t="shared" si="251"/>
        <v>2.1521221643502585E-2</v>
      </c>
      <c r="AJ214" s="19">
        <f t="shared" si="251"/>
        <v>544.99099999999999</v>
      </c>
      <c r="AK214" s="19">
        <f t="shared" si="251"/>
        <v>447.90800000000002</v>
      </c>
    </row>
    <row r="215" spans="5:37">
      <c r="E215">
        <v>32</v>
      </c>
      <c r="F215" s="13"/>
      <c r="G215" s="13">
        <f t="shared" si="212"/>
        <v>0</v>
      </c>
      <c r="H215" s="13">
        <f t="shared" si="213"/>
        <v>196.20000000000002</v>
      </c>
      <c r="I215" s="13">
        <f t="shared" si="214"/>
        <v>250000</v>
      </c>
      <c r="J215" s="13">
        <f t="shared" si="196"/>
        <v>469.34500000000003</v>
      </c>
      <c r="K215" s="5">
        <f t="shared" si="197"/>
        <v>564.70000000000005</v>
      </c>
      <c r="L215" s="21">
        <f t="shared" si="198"/>
        <v>117336.25</v>
      </c>
      <c r="M215">
        <f t="shared" si="199"/>
        <v>141175</v>
      </c>
      <c r="N215">
        <f t="shared" si="215"/>
        <v>3.1239364519999997E-2</v>
      </c>
      <c r="O215">
        <f t="shared" si="216"/>
        <v>0.99972000483404644</v>
      </c>
      <c r="P215">
        <f t="shared" si="239"/>
        <v>3.1230617648946939E-5</v>
      </c>
      <c r="Q215">
        <f t="shared" si="240"/>
        <v>0.99968877421639746</v>
      </c>
      <c r="R215">
        <f t="shared" si="217"/>
        <v>136209.60128862795</v>
      </c>
      <c r="S215">
        <f t="shared" si="218"/>
        <v>2499.3000120851161</v>
      </c>
      <c r="T215">
        <f t="shared" si="201"/>
        <v>141131.06269999992</v>
      </c>
      <c r="U215" s="22">
        <f t="shared" ref="U215:U246" si="252">$B$11*I215*Q215</f>
        <v>2499.2219355409939</v>
      </c>
      <c r="V215" s="1">
        <f t="shared" si="202"/>
        <v>0</v>
      </c>
      <c r="W215" s="1">
        <f t="shared" si="203"/>
        <v>0</v>
      </c>
      <c r="X215" s="1">
        <f t="shared" si="204"/>
        <v>-196.14506494843994</v>
      </c>
      <c r="Y215" s="1">
        <f t="shared" si="219"/>
        <v>-7.8076544122367348</v>
      </c>
      <c r="Z215" s="1">
        <f t="shared" si="205"/>
        <v>-203.95271936067667</v>
      </c>
      <c r="AA215" s="1">
        <f t="shared" si="206"/>
        <v>-4921.4614113719726</v>
      </c>
      <c r="AB215" s="1">
        <f t="shared" si="207"/>
        <v>7628.9895715392186</v>
      </c>
      <c r="AC215" s="1">
        <f t="shared" si="208"/>
        <v>2503.5754408065695</v>
      </c>
      <c r="AD215" s="1">
        <f t="shared" si="209"/>
        <v>7.8076544122268388E-2</v>
      </c>
      <c r="AE215">
        <f t="shared" si="210"/>
        <v>2503.6535173506918</v>
      </c>
      <c r="AG215" s="19">
        <v>32</v>
      </c>
      <c r="AH215" s="19">
        <f t="shared" ref="AH215:AK215" si="253">AH128</f>
        <v>0.75417487584091703</v>
      </c>
      <c r="AI215" s="19">
        <f t="shared" si="253"/>
        <v>2.3559943858220148E-2</v>
      </c>
      <c r="AJ215" s="19">
        <f t="shared" si="253"/>
        <v>564.70000000000005</v>
      </c>
      <c r="AK215" s="19">
        <f t="shared" si="253"/>
        <v>469.34500000000003</v>
      </c>
    </row>
    <row r="216" spans="5:37">
      <c r="E216">
        <v>33</v>
      </c>
      <c r="F216" s="13"/>
      <c r="G216" s="13">
        <f t="shared" si="212"/>
        <v>0</v>
      </c>
      <c r="H216" s="13">
        <f t="shared" si="213"/>
        <v>196.20000000000002</v>
      </c>
      <c r="I216" s="13">
        <f t="shared" si="214"/>
        <v>250000</v>
      </c>
      <c r="J216" s="13">
        <f t="shared" si="196"/>
        <v>490.67899999999997</v>
      </c>
      <c r="K216" s="5">
        <f t="shared" si="197"/>
        <v>584.125</v>
      </c>
      <c r="L216" s="21">
        <f t="shared" si="198"/>
        <v>122669.75</v>
      </c>
      <c r="M216">
        <f t="shared" si="199"/>
        <v>146031.25</v>
      </c>
      <c r="N216">
        <f t="shared" si="215"/>
        <v>3.5276577699999999E-2</v>
      </c>
      <c r="O216">
        <f t="shared" si="216"/>
        <v>0.99968877421639746</v>
      </c>
      <c r="P216">
        <f t="shared" si="239"/>
        <v>3.5265598719462499E-5</v>
      </c>
      <c r="Q216">
        <f t="shared" si="240"/>
        <v>0.99965350861767799</v>
      </c>
      <c r="R216">
        <f t="shared" si="217"/>
        <v>141131.06269999992</v>
      </c>
      <c r="S216">
        <f t="shared" si="218"/>
        <v>2499.2219355409939</v>
      </c>
      <c r="T216">
        <f t="shared" si="201"/>
        <v>145980.65143032529</v>
      </c>
      <c r="U216" s="22">
        <f t="shared" si="252"/>
        <v>2499.133771544195</v>
      </c>
      <c r="V216" s="1">
        <f t="shared" si="202"/>
        <v>0</v>
      </c>
      <c r="W216" s="1">
        <f t="shared" si="203"/>
        <v>0</v>
      </c>
      <c r="X216" s="1">
        <f t="shared" si="204"/>
        <v>-196.1389375012572</v>
      </c>
      <c r="Y216" s="1">
        <f t="shared" si="219"/>
        <v>-8.8163996798656239</v>
      </c>
      <c r="Z216" s="1">
        <f t="shared" si="205"/>
        <v>-204.95533718112281</v>
      </c>
      <c r="AA216" s="1">
        <f t="shared" si="206"/>
        <v>-4849.5887303253694</v>
      </c>
      <c r="AB216" s="1">
        <f t="shared" ref="AB216:AB247" si="254">$B$12*SUM(R216:S216,V216:W216)</f>
        <v>7899.6656549547506</v>
      </c>
      <c r="AC216" s="1">
        <f t="shared" si="208"/>
        <v>2845.1215874482587</v>
      </c>
      <c r="AD216" s="1">
        <f t="shared" si="209"/>
        <v>8.816399679881215E-2</v>
      </c>
      <c r="AE216">
        <f t="shared" si="210"/>
        <v>2845.2097514450575</v>
      </c>
      <c r="AG216" s="19">
        <v>33</v>
      </c>
      <c r="AH216" s="19">
        <f t="shared" ref="AH216:AK216" si="255">AH129</f>
        <v>0.73061493198269689</v>
      </c>
      <c r="AI216" s="19">
        <f t="shared" si="255"/>
        <v>2.5773594416867822E-2</v>
      </c>
      <c r="AJ216" s="19">
        <f t="shared" si="255"/>
        <v>584.125</v>
      </c>
      <c r="AK216" s="19">
        <f t="shared" si="255"/>
        <v>490.67899999999997</v>
      </c>
    </row>
    <row r="217" spans="5:37">
      <c r="E217">
        <v>34</v>
      </c>
      <c r="F217" s="13"/>
      <c r="G217" s="13">
        <f t="shared" ref="G217:G248" si="256">F217*$B$15</f>
        <v>0</v>
      </c>
      <c r="H217" s="13">
        <f t="shared" ref="H217:H248" si="257">$B$17</f>
        <v>196.20000000000002</v>
      </c>
      <c r="I217" s="13">
        <f t="shared" si="214"/>
        <v>250000</v>
      </c>
      <c r="J217" s="13">
        <f t="shared" si="196"/>
        <v>511.83499999999998</v>
      </c>
      <c r="K217" s="5">
        <f t="shared" si="197"/>
        <v>603.20899999999995</v>
      </c>
      <c r="L217" s="21">
        <f t="shared" si="198"/>
        <v>127958.75</v>
      </c>
      <c r="M217">
        <f t="shared" si="199"/>
        <v>150802.25</v>
      </c>
      <c r="N217">
        <f t="shared" si="215"/>
        <v>3.9790654540000005E-2</v>
      </c>
      <c r="O217">
        <f t="shared" si="216"/>
        <v>0.99965350861767799</v>
      </c>
      <c r="P217">
        <f t="shared" si="239"/>
        <v>3.9776867421104942E-5</v>
      </c>
      <c r="Q217">
        <f t="shared" si="240"/>
        <v>0.99961373175025692</v>
      </c>
      <c r="R217">
        <f t="shared" si="217"/>
        <v>145980.65143032529</v>
      </c>
      <c r="S217">
        <f t="shared" si="218"/>
        <v>2499.133771544195</v>
      </c>
      <c r="T217">
        <f t="shared" si="201"/>
        <v>150743.99987883519</v>
      </c>
      <c r="U217" s="22">
        <f t="shared" si="252"/>
        <v>2499.0343293756423</v>
      </c>
      <c r="V217" s="1">
        <f t="shared" si="202"/>
        <v>0</v>
      </c>
      <c r="W217" s="1">
        <f t="shared" si="203"/>
        <v>0</v>
      </c>
      <c r="X217" s="1">
        <f t="shared" si="204"/>
        <v>-196.13201839078843</v>
      </c>
      <c r="Y217" s="1">
        <f t="shared" si="219"/>
        <v>-9.9442168552762347</v>
      </c>
      <c r="Z217" s="1">
        <f t="shared" si="205"/>
        <v>-206.07623524606467</v>
      </c>
      <c r="AA217" s="1">
        <f t="shared" si="206"/>
        <v>-4763.3484485099034</v>
      </c>
      <c r="AB217" s="1">
        <f t="shared" si="254"/>
        <v>8166.3881861028221</v>
      </c>
      <c r="AC217" s="1">
        <f t="shared" si="208"/>
        <v>3196.9635023468545</v>
      </c>
      <c r="AD217" s="1">
        <f t="shared" si="209"/>
        <v>9.944216855274135E-2</v>
      </c>
      <c r="AE217">
        <f t="shared" si="210"/>
        <v>3197.0629445154073</v>
      </c>
      <c r="AG217" s="19">
        <v>34</v>
      </c>
      <c r="AH217" s="19">
        <f t="shared" ref="AH217:AK217" si="258">AH130</f>
        <v>0.70484133756582912</v>
      </c>
      <c r="AI217" s="19">
        <f t="shared" si="258"/>
        <v>2.8046098168593433E-2</v>
      </c>
      <c r="AJ217" s="19">
        <f t="shared" si="258"/>
        <v>603.20899999999995</v>
      </c>
      <c r="AK217" s="19">
        <f t="shared" si="258"/>
        <v>511.83499999999998</v>
      </c>
    </row>
    <row r="218" spans="5:37">
      <c r="E218">
        <v>35</v>
      </c>
      <c r="F218" s="13"/>
      <c r="G218" s="13">
        <f t="shared" si="256"/>
        <v>0</v>
      </c>
      <c r="H218" s="13">
        <f t="shared" si="257"/>
        <v>196.20000000000002</v>
      </c>
      <c r="I218" s="13">
        <f t="shared" si="214"/>
        <v>250000</v>
      </c>
      <c r="J218" s="13">
        <f t="shared" si="196"/>
        <v>532.745</v>
      </c>
      <c r="K218" s="5">
        <f t="shared" si="197"/>
        <v>621.9</v>
      </c>
      <c r="L218" s="21">
        <f t="shared" si="198"/>
        <v>133186.25</v>
      </c>
      <c r="M218">
        <f t="shared" si="199"/>
        <v>155475</v>
      </c>
      <c r="N218">
        <f t="shared" si="215"/>
        <v>4.4814722680000002E-2</v>
      </c>
      <c r="O218">
        <f t="shared" si="216"/>
        <v>0.99961373175025692</v>
      </c>
      <c r="P218">
        <f t="shared" si="239"/>
        <v>4.4797412175507678E-5</v>
      </c>
      <c r="Q218">
        <f t="shared" si="240"/>
        <v>0.99956893433808136</v>
      </c>
      <c r="R218">
        <f t="shared" si="217"/>
        <v>150743.99987883519</v>
      </c>
      <c r="S218">
        <f t="shared" si="218"/>
        <v>2499.0343293756423</v>
      </c>
      <c r="T218">
        <f t="shared" si="201"/>
        <v>155407.9800662132</v>
      </c>
      <c r="U218" s="22">
        <f t="shared" si="252"/>
        <v>2498.9223358452032</v>
      </c>
      <c r="V218" s="1">
        <f t="shared" si="202"/>
        <v>0</v>
      </c>
      <c r="W218" s="1">
        <f t="shared" si="203"/>
        <v>0</v>
      </c>
      <c r="X218" s="1">
        <f t="shared" si="204"/>
        <v>-196.12421416940043</v>
      </c>
      <c r="Y218" s="1">
        <f t="shared" si="219"/>
        <v>-11.19935304387692</v>
      </c>
      <c r="Z218" s="1">
        <f t="shared" si="205"/>
        <v>-207.32356721327736</v>
      </c>
      <c r="AA218" s="1">
        <f t="shared" si="206"/>
        <v>-4663.9801873780088</v>
      </c>
      <c r="AB218" s="1">
        <f t="shared" si="254"/>
        <v>8428.366881451595</v>
      </c>
      <c r="AC218" s="1">
        <f t="shared" si="208"/>
        <v>3557.0631268603083</v>
      </c>
      <c r="AD218" s="1">
        <f t="shared" si="209"/>
        <v>0.11199353043912197</v>
      </c>
      <c r="AE218">
        <f t="shared" si="210"/>
        <v>3557.1751203907475</v>
      </c>
      <c r="AG218" s="19">
        <v>35</v>
      </c>
      <c r="AH218" s="19">
        <f t="shared" ref="AH218:AK218" si="259">AH131</f>
        <v>0.67679523939723574</v>
      </c>
      <c r="AI218" s="19">
        <f t="shared" si="259"/>
        <v>3.0330390964731332E-2</v>
      </c>
      <c r="AJ218" s="19">
        <f t="shared" si="259"/>
        <v>621.9</v>
      </c>
      <c r="AK218" s="19">
        <f t="shared" si="259"/>
        <v>532.745</v>
      </c>
    </row>
    <row r="219" spans="5:37">
      <c r="E219">
        <v>36</v>
      </c>
      <c r="F219" s="13"/>
      <c r="G219" s="13">
        <f t="shared" si="256"/>
        <v>0</v>
      </c>
      <c r="H219" s="13">
        <f t="shared" si="257"/>
        <v>196.20000000000002</v>
      </c>
      <c r="I219" s="13">
        <f t="shared" si="214"/>
        <v>250000</v>
      </c>
      <c r="J219" s="13">
        <f t="shared" si="196"/>
        <v>553.38599999999997</v>
      </c>
      <c r="K219" s="5">
        <f t="shared" si="197"/>
        <v>640.18600000000004</v>
      </c>
      <c r="L219" s="21">
        <f t="shared" si="198"/>
        <v>138346.5</v>
      </c>
      <c r="M219">
        <f t="shared" si="199"/>
        <v>160046.5</v>
      </c>
      <c r="N219">
        <f t="shared" si="215"/>
        <v>5.0298218879999995E-2</v>
      </c>
      <c r="O219">
        <f t="shared" si="216"/>
        <v>0.99956893433808136</v>
      </c>
      <c r="P219">
        <f t="shared" si="239"/>
        <v>5.0276537044985161E-5</v>
      </c>
      <c r="Q219">
        <f t="shared" si="240"/>
        <v>0.99951865780103633</v>
      </c>
      <c r="R219">
        <f t="shared" si="217"/>
        <v>155407.9800662132</v>
      </c>
      <c r="S219">
        <f t="shared" si="218"/>
        <v>2498.9223358452032</v>
      </c>
      <c r="T219">
        <f t="shared" si="201"/>
        <v>159969.46286575356</v>
      </c>
      <c r="U219" s="22">
        <f t="shared" si="252"/>
        <v>2498.7966445025909</v>
      </c>
      <c r="V219" s="1">
        <f t="shared" si="202"/>
        <v>0</v>
      </c>
      <c r="W219" s="1">
        <f t="shared" si="203"/>
        <v>0</v>
      </c>
      <c r="X219" s="1">
        <f t="shared" si="204"/>
        <v>-196.11542491713158</v>
      </c>
      <c r="Y219" s="1">
        <f t="shared" si="219"/>
        <v>-12.56913426124629</v>
      </c>
      <c r="Z219" s="1">
        <f t="shared" si="205"/>
        <v>-208.68455917837787</v>
      </c>
      <c r="AA219" s="1">
        <f t="shared" si="206"/>
        <v>-4561.4827995403612</v>
      </c>
      <c r="AB219" s="1">
        <f t="shared" si="254"/>
        <v>8684.8796321132122</v>
      </c>
      <c r="AC219" s="1">
        <f t="shared" si="208"/>
        <v>3914.7122733944734</v>
      </c>
      <c r="AD219" s="1">
        <f t="shared" si="209"/>
        <v>0.1256913426122992</v>
      </c>
      <c r="AE219">
        <f t="shared" si="210"/>
        <v>3914.8379647370857</v>
      </c>
      <c r="AG219" s="19">
        <v>36</v>
      </c>
      <c r="AH219" s="19">
        <f t="shared" ref="AH219:AK219" si="260">AH132</f>
        <v>0.6464648484325044</v>
      </c>
      <c r="AI219" s="19">
        <f t="shared" si="260"/>
        <v>3.2516030444684131E-2</v>
      </c>
      <c r="AJ219" s="19">
        <f t="shared" si="260"/>
        <v>640.18600000000004</v>
      </c>
      <c r="AK219" s="19">
        <f t="shared" si="260"/>
        <v>553.38599999999997</v>
      </c>
    </row>
    <row r="220" spans="5:37">
      <c r="E220">
        <v>37</v>
      </c>
      <c r="F220" s="13"/>
      <c r="G220" s="13">
        <f t="shared" si="256"/>
        <v>0</v>
      </c>
      <c r="H220" s="13">
        <f t="shared" si="257"/>
        <v>196.20000000000002</v>
      </c>
      <c r="I220" s="13">
        <f t="shared" si="214"/>
        <v>250000</v>
      </c>
      <c r="J220" s="13">
        <f t="shared" si="196"/>
        <v>573.71799999999996</v>
      </c>
      <c r="K220" s="5">
        <f t="shared" si="197"/>
        <v>658.04</v>
      </c>
      <c r="L220" s="21">
        <f t="shared" si="198"/>
        <v>143429.5</v>
      </c>
      <c r="M220">
        <f t="shared" si="199"/>
        <v>164510</v>
      </c>
      <c r="N220">
        <f t="shared" si="215"/>
        <v>5.63257058E-2</v>
      </c>
      <c r="O220">
        <f t="shared" si="216"/>
        <v>0.99951865780103633</v>
      </c>
      <c r="P220">
        <f t="shared" si="239"/>
        <v>5.6298593860912054E-5</v>
      </c>
      <c r="Q220">
        <f t="shared" si="240"/>
        <v>0.99946235920717541</v>
      </c>
      <c r="R220">
        <f t="shared" si="217"/>
        <v>159969.46286575356</v>
      </c>
      <c r="S220">
        <f t="shared" si="218"/>
        <v>2498.7966445025909</v>
      </c>
      <c r="T220">
        <f t="shared" si="201"/>
        <v>164421.55271317242</v>
      </c>
      <c r="U220" s="22">
        <f t="shared" si="252"/>
        <v>2498.6558980179384</v>
      </c>
      <c r="V220" s="1">
        <f t="shared" si="202"/>
        <v>0</v>
      </c>
      <c r="W220" s="1">
        <f t="shared" si="203"/>
        <v>0</v>
      </c>
      <c r="X220" s="1">
        <f t="shared" si="204"/>
        <v>-196.10556066056336</v>
      </c>
      <c r="Y220" s="1">
        <f t="shared" si="219"/>
        <v>-14.074648465228014</v>
      </c>
      <c r="Z220" s="1">
        <f t="shared" si="205"/>
        <v>-210.18020912579138</v>
      </c>
      <c r="AA220" s="1">
        <f t="shared" si="206"/>
        <v>-4452.089847418858</v>
      </c>
      <c r="AB220" s="1">
        <f t="shared" si="254"/>
        <v>8935.7542730640889</v>
      </c>
      <c r="AC220" s="1">
        <f t="shared" si="208"/>
        <v>4273.4842165194395</v>
      </c>
      <c r="AD220" s="1">
        <f t="shared" si="209"/>
        <v>0.14074648465248174</v>
      </c>
      <c r="AE220">
        <f t="shared" si="210"/>
        <v>4273.624963004092</v>
      </c>
      <c r="AG220" s="19">
        <v>37</v>
      </c>
      <c r="AH220" s="19">
        <f t="shared" ref="AH220:AK220" si="261">AH133</f>
        <v>0.61394881798782031</v>
      </c>
      <c r="AI220" s="19">
        <f t="shared" si="261"/>
        <v>3.4581100498239717E-2</v>
      </c>
      <c r="AJ220" s="19">
        <f t="shared" si="261"/>
        <v>658.04</v>
      </c>
      <c r="AK220" s="19">
        <f t="shared" si="261"/>
        <v>573.71799999999996</v>
      </c>
    </row>
    <row r="221" spans="5:37">
      <c r="E221">
        <v>38</v>
      </c>
      <c r="F221" s="13"/>
      <c r="G221" s="13">
        <f t="shared" si="256"/>
        <v>0</v>
      </c>
      <c r="H221" s="13">
        <f t="shared" si="257"/>
        <v>196.20000000000002</v>
      </c>
      <c r="I221" s="13">
        <f t="shared" si="214"/>
        <v>250000</v>
      </c>
      <c r="J221" s="13">
        <f t="shared" si="196"/>
        <v>593.63699999999994</v>
      </c>
      <c r="K221" s="5">
        <f t="shared" si="197"/>
        <v>675.38400000000001</v>
      </c>
      <c r="L221" s="21">
        <f t="shared" si="198"/>
        <v>148409.25</v>
      </c>
      <c r="M221">
        <f t="shared" si="199"/>
        <v>168846</v>
      </c>
      <c r="N221">
        <f t="shared" si="215"/>
        <v>6.3106410639999999E-2</v>
      </c>
      <c r="O221">
        <f t="shared" si="216"/>
        <v>0.99946235920717541</v>
      </c>
      <c r="P221">
        <f t="shared" si="239"/>
        <v>6.3072482059351186E-5</v>
      </c>
      <c r="Q221">
        <f t="shared" si="240"/>
        <v>0.99939928672511602</v>
      </c>
      <c r="R221">
        <f t="shared" si="217"/>
        <v>164421.55271317242</v>
      </c>
      <c r="S221">
        <f t="shared" si="218"/>
        <v>2498.6558980179384</v>
      </c>
      <c r="T221">
        <f t="shared" si="201"/>
        <v>168744.57196638893</v>
      </c>
      <c r="U221" s="22">
        <f t="shared" si="252"/>
        <v>2498.4982168127899</v>
      </c>
      <c r="V221" s="1">
        <f t="shared" si="202"/>
        <v>0</v>
      </c>
      <c r="W221" s="1">
        <f t="shared" si="203"/>
        <v>0</v>
      </c>
      <c r="X221" s="1">
        <f t="shared" si="204"/>
        <v>-196.09451487644785</v>
      </c>
      <c r="Y221" s="1">
        <f t="shared" si="219"/>
        <v>-15.768120514837797</v>
      </c>
      <c r="Z221" s="1">
        <f t="shared" si="205"/>
        <v>-211.86263539128564</v>
      </c>
      <c r="AA221" s="1">
        <f t="shared" si="206"/>
        <v>-4323.0192532165092</v>
      </c>
      <c r="AB221" s="1">
        <f t="shared" si="254"/>
        <v>9180.6114736154686</v>
      </c>
      <c r="AC221" s="1">
        <f t="shared" si="208"/>
        <v>4645.7295850076734</v>
      </c>
      <c r="AD221" s="1">
        <f t="shared" si="209"/>
        <v>0.15768120514849215</v>
      </c>
      <c r="AE221">
        <f t="shared" si="210"/>
        <v>4645.8872662128215</v>
      </c>
      <c r="AG221" s="19">
        <v>38</v>
      </c>
      <c r="AH221" s="19">
        <f t="shared" ref="AH221:AK221" si="262">AH134</f>
        <v>0.5793677174895806</v>
      </c>
      <c r="AI221" s="19">
        <f t="shared" si="262"/>
        <v>3.6561817091456984E-2</v>
      </c>
      <c r="AJ221" s="19">
        <f t="shared" si="262"/>
        <v>675.38400000000001</v>
      </c>
      <c r="AK221" s="19">
        <f t="shared" si="262"/>
        <v>593.63699999999994</v>
      </c>
    </row>
    <row r="222" spans="5:37">
      <c r="E222">
        <v>39</v>
      </c>
      <c r="F222" s="13"/>
      <c r="G222" s="13">
        <f t="shared" si="256"/>
        <v>0</v>
      </c>
      <c r="H222" s="13">
        <f t="shared" si="257"/>
        <v>196.20000000000002</v>
      </c>
      <c r="I222" s="13">
        <f t="shared" si="214"/>
        <v>250000</v>
      </c>
      <c r="J222" s="13">
        <f t="shared" si="196"/>
        <v>613.02599999999995</v>
      </c>
      <c r="K222" s="5">
        <f t="shared" si="197"/>
        <v>692.13199999999995</v>
      </c>
      <c r="L222" s="21">
        <f t="shared" si="198"/>
        <v>153256.5</v>
      </c>
      <c r="M222">
        <f t="shared" si="199"/>
        <v>173033</v>
      </c>
      <c r="N222">
        <f t="shared" si="215"/>
        <v>7.0726639620000004E-2</v>
      </c>
      <c r="O222">
        <f t="shared" si="216"/>
        <v>0.99939928672511602</v>
      </c>
      <c r="P222">
        <f t="shared" si="239"/>
        <v>7.0684153188692338E-5</v>
      </c>
      <c r="Q222">
        <f t="shared" si="240"/>
        <v>0.99932860257192735</v>
      </c>
      <c r="R222">
        <f t="shared" si="217"/>
        <v>168744.57196638893</v>
      </c>
      <c r="S222">
        <f t="shared" si="218"/>
        <v>2498.4982168127899</v>
      </c>
      <c r="T222">
        <f t="shared" si="201"/>
        <v>172916.8260888283</v>
      </c>
      <c r="U222" s="22">
        <f t="shared" si="252"/>
        <v>2498.3215064298183</v>
      </c>
      <c r="V222" s="1">
        <f t="shared" si="202"/>
        <v>0</v>
      </c>
      <c r="W222" s="1">
        <f t="shared" si="203"/>
        <v>0</v>
      </c>
      <c r="X222" s="1">
        <f t="shared" si="204"/>
        <v>-196.08214005546779</v>
      </c>
      <c r="Y222" s="1">
        <f t="shared" si="219"/>
        <v>-17.671038297173084</v>
      </c>
      <c r="Z222" s="1">
        <f t="shared" si="205"/>
        <v>-213.75317835264087</v>
      </c>
      <c r="AA222" s="1">
        <f t="shared" si="206"/>
        <v>-4172.2541224393644</v>
      </c>
      <c r="AB222" s="1">
        <f t="shared" si="254"/>
        <v>9418.3688600760943</v>
      </c>
      <c r="AC222" s="1">
        <f t="shared" si="208"/>
        <v>5032.3615592840888</v>
      </c>
      <c r="AD222" s="1">
        <f t="shared" si="209"/>
        <v>0.17671038297157793</v>
      </c>
      <c r="AE222">
        <f t="shared" si="210"/>
        <v>5032.5382696670604</v>
      </c>
      <c r="AG222" s="19">
        <v>39</v>
      </c>
      <c r="AH222" s="19">
        <f t="shared" ref="AH222:AK222" si="263">AH135</f>
        <v>0.5428059003981236</v>
      </c>
      <c r="AI222" s="19">
        <f t="shared" si="263"/>
        <v>3.8390837301067703E-2</v>
      </c>
      <c r="AJ222" s="19">
        <f t="shared" si="263"/>
        <v>692.13199999999995</v>
      </c>
      <c r="AK222" s="19">
        <f t="shared" si="263"/>
        <v>613.02599999999995</v>
      </c>
    </row>
    <row r="223" spans="5:37">
      <c r="E223">
        <v>40</v>
      </c>
      <c r="F223" s="13"/>
      <c r="G223" s="13">
        <f t="shared" si="256"/>
        <v>0</v>
      </c>
      <c r="H223" s="13">
        <f t="shared" si="257"/>
        <v>196.20000000000002</v>
      </c>
      <c r="I223" s="13">
        <f t="shared" si="214"/>
        <v>250000</v>
      </c>
      <c r="J223" s="13">
        <f t="shared" si="196"/>
        <v>631.73699999999997</v>
      </c>
      <c r="K223" s="5">
        <f t="shared" si="197"/>
        <v>708.17700000000002</v>
      </c>
      <c r="L223" s="21">
        <f t="shared" si="198"/>
        <v>157934.25</v>
      </c>
      <c r="M223">
        <f t="shared" si="199"/>
        <v>177044.25</v>
      </c>
      <c r="N223">
        <f t="shared" si="215"/>
        <v>7.9320646859999996E-2</v>
      </c>
      <c r="O223">
        <f t="shared" si="216"/>
        <v>0.99932860257192735</v>
      </c>
      <c r="P223">
        <f t="shared" si="239"/>
        <v>7.9267391181705123E-5</v>
      </c>
      <c r="Q223">
        <f t="shared" si="240"/>
        <v>0.99924933518074566</v>
      </c>
      <c r="R223">
        <f t="shared" si="217"/>
        <v>172916.8260888283</v>
      </c>
      <c r="S223">
        <f t="shared" si="218"/>
        <v>2498.3215064298183</v>
      </c>
      <c r="T223">
        <f t="shared" si="201"/>
        <v>176911.34911007373</v>
      </c>
      <c r="U223" s="22">
        <f t="shared" si="252"/>
        <v>2498.123337951864</v>
      </c>
      <c r="V223" s="1">
        <f t="shared" si="202"/>
        <v>0</v>
      </c>
      <c r="W223" s="1">
        <f t="shared" si="203"/>
        <v>0</v>
      </c>
      <c r="X223" s="1">
        <f t="shared" si="204"/>
        <v>-196.06827182461217</v>
      </c>
      <c r="Y223" s="1">
        <f t="shared" si="219"/>
        <v>-19.81684779542628</v>
      </c>
      <c r="Z223" s="1">
        <f t="shared" si="205"/>
        <v>-215.88511962003844</v>
      </c>
      <c r="AA223" s="1">
        <f t="shared" si="206"/>
        <v>-3994.5230212454335</v>
      </c>
      <c r="AB223" s="1">
        <f t="shared" si="254"/>
        <v>9647.8331177391956</v>
      </c>
      <c r="AC223" s="1">
        <f t="shared" si="208"/>
        <v>5437.4249768737236</v>
      </c>
      <c r="AD223" s="1">
        <f t="shared" si="209"/>
        <v>0.19816847795436843</v>
      </c>
      <c r="AE223">
        <f t="shared" si="210"/>
        <v>5437.6231453516775</v>
      </c>
      <c r="AG223" s="19">
        <v>40</v>
      </c>
      <c r="AH223" s="19">
        <f t="shared" ref="AH223:AK223" si="264">AH136</f>
        <v>0.50441506309705586</v>
      </c>
      <c r="AI223" s="19">
        <f t="shared" si="264"/>
        <v>4.0010529090786187E-2</v>
      </c>
      <c r="AJ223" s="19">
        <f t="shared" si="264"/>
        <v>708.17700000000002</v>
      </c>
      <c r="AK223" s="19">
        <f t="shared" si="264"/>
        <v>631.73699999999997</v>
      </c>
    </row>
    <row r="224" spans="5:37">
      <c r="E224">
        <v>41</v>
      </c>
      <c r="F224" s="13"/>
      <c r="G224" s="13">
        <f t="shared" si="256"/>
        <v>0</v>
      </c>
      <c r="H224" s="13">
        <f t="shared" si="257"/>
        <v>196.20000000000002</v>
      </c>
      <c r="I224" s="13">
        <f t="shared" si="214"/>
        <v>250000</v>
      </c>
      <c r="J224" s="13">
        <f t="shared" si="196"/>
        <v>649.74699999999996</v>
      </c>
      <c r="K224" s="5">
        <f t="shared" si="197"/>
        <v>723.51400000000001</v>
      </c>
      <c r="L224" s="21">
        <f t="shared" si="198"/>
        <v>162436.75</v>
      </c>
      <c r="M224">
        <f t="shared" si="199"/>
        <v>180878.5</v>
      </c>
      <c r="N224">
        <f t="shared" si="215"/>
        <v>8.8604232079999998E-2</v>
      </c>
      <c r="O224">
        <f t="shared" si="216"/>
        <v>0.99924933518074566</v>
      </c>
      <c r="P224">
        <f t="shared" si="239"/>
        <v>8.8537720000140505E-5</v>
      </c>
      <c r="Q224">
        <f t="shared" si="240"/>
        <v>0.99916079746074549</v>
      </c>
      <c r="R224">
        <f t="shared" si="217"/>
        <v>176911.34911007373</v>
      </c>
      <c r="S224">
        <f t="shared" si="218"/>
        <v>2498.123337951864</v>
      </c>
      <c r="T224">
        <f t="shared" si="201"/>
        <v>180726.70630350345</v>
      </c>
      <c r="U224" s="22">
        <f t="shared" si="252"/>
        <v>2497.9019936518639</v>
      </c>
      <c r="V224" s="1">
        <f t="shared" si="202"/>
        <v>0</v>
      </c>
      <c r="W224" s="1">
        <f t="shared" si="203"/>
        <v>0</v>
      </c>
      <c r="X224" s="1">
        <f t="shared" si="204"/>
        <v>-196.05271956246233</v>
      </c>
      <c r="Y224" s="1">
        <f t="shared" si="219"/>
        <v>-22.134430000035128</v>
      </c>
      <c r="Z224" s="1">
        <f t="shared" si="205"/>
        <v>-218.18714956249747</v>
      </c>
      <c r="AA224" s="1">
        <f t="shared" si="206"/>
        <v>-3815.3571934297215</v>
      </c>
      <c r="AB224" s="1">
        <f t="shared" si="254"/>
        <v>9867.5209846414073</v>
      </c>
      <c r="AC224" s="1">
        <f t="shared" si="208"/>
        <v>5833.9766416491884</v>
      </c>
      <c r="AD224" s="1">
        <f t="shared" si="209"/>
        <v>0.22134430000005523</v>
      </c>
      <c r="AE224">
        <f t="shared" si="210"/>
        <v>5834.1979859491885</v>
      </c>
      <c r="AG224" s="19">
        <v>41</v>
      </c>
      <c r="AH224" s="19">
        <f t="shared" ref="AH224:AK224" si="265">AH137</f>
        <v>0.46440453400626969</v>
      </c>
      <c r="AI224" s="19">
        <f t="shared" si="265"/>
        <v>4.1148207110095772E-2</v>
      </c>
      <c r="AJ224" s="19">
        <f t="shared" si="265"/>
        <v>723.51400000000001</v>
      </c>
      <c r="AK224" s="19">
        <f t="shared" si="265"/>
        <v>649.74699999999996</v>
      </c>
    </row>
    <row r="225" spans="5:37">
      <c r="E225">
        <v>42</v>
      </c>
      <c r="F225" s="13"/>
      <c r="G225" s="13">
        <f t="shared" si="256"/>
        <v>0</v>
      </c>
      <c r="H225" s="13">
        <f t="shared" si="257"/>
        <v>196.20000000000002</v>
      </c>
      <c r="I225" s="13">
        <f t="shared" si="214"/>
        <v>250000</v>
      </c>
      <c r="J225" s="13">
        <f t="shared" si="196"/>
        <v>667.15099999999995</v>
      </c>
      <c r="K225" s="5">
        <f t="shared" si="197"/>
        <v>738.22900000000004</v>
      </c>
      <c r="L225" s="21">
        <f t="shared" si="198"/>
        <v>166787.75</v>
      </c>
      <c r="M225">
        <f t="shared" si="199"/>
        <v>184557.25</v>
      </c>
      <c r="N225">
        <f t="shared" si="215"/>
        <v>9.830452814E-2</v>
      </c>
      <c r="O225">
        <f t="shared" si="216"/>
        <v>0.99916079746074549</v>
      </c>
      <c r="P225">
        <f t="shared" si="239"/>
        <v>9.82220307303647E-5</v>
      </c>
      <c r="Q225">
        <f t="shared" si="240"/>
        <v>0.99906257543001509</v>
      </c>
      <c r="R225">
        <f t="shared" si="217"/>
        <v>180726.70630350345</v>
      </c>
      <c r="S225">
        <f t="shared" si="218"/>
        <v>2497.9019936518639</v>
      </c>
      <c r="T225">
        <f t="shared" si="201"/>
        <v>184384.24149928114</v>
      </c>
      <c r="U225" s="22">
        <f t="shared" si="252"/>
        <v>2497.6564385750376</v>
      </c>
      <c r="V225" s="1">
        <f t="shared" si="202"/>
        <v>0</v>
      </c>
      <c r="W225" s="1">
        <f t="shared" si="203"/>
        <v>0</v>
      </c>
      <c r="X225" s="1">
        <f t="shared" si="204"/>
        <v>-196.03534846179829</v>
      </c>
      <c r="Y225" s="1">
        <f t="shared" si="219"/>
        <v>-24.555507682591177</v>
      </c>
      <c r="Z225" s="1">
        <f t="shared" si="205"/>
        <v>-220.59085614438948</v>
      </c>
      <c r="AA225" s="1">
        <f t="shared" si="206"/>
        <v>-3657.5351957776875</v>
      </c>
      <c r="AB225" s="1">
        <f t="shared" si="254"/>
        <v>10077.353456343542</v>
      </c>
      <c r="AC225" s="1">
        <f t="shared" si="208"/>
        <v>6199.2274044214655</v>
      </c>
      <c r="AD225" s="1">
        <f t="shared" si="209"/>
        <v>0.24555507682634925</v>
      </c>
      <c r="AE225">
        <f t="shared" si="210"/>
        <v>6199.4729594982919</v>
      </c>
      <c r="AG225" s="19">
        <v>42</v>
      </c>
      <c r="AH225" s="19">
        <f t="shared" ref="AH225:AK225" si="266">AH138</f>
        <v>0.42325632689617393</v>
      </c>
      <c r="AI225" s="19">
        <f t="shared" si="266"/>
        <v>4.1608013497797969E-2</v>
      </c>
      <c r="AJ225" s="19">
        <f t="shared" si="266"/>
        <v>738.22900000000004</v>
      </c>
      <c r="AK225" s="19">
        <f t="shared" si="266"/>
        <v>667.15099999999995</v>
      </c>
    </row>
    <row r="226" spans="5:37">
      <c r="E226">
        <v>43</v>
      </c>
      <c r="F226" s="13"/>
      <c r="G226" s="13">
        <f t="shared" si="256"/>
        <v>0</v>
      </c>
      <c r="H226" s="13">
        <f t="shared" si="257"/>
        <v>196.20000000000002</v>
      </c>
      <c r="I226" s="13">
        <f t="shared" si="214"/>
        <v>250000</v>
      </c>
      <c r="J226" s="13">
        <f t="shared" si="196"/>
        <v>683.899</v>
      </c>
      <c r="K226" s="5">
        <f t="shared" si="197"/>
        <v>752.29200000000003</v>
      </c>
      <c r="L226" s="21">
        <f t="shared" si="198"/>
        <v>170974.75</v>
      </c>
      <c r="M226">
        <f t="shared" si="199"/>
        <v>188073</v>
      </c>
      <c r="N226">
        <f t="shared" si="215"/>
        <v>0.10889403979999999</v>
      </c>
      <c r="O226">
        <f t="shared" si="216"/>
        <v>0.99906257543001509</v>
      </c>
      <c r="P226">
        <f t="shared" si="239"/>
        <v>1.0879195985156656E-4</v>
      </c>
      <c r="Q226">
        <f t="shared" si="240"/>
        <v>0.9989537834701635</v>
      </c>
      <c r="R226">
        <f t="shared" si="217"/>
        <v>184384.24149928114</v>
      </c>
      <c r="S226">
        <f t="shared" si="218"/>
        <v>2497.6564385750376</v>
      </c>
      <c r="T226">
        <f t="shared" si="201"/>
        <v>187876.23491858406</v>
      </c>
      <c r="U226" s="22">
        <f t="shared" si="252"/>
        <v>2497.384458675409</v>
      </c>
      <c r="V226" s="1">
        <f t="shared" si="202"/>
        <v>0</v>
      </c>
      <c r="W226" s="1">
        <f t="shared" si="203"/>
        <v>0</v>
      </c>
      <c r="X226" s="1">
        <f t="shared" si="204"/>
        <v>-196.01607729936899</v>
      </c>
      <c r="Y226" s="1">
        <f t="shared" si="219"/>
        <v>-27.19798996289164</v>
      </c>
      <c r="Z226" s="1">
        <f t="shared" si="205"/>
        <v>-223.21406726226064</v>
      </c>
      <c r="AA226" s="1">
        <f t="shared" si="206"/>
        <v>-3491.9934193029185</v>
      </c>
      <c r="AB226" s="1">
        <f t="shared" si="254"/>
        <v>10278.50438658209</v>
      </c>
      <c r="AC226" s="1">
        <f t="shared" si="208"/>
        <v>6563.2969000169105</v>
      </c>
      <c r="AD226" s="1">
        <f t="shared" si="209"/>
        <v>0.27197989962860447</v>
      </c>
      <c r="AE226">
        <f t="shared" si="210"/>
        <v>6563.5688799165391</v>
      </c>
      <c r="AG226" s="19">
        <v>43</v>
      </c>
      <c r="AH226" s="19">
        <f t="shared" ref="AH226:AK226" si="267">AH139</f>
        <v>0.38164831339837596</v>
      </c>
      <c r="AI226" s="19">
        <f t="shared" si="267"/>
        <v>4.1559226628805623E-2</v>
      </c>
      <c r="AJ226" s="19">
        <f t="shared" si="267"/>
        <v>752.29200000000003</v>
      </c>
      <c r="AK226" s="19">
        <f t="shared" si="267"/>
        <v>683.899</v>
      </c>
    </row>
    <row r="227" spans="5:37">
      <c r="E227">
        <v>44</v>
      </c>
      <c r="F227" s="13"/>
      <c r="G227" s="13">
        <f t="shared" si="256"/>
        <v>0</v>
      </c>
      <c r="H227" s="13">
        <f t="shared" si="257"/>
        <v>196.20000000000002</v>
      </c>
      <c r="I227" s="13">
        <f t="shared" si="214"/>
        <v>250000</v>
      </c>
      <c r="J227" s="13">
        <f t="shared" si="196"/>
        <v>699.96900000000005</v>
      </c>
      <c r="K227" s="5">
        <f t="shared" si="197"/>
        <v>765.697</v>
      </c>
      <c r="L227" s="21">
        <f t="shared" si="198"/>
        <v>174992.25</v>
      </c>
      <c r="M227">
        <f t="shared" si="199"/>
        <v>191424.25</v>
      </c>
      <c r="N227">
        <f t="shared" si="215"/>
        <v>0.12033266517999999</v>
      </c>
      <c r="O227">
        <f t="shared" si="216"/>
        <v>0.9989537834701635</v>
      </c>
      <c r="P227">
        <f t="shared" si="239"/>
        <v>1.202067711566094E-4</v>
      </c>
      <c r="Q227">
        <f t="shared" si="240"/>
        <v>0.99883357669900685</v>
      </c>
      <c r="R227">
        <f t="shared" si="217"/>
        <v>187876.23491858406</v>
      </c>
      <c r="S227">
        <f t="shared" si="218"/>
        <v>2497.384458675409</v>
      </c>
      <c r="T227">
        <f t="shared" si="201"/>
        <v>191200.96829442485</v>
      </c>
      <c r="U227" s="22">
        <f t="shared" si="252"/>
        <v>2497.0839417475172</v>
      </c>
      <c r="V227" s="1">
        <f t="shared" si="202"/>
        <v>0</v>
      </c>
      <c r="W227" s="1">
        <f t="shared" si="203"/>
        <v>0</v>
      </c>
      <c r="X227" s="1">
        <f t="shared" si="204"/>
        <v>-195.9947323168461</v>
      </c>
      <c r="Y227" s="1">
        <f t="shared" si="219"/>
        <v>-30.051692789152352</v>
      </c>
      <c r="Z227" s="1">
        <f t="shared" si="205"/>
        <v>-226.04642510599845</v>
      </c>
      <c r="AA227" s="1">
        <f t="shared" si="206"/>
        <v>-3324.7333758407913</v>
      </c>
      <c r="AB227" s="1">
        <f t="shared" si="254"/>
        <v>10470.54906574927</v>
      </c>
      <c r="AC227" s="1">
        <f t="shared" si="208"/>
        <v>6919.7692648024804</v>
      </c>
      <c r="AD227" s="1">
        <f t="shared" si="209"/>
        <v>0.30051692789174922</v>
      </c>
      <c r="AE227">
        <f t="shared" si="210"/>
        <v>6920.0697817303717</v>
      </c>
      <c r="AG227" s="19">
        <v>44</v>
      </c>
      <c r="AH227" s="19">
        <f t="shared" ref="AH227:AK227" si="268">AH140</f>
        <v>0.34008908676957034</v>
      </c>
      <c r="AI227" s="19">
        <f t="shared" si="268"/>
        <v>4.0923826209614669E-2</v>
      </c>
      <c r="AJ227" s="19">
        <f t="shared" si="268"/>
        <v>765.697</v>
      </c>
      <c r="AK227" s="19">
        <f t="shared" si="268"/>
        <v>699.96900000000005</v>
      </c>
    </row>
    <row r="228" spans="5:37">
      <c r="E228">
        <v>45</v>
      </c>
      <c r="F228" s="13"/>
      <c r="G228" s="13">
        <f t="shared" si="256"/>
        <v>0</v>
      </c>
      <c r="H228" s="13">
        <f t="shared" si="257"/>
        <v>196.20000000000002</v>
      </c>
      <c r="I228" s="13">
        <f t="shared" si="214"/>
        <v>250000</v>
      </c>
      <c r="J228" s="13">
        <f t="shared" si="196"/>
        <v>715.25400000000002</v>
      </c>
      <c r="K228" s="5">
        <f t="shared" si="197"/>
        <v>778.37</v>
      </c>
      <c r="L228" s="21">
        <f t="shared" si="198"/>
        <v>178813.5</v>
      </c>
      <c r="M228">
        <f t="shared" si="199"/>
        <v>194592.5</v>
      </c>
      <c r="N228">
        <f t="shared" si="215"/>
        <v>0.13293686042000002</v>
      </c>
      <c r="O228">
        <f t="shared" si="216"/>
        <v>0.99883357669900685</v>
      </c>
      <c r="P228">
        <f t="shared" si="239"/>
        <v>1.3278179976844526E-4</v>
      </c>
      <c r="Q228">
        <f t="shared" si="240"/>
        <v>0.99870079489923835</v>
      </c>
      <c r="R228">
        <f t="shared" si="217"/>
        <v>191200.96829442485</v>
      </c>
      <c r="S228">
        <f t="shared" si="218"/>
        <v>2497.0839417475172</v>
      </c>
      <c r="T228">
        <f t="shared" si="201"/>
        <v>194339.68443143004</v>
      </c>
      <c r="U228" s="22">
        <f t="shared" si="252"/>
        <v>2496.7519872480957</v>
      </c>
      <c r="V228" s="1">
        <f t="shared" si="202"/>
        <v>0</v>
      </c>
      <c r="W228" s="1">
        <f t="shared" si="203"/>
        <v>0</v>
      </c>
      <c r="X228" s="1">
        <f t="shared" si="204"/>
        <v>-195.97114774834517</v>
      </c>
      <c r="Y228" s="1">
        <f t="shared" si="219"/>
        <v>-33.195449942111317</v>
      </c>
      <c r="Z228" s="1">
        <f t="shared" si="205"/>
        <v>-229.16659769045648</v>
      </c>
      <c r="AA228" s="1">
        <f t="shared" si="206"/>
        <v>-3138.7161370051908</v>
      </c>
      <c r="AB228" s="1">
        <f t="shared" si="254"/>
        <v>10653.39287298948</v>
      </c>
      <c r="AC228" s="1">
        <f t="shared" si="208"/>
        <v>7285.5101382938319</v>
      </c>
      <c r="AD228" s="1">
        <f t="shared" si="209"/>
        <v>0.33195449942149935</v>
      </c>
      <c r="AE228">
        <f t="shared" si="210"/>
        <v>7285.842092793253</v>
      </c>
      <c r="AG228" s="19">
        <v>45</v>
      </c>
      <c r="AH228" s="19">
        <f t="shared" ref="AH228:AK228" si="269">AH141</f>
        <v>0.29916526055995568</v>
      </c>
      <c r="AI228" s="19">
        <f t="shared" si="269"/>
        <v>3.9770090485571764E-2</v>
      </c>
      <c r="AJ228" s="19">
        <f t="shared" si="269"/>
        <v>778.37</v>
      </c>
      <c r="AK228" s="19">
        <f t="shared" si="269"/>
        <v>715.25400000000002</v>
      </c>
    </row>
    <row r="229" spans="5:37">
      <c r="E229">
        <v>46</v>
      </c>
      <c r="F229" s="13"/>
      <c r="G229" s="13">
        <f t="shared" si="256"/>
        <v>0</v>
      </c>
      <c r="H229" s="13">
        <f t="shared" si="257"/>
        <v>196.20000000000002</v>
      </c>
      <c r="I229" s="13">
        <f t="shared" si="214"/>
        <v>250000</v>
      </c>
      <c r="J229" s="13">
        <f t="shared" si="196"/>
        <v>729.59299999999996</v>
      </c>
      <c r="K229" s="5">
        <f t="shared" si="197"/>
        <v>790.197</v>
      </c>
      <c r="L229" s="21">
        <f t="shared" si="198"/>
        <v>182398.25</v>
      </c>
      <c r="M229">
        <f t="shared" si="199"/>
        <v>197549.25</v>
      </c>
      <c r="N229">
        <f t="shared" si="215"/>
        <v>0.14687575083999999</v>
      </c>
      <c r="O229">
        <f t="shared" si="216"/>
        <v>0.99870079489923835</v>
      </c>
      <c r="P229">
        <f t="shared" si="239"/>
        <v>1.4668492911533047E-4</v>
      </c>
      <c r="Q229">
        <f t="shared" si="240"/>
        <v>0.99855410997012306</v>
      </c>
      <c r="R229">
        <f t="shared" si="217"/>
        <v>194339.68443143004</v>
      </c>
      <c r="S229">
        <f t="shared" si="218"/>
        <v>2496.7519872480957</v>
      </c>
      <c r="T229">
        <f t="shared" si="201"/>
        <v>197263.61550901533</v>
      </c>
      <c r="U229" s="22">
        <f t="shared" si="252"/>
        <v>2496.3852749253078</v>
      </c>
      <c r="V229" s="1">
        <f t="shared" si="202"/>
        <v>0</v>
      </c>
      <c r="W229" s="1">
        <f t="shared" si="203"/>
        <v>0</v>
      </c>
      <c r="X229" s="1">
        <f t="shared" si="204"/>
        <v>-195.94509595923057</v>
      </c>
      <c r="Y229" s="1">
        <f t="shared" si="219"/>
        <v>-36.671232278832619</v>
      </c>
      <c r="Z229" s="1">
        <f t="shared" si="205"/>
        <v>-232.6163282380632</v>
      </c>
      <c r="AA229" s="1">
        <f t="shared" si="206"/>
        <v>-2923.9310775852937</v>
      </c>
      <c r="AB229" s="1">
        <f t="shared" si="254"/>
        <v>10826.004003027298</v>
      </c>
      <c r="AC229" s="1">
        <f t="shared" si="208"/>
        <v>7669.4565972039409</v>
      </c>
      <c r="AD229" s="1">
        <f t="shared" si="209"/>
        <v>0.36671232278786192</v>
      </c>
      <c r="AE229">
        <f t="shared" si="210"/>
        <v>7669.8233095267287</v>
      </c>
      <c r="AG229" s="19">
        <v>46</v>
      </c>
      <c r="AH229" s="19">
        <f t="shared" ref="AH229:AK229" si="270">AH142</f>
        <v>0.2593951700743839</v>
      </c>
      <c r="AI229" s="19">
        <f t="shared" si="270"/>
        <v>3.809886036894463E-2</v>
      </c>
      <c r="AJ229" s="19">
        <f t="shared" si="270"/>
        <v>790.197</v>
      </c>
      <c r="AK229" s="19">
        <f t="shared" si="270"/>
        <v>729.59299999999996</v>
      </c>
    </row>
    <row r="230" spans="5:37">
      <c r="E230">
        <v>47</v>
      </c>
      <c r="F230" s="13"/>
      <c r="G230" s="13">
        <f t="shared" si="256"/>
        <v>0</v>
      </c>
      <c r="H230" s="13">
        <f t="shared" si="257"/>
        <v>196.20000000000002</v>
      </c>
      <c r="I230" s="13">
        <f t="shared" si="214"/>
        <v>250000</v>
      </c>
      <c r="J230" s="13">
        <f t="shared" si="196"/>
        <v>743.24300000000005</v>
      </c>
      <c r="K230" s="5">
        <f t="shared" si="197"/>
        <v>801.39300000000003</v>
      </c>
      <c r="L230" s="21">
        <f t="shared" si="198"/>
        <v>185810.75</v>
      </c>
      <c r="M230">
        <f t="shared" si="199"/>
        <v>200348.25</v>
      </c>
      <c r="N230">
        <f t="shared" si="215"/>
        <v>0.16071961724</v>
      </c>
      <c r="O230">
        <f t="shared" si="216"/>
        <v>0.99855410997012306</v>
      </c>
      <c r="P230">
        <f t="shared" si="239"/>
        <v>1.6048723434782704E-4</v>
      </c>
      <c r="Q230">
        <f t="shared" si="240"/>
        <v>0.99839362273577525</v>
      </c>
      <c r="R230">
        <f t="shared" si="217"/>
        <v>197263.61550901533</v>
      </c>
      <c r="S230">
        <f t="shared" si="218"/>
        <v>2496.3852749253078</v>
      </c>
      <c r="T230">
        <f t="shared" si="201"/>
        <v>200026.4151262728</v>
      </c>
      <c r="U230" s="22">
        <f t="shared" si="252"/>
        <v>2495.9840568394379</v>
      </c>
      <c r="V230" s="1">
        <f t="shared" si="202"/>
        <v>0</v>
      </c>
      <c r="W230" s="1">
        <f t="shared" si="203"/>
        <v>0</v>
      </c>
      <c r="X230" s="1">
        <f t="shared" si="204"/>
        <v>-195.91631637613816</v>
      </c>
      <c r="Y230" s="1">
        <f t="shared" si="219"/>
        <v>-40.12180858695676</v>
      </c>
      <c r="Z230" s="1">
        <f t="shared" si="205"/>
        <v>-236.0381249630949</v>
      </c>
      <c r="AA230" s="1">
        <f t="shared" si="206"/>
        <v>-2762.799617257464</v>
      </c>
      <c r="AB230" s="1">
        <f t="shared" si="254"/>
        <v>10986.800043116735</v>
      </c>
      <c r="AC230" s="1">
        <f t="shared" si="208"/>
        <v>7987.9623008961753</v>
      </c>
      <c r="AD230" s="1">
        <f t="shared" si="209"/>
        <v>0.40121808586991392</v>
      </c>
      <c r="AE230">
        <f t="shared" si="210"/>
        <v>7988.3635189820452</v>
      </c>
      <c r="AG230" s="19">
        <v>47</v>
      </c>
      <c r="AH230" s="19">
        <f t="shared" ref="AH230:AK230" si="271">AH143</f>
        <v>0.22129630970543926</v>
      </c>
      <c r="AI230" s="19">
        <f t="shared" si="271"/>
        <v>3.5566658192482697E-2</v>
      </c>
      <c r="AJ230" s="19">
        <f t="shared" si="271"/>
        <v>801.39300000000003</v>
      </c>
      <c r="AK230" s="19">
        <f t="shared" si="271"/>
        <v>743.24300000000005</v>
      </c>
    </row>
    <row r="231" spans="5:37">
      <c r="E231">
        <v>48</v>
      </c>
      <c r="F231" s="13"/>
      <c r="G231" s="13">
        <f t="shared" si="256"/>
        <v>0</v>
      </c>
      <c r="H231" s="13">
        <f t="shared" si="257"/>
        <v>196.20000000000002</v>
      </c>
      <c r="I231" s="13">
        <f t="shared" si="214"/>
        <v>250000</v>
      </c>
      <c r="J231" s="13">
        <f t="shared" si="196"/>
        <v>756.13800000000003</v>
      </c>
      <c r="K231" s="5">
        <f t="shared" si="197"/>
        <v>811.91499999999996</v>
      </c>
      <c r="L231" s="21">
        <f t="shared" si="198"/>
        <v>189034.5</v>
      </c>
      <c r="M231">
        <f t="shared" si="199"/>
        <v>202978.75</v>
      </c>
      <c r="N231">
        <f t="shared" si="215"/>
        <v>0.17567064424000001</v>
      </c>
      <c r="O231">
        <f t="shared" si="216"/>
        <v>0.99839362273577525</v>
      </c>
      <c r="P231">
        <f t="shared" si="239"/>
        <v>1.7538845091110116E-4</v>
      </c>
      <c r="Q231">
        <f t="shared" si="240"/>
        <v>0.99821823428486411</v>
      </c>
      <c r="R231">
        <f t="shared" si="217"/>
        <v>200026.4151262728</v>
      </c>
      <c r="S231">
        <f t="shared" si="218"/>
        <v>2495.9840568394379</v>
      </c>
      <c r="T231">
        <f t="shared" si="201"/>
        <v>202617.08942234886</v>
      </c>
      <c r="U231" s="22">
        <f t="shared" si="252"/>
        <v>2495.5455857121601</v>
      </c>
      <c r="V231" s="1">
        <f t="shared" si="202"/>
        <v>0</v>
      </c>
      <c r="W231" s="1">
        <f t="shared" si="203"/>
        <v>0</v>
      </c>
      <c r="X231" s="1">
        <f t="shared" si="204"/>
        <v>-195.88482878075914</v>
      </c>
      <c r="Y231" s="1">
        <f t="shared" si="219"/>
        <v>-43.84711272777529</v>
      </c>
      <c r="Z231" s="1">
        <f t="shared" si="205"/>
        <v>-239.73194150853442</v>
      </c>
      <c r="AA231" s="1">
        <f t="shared" si="206"/>
        <v>-2590.6742960760603</v>
      </c>
      <c r="AB231" s="1">
        <f t="shared" si="254"/>
        <v>11138.731955071173</v>
      </c>
      <c r="AC231" s="1">
        <f t="shared" si="208"/>
        <v>8308.3257174865776</v>
      </c>
      <c r="AD231" s="1">
        <f t="shared" si="209"/>
        <v>0.43847112727780768</v>
      </c>
      <c r="AE231">
        <f t="shared" si="210"/>
        <v>8308.7641886138554</v>
      </c>
      <c r="AG231" s="19">
        <v>48</v>
      </c>
      <c r="AH231" s="19">
        <f t="shared" ref="AH231:AK231" si="272">AH144</f>
        <v>0.18572965151295656</v>
      </c>
      <c r="AI231" s="19">
        <f t="shared" si="272"/>
        <v>3.2627247535751774E-2</v>
      </c>
      <c r="AJ231" s="19">
        <f t="shared" si="272"/>
        <v>811.91499999999996</v>
      </c>
      <c r="AK231" s="19">
        <f t="shared" si="272"/>
        <v>756.13800000000003</v>
      </c>
    </row>
    <row r="232" spans="5:37">
      <c r="E232">
        <v>49</v>
      </c>
      <c r="F232" s="13"/>
      <c r="G232" s="13">
        <f t="shared" si="256"/>
        <v>0</v>
      </c>
      <c r="H232" s="13">
        <f t="shared" si="257"/>
        <v>196.20000000000002</v>
      </c>
      <c r="I232" s="13">
        <f t="shared" si="214"/>
        <v>250000</v>
      </c>
      <c r="J232" s="13">
        <f t="shared" si="196"/>
        <v>768.31600000000003</v>
      </c>
      <c r="K232" s="5">
        <f t="shared" si="197"/>
        <v>821.80399999999997</v>
      </c>
      <c r="L232" s="21">
        <f t="shared" si="198"/>
        <v>192079</v>
      </c>
      <c r="M232">
        <f t="shared" si="199"/>
        <v>205451</v>
      </c>
      <c r="N232">
        <f t="shared" si="215"/>
        <v>0.19133653084000002</v>
      </c>
      <c r="O232">
        <f t="shared" si="216"/>
        <v>0.99821823428486411</v>
      </c>
      <c r="P232">
        <f t="shared" si="239"/>
        <v>1.9099561396929626E-4</v>
      </c>
      <c r="Q232">
        <f t="shared" si="240"/>
        <v>0.99802723867089482</v>
      </c>
      <c r="R232">
        <f t="shared" si="217"/>
        <v>202617.08942234886</v>
      </c>
      <c r="S232">
        <f t="shared" si="218"/>
        <v>2495.5455857121601</v>
      </c>
      <c r="T232">
        <f t="shared" si="201"/>
        <v>205045.69421217401</v>
      </c>
      <c r="U232" s="22">
        <f t="shared" si="252"/>
        <v>2495.068096677237</v>
      </c>
      <c r="V232" s="1">
        <f t="shared" si="202"/>
        <v>0</v>
      </c>
      <c r="W232" s="1">
        <f t="shared" si="203"/>
        <v>0</v>
      </c>
      <c r="X232" s="1">
        <f t="shared" si="204"/>
        <v>-195.85041756669037</v>
      </c>
      <c r="Y232" s="1">
        <f t="shared" si="219"/>
        <v>-47.748903492324068</v>
      </c>
      <c r="Z232" s="1">
        <f t="shared" si="205"/>
        <v>-243.59932105901444</v>
      </c>
      <c r="AA232" s="1">
        <f t="shared" si="206"/>
        <v>-2428.6047898251563</v>
      </c>
      <c r="AB232" s="1">
        <f t="shared" si="254"/>
        <v>11281.194925443357</v>
      </c>
      <c r="AC232" s="1">
        <f t="shared" si="208"/>
        <v>8608.9908145591853</v>
      </c>
      <c r="AD232" s="1">
        <f t="shared" si="209"/>
        <v>0.47748903492311001</v>
      </c>
      <c r="AE232">
        <f t="shared" si="210"/>
        <v>8609.4683035941089</v>
      </c>
      <c r="AG232" s="19">
        <v>49</v>
      </c>
      <c r="AH232" s="19">
        <f t="shared" ref="AH232:AK232" si="273">AH145</f>
        <v>0.15310240397720479</v>
      </c>
      <c r="AI232" s="19">
        <f t="shared" si="273"/>
        <v>2.9294082840262584E-2</v>
      </c>
      <c r="AJ232" s="19">
        <f t="shared" si="273"/>
        <v>821.80399999999997</v>
      </c>
      <c r="AK232" s="19">
        <f t="shared" si="273"/>
        <v>768.31600000000003</v>
      </c>
    </row>
    <row r="233" spans="5:37">
      <c r="E233">
        <v>50</v>
      </c>
      <c r="F233" s="13"/>
      <c r="G233" s="13">
        <f t="shared" si="256"/>
        <v>0</v>
      </c>
      <c r="H233" s="13">
        <f t="shared" si="257"/>
        <v>196.20000000000002</v>
      </c>
      <c r="I233" s="13">
        <f t="shared" si="214"/>
        <v>250000</v>
      </c>
      <c r="J233" s="13">
        <f t="shared" si="196"/>
        <v>779.87400000000002</v>
      </c>
      <c r="K233" s="5">
        <f t="shared" si="197"/>
        <v>831.14099999999996</v>
      </c>
      <c r="L233" s="21">
        <f t="shared" si="198"/>
        <v>194968.5</v>
      </c>
      <c r="M233">
        <f t="shared" si="199"/>
        <v>207785.25</v>
      </c>
      <c r="N233">
        <f t="shared" si="215"/>
        <v>0.20752287010000001</v>
      </c>
      <c r="O233">
        <f t="shared" si="216"/>
        <v>0.99802723867089482</v>
      </c>
      <c r="P233">
        <f t="shared" si="239"/>
        <v>2.0711347700696182E-4</v>
      </c>
      <c r="Q233">
        <f t="shared" si="240"/>
        <v>0.99782012519388785</v>
      </c>
      <c r="R233">
        <f t="shared" si="217"/>
        <v>205045.69421217401</v>
      </c>
      <c r="S233">
        <f t="shared" si="218"/>
        <v>2495.068096677237</v>
      </c>
      <c r="T233">
        <f t="shared" si="201"/>
        <v>207332.30416844328</v>
      </c>
      <c r="U233" s="22">
        <f t="shared" si="252"/>
        <v>2494.5503129847198</v>
      </c>
      <c r="V233" s="1">
        <f t="shared" si="202"/>
        <v>0</v>
      </c>
      <c r="W233" s="1">
        <f t="shared" si="203"/>
        <v>0</v>
      </c>
      <c r="X233" s="1">
        <f t="shared" si="204"/>
        <v>-195.81294422722959</v>
      </c>
      <c r="Y233" s="1">
        <f t="shared" si="219"/>
        <v>-51.778369251740457</v>
      </c>
      <c r="Z233" s="1">
        <f t="shared" si="205"/>
        <v>-247.59131347897005</v>
      </c>
      <c r="AA233" s="1">
        <f t="shared" si="206"/>
        <v>-2286.6099562692689</v>
      </c>
      <c r="AB233" s="1">
        <f t="shared" si="254"/>
        <v>11414.741926986819</v>
      </c>
      <c r="AC233" s="1">
        <f t="shared" si="208"/>
        <v>8880.54065723858</v>
      </c>
      <c r="AD233" s="1">
        <f t="shared" si="209"/>
        <v>0.51778369251724143</v>
      </c>
      <c r="AE233">
        <f t="shared" si="210"/>
        <v>8881.0584409310977</v>
      </c>
      <c r="AG233" s="19">
        <v>50</v>
      </c>
      <c r="AH233" s="19">
        <f t="shared" ref="AH233:AK233" si="274">AH146</f>
        <v>0.12380832113694221</v>
      </c>
      <c r="AI233" s="19">
        <f t="shared" si="274"/>
        <v>2.5693058144600742E-2</v>
      </c>
      <c r="AJ233" s="19">
        <f t="shared" si="274"/>
        <v>831.14099999999996</v>
      </c>
      <c r="AK233" s="19">
        <f t="shared" si="274"/>
        <v>779.87400000000002</v>
      </c>
    </row>
    <row r="234" spans="5:37">
      <c r="E234">
        <v>51</v>
      </c>
      <c r="F234" s="13"/>
      <c r="G234" s="13">
        <f t="shared" si="256"/>
        <v>0</v>
      </c>
      <c r="H234" s="13">
        <f t="shared" si="257"/>
        <v>196.20000000000002</v>
      </c>
      <c r="I234" s="13">
        <f t="shared" si="214"/>
        <v>250000</v>
      </c>
      <c r="J234" s="13">
        <f t="shared" si="196"/>
        <v>790.74800000000005</v>
      </c>
      <c r="K234" s="5">
        <f t="shared" si="197"/>
        <v>839.88699999999994</v>
      </c>
      <c r="L234" s="21">
        <f t="shared" si="198"/>
        <v>197687</v>
      </c>
      <c r="M234">
        <f t="shared" si="199"/>
        <v>209971.75</v>
      </c>
      <c r="N234">
        <f t="shared" si="215"/>
        <v>0.22489047126</v>
      </c>
      <c r="O234">
        <f t="shared" si="216"/>
        <v>0.99782012519388785</v>
      </c>
      <c r="P234">
        <f t="shared" si="239"/>
        <v>2.2440023818756562E-4</v>
      </c>
      <c r="Q234">
        <f t="shared" si="240"/>
        <v>0.99759572495570026</v>
      </c>
      <c r="R234">
        <f t="shared" si="217"/>
        <v>207332.30416844328</v>
      </c>
      <c r="S234">
        <f t="shared" si="218"/>
        <v>2494.5503129847198</v>
      </c>
      <c r="T234">
        <f t="shared" si="201"/>
        <v>209466.92016146705</v>
      </c>
      <c r="U234" s="22">
        <f t="shared" si="252"/>
        <v>2493.9893123892507</v>
      </c>
      <c r="V234" s="1">
        <f t="shared" si="202"/>
        <v>0</v>
      </c>
      <c r="W234" s="1">
        <f t="shared" si="203"/>
        <v>0</v>
      </c>
      <c r="X234" s="1">
        <f t="shared" si="204"/>
        <v>-195.77230856304081</v>
      </c>
      <c r="Y234" s="1">
        <f t="shared" si="219"/>
        <v>-56.100059546891409</v>
      </c>
      <c r="Z234" s="1">
        <f t="shared" si="205"/>
        <v>-251.87236810993221</v>
      </c>
      <c r="AA234" s="1">
        <f t="shared" si="206"/>
        <v>-2134.6159930237627</v>
      </c>
      <c r="AB234" s="1">
        <f t="shared" si="254"/>
        <v>11540.476996478539</v>
      </c>
      <c r="AC234" s="1">
        <f t="shared" si="208"/>
        <v>9153.9886353448437</v>
      </c>
      <c r="AD234" s="1">
        <f t="shared" si="209"/>
        <v>0.56100059546906778</v>
      </c>
      <c r="AE234">
        <f t="shared" si="210"/>
        <v>9154.5496359403132</v>
      </c>
      <c r="AG234" s="19">
        <v>51</v>
      </c>
      <c r="AH234" s="19">
        <f t="shared" ref="AH234:AK234" si="275">AH147</f>
        <v>9.8115262992341468E-2</v>
      </c>
      <c r="AI234" s="19">
        <f t="shared" si="275"/>
        <v>2.206518773214651E-2</v>
      </c>
      <c r="AJ234" s="19">
        <f t="shared" si="275"/>
        <v>839.88699999999994</v>
      </c>
      <c r="AK234" s="19">
        <f t="shared" si="275"/>
        <v>790.74800000000005</v>
      </c>
    </row>
    <row r="235" spans="5:37">
      <c r="E235">
        <v>52</v>
      </c>
      <c r="F235" s="13"/>
      <c r="G235" s="13">
        <f t="shared" si="256"/>
        <v>0</v>
      </c>
      <c r="H235" s="13">
        <f t="shared" si="257"/>
        <v>196.20000000000002</v>
      </c>
      <c r="I235" s="13">
        <f t="shared" si="214"/>
        <v>250000</v>
      </c>
      <c r="J235" s="13">
        <f t="shared" si="196"/>
        <v>801.03300000000002</v>
      </c>
      <c r="K235" s="5">
        <f t="shared" si="197"/>
        <v>848.12099999999998</v>
      </c>
      <c r="L235" s="21">
        <f t="shared" si="198"/>
        <v>200258.25</v>
      </c>
      <c r="M235">
        <f t="shared" si="199"/>
        <v>212030.25</v>
      </c>
      <c r="N235">
        <f t="shared" si="215"/>
        <v>0.2427514999</v>
      </c>
      <c r="O235">
        <f t="shared" si="216"/>
        <v>0.99759572495570026</v>
      </c>
      <c r="P235">
        <f t="shared" si="239"/>
        <v>2.421678585268241E-4</v>
      </c>
      <c r="Q235">
        <f t="shared" si="240"/>
        <v>0.99735355709717344</v>
      </c>
      <c r="R235">
        <f t="shared" si="217"/>
        <v>209466.92016146705</v>
      </c>
      <c r="S235">
        <f t="shared" si="218"/>
        <v>2493.9893123892507</v>
      </c>
      <c r="T235">
        <f t="shared" si="201"/>
        <v>211469.12404970295</v>
      </c>
      <c r="U235" s="22">
        <f t="shared" si="252"/>
        <v>2493.3838927429338</v>
      </c>
      <c r="V235" s="1">
        <f t="shared" si="202"/>
        <v>0</v>
      </c>
      <c r="W235" s="1">
        <f t="shared" si="203"/>
        <v>0</v>
      </c>
      <c r="X235" s="1">
        <f t="shared" si="204"/>
        <v>-195.72828123630842</v>
      </c>
      <c r="Y235" s="1">
        <f t="shared" si="219"/>
        <v>-60.541964631706023</v>
      </c>
      <c r="Z235" s="1">
        <f t="shared" si="205"/>
        <v>-256.27024586801446</v>
      </c>
      <c r="AA235" s="1">
        <f t="shared" si="206"/>
        <v>-2002.2038882359047</v>
      </c>
      <c r="AB235" s="1">
        <f t="shared" si="254"/>
        <v>11657.850021062097</v>
      </c>
      <c r="AC235" s="1">
        <f t="shared" si="208"/>
        <v>9399.3758869581779</v>
      </c>
      <c r="AD235" s="1">
        <f t="shared" si="209"/>
        <v>0.6054196463169319</v>
      </c>
      <c r="AE235">
        <f t="shared" si="210"/>
        <v>9399.9813066044953</v>
      </c>
      <c r="AG235" s="19">
        <v>52</v>
      </c>
      <c r="AH235" s="19">
        <f t="shared" ref="AH235:AK235" si="276">AH148</f>
        <v>7.6050075260194958E-2</v>
      </c>
      <c r="AI235" s="19">
        <f t="shared" si="276"/>
        <v>1.8461269836920209E-2</v>
      </c>
      <c r="AJ235" s="19">
        <f t="shared" si="276"/>
        <v>848.12099999999998</v>
      </c>
      <c r="AK235" s="19">
        <f t="shared" si="276"/>
        <v>801.03300000000002</v>
      </c>
    </row>
    <row r="236" spans="5:37">
      <c r="E236">
        <v>53</v>
      </c>
      <c r="F236" s="13"/>
      <c r="G236" s="13">
        <f t="shared" si="256"/>
        <v>0</v>
      </c>
      <c r="H236" s="13">
        <f t="shared" si="257"/>
        <v>196.20000000000002</v>
      </c>
      <c r="I236" s="13">
        <f t="shared" si="214"/>
        <v>250000</v>
      </c>
      <c r="J236" s="13">
        <f t="shared" si="196"/>
        <v>810.702</v>
      </c>
      <c r="K236" s="5">
        <f t="shared" si="197"/>
        <v>855.82799999999997</v>
      </c>
      <c r="L236" s="21">
        <f t="shared" si="198"/>
        <v>202675.5</v>
      </c>
      <c r="M236">
        <f t="shared" si="199"/>
        <v>213957</v>
      </c>
      <c r="N236">
        <f t="shared" si="215"/>
        <v>0.26166912590000002</v>
      </c>
      <c r="O236">
        <f t="shared" si="216"/>
        <v>0.99735355709717344</v>
      </c>
      <c r="P236">
        <f t="shared" si="239"/>
        <v>2.609766334988731E-4</v>
      </c>
      <c r="Q236">
        <f t="shared" si="240"/>
        <v>0.99709258046367455</v>
      </c>
      <c r="R236">
        <f t="shared" si="217"/>
        <v>211469.12404970295</v>
      </c>
      <c r="S236">
        <f t="shared" si="218"/>
        <v>2493.3838927429338</v>
      </c>
      <c r="T236">
        <f t="shared" si="201"/>
        <v>213334.93723826643</v>
      </c>
      <c r="U236" s="22">
        <f t="shared" si="252"/>
        <v>2492.7314511591862</v>
      </c>
      <c r="V236" s="1">
        <f t="shared" si="202"/>
        <v>0</v>
      </c>
      <c r="W236" s="1">
        <f t="shared" si="203"/>
        <v>0</v>
      </c>
      <c r="X236" s="1">
        <f t="shared" si="204"/>
        <v>-195.68076790246545</v>
      </c>
      <c r="Y236" s="1">
        <f t="shared" si="219"/>
        <v>-65.244158374718282</v>
      </c>
      <c r="Z236" s="1">
        <f t="shared" si="205"/>
        <v>-260.92492627718372</v>
      </c>
      <c r="AA236" s="1">
        <f t="shared" si="206"/>
        <v>-1865.8131885634793</v>
      </c>
      <c r="AB236" s="1">
        <f t="shared" si="254"/>
        <v>11767.937936834523</v>
      </c>
      <c r="AC236" s="1">
        <f t="shared" si="208"/>
        <v>9641.1998219938614</v>
      </c>
      <c r="AD236" s="1">
        <f t="shared" si="209"/>
        <v>0.65244158374753169</v>
      </c>
      <c r="AE236">
        <f t="shared" si="210"/>
        <v>9641.8522635776098</v>
      </c>
      <c r="AG236" s="19">
        <v>53</v>
      </c>
      <c r="AH236" s="19">
        <f t="shared" ref="AH236:AK236" si="277">AH149</f>
        <v>5.7588805423274748E-2</v>
      </c>
      <c r="AI236" s="19">
        <f t="shared" si="277"/>
        <v>1.5069212376733485E-2</v>
      </c>
      <c r="AJ236" s="19">
        <f t="shared" si="277"/>
        <v>855.82799999999997</v>
      </c>
      <c r="AK236" s="19">
        <f t="shared" si="277"/>
        <v>810.702</v>
      </c>
    </row>
    <row r="237" spans="5:37">
      <c r="E237">
        <v>54</v>
      </c>
      <c r="F237" s="13"/>
      <c r="G237" s="13">
        <f t="shared" si="256"/>
        <v>0</v>
      </c>
      <c r="H237" s="13">
        <f t="shared" si="257"/>
        <v>196.20000000000002</v>
      </c>
      <c r="I237" s="13">
        <f t="shared" si="214"/>
        <v>250000</v>
      </c>
      <c r="J237" s="13">
        <f t="shared" si="196"/>
        <v>819.69200000000001</v>
      </c>
      <c r="K237" s="5">
        <f t="shared" si="197"/>
        <v>862.96699999999998</v>
      </c>
      <c r="L237" s="21">
        <f t="shared" si="198"/>
        <v>204923</v>
      </c>
      <c r="M237">
        <f t="shared" si="199"/>
        <v>215741.75</v>
      </c>
      <c r="N237">
        <f t="shared" si="215"/>
        <v>0.28169565606000002</v>
      </c>
      <c r="O237">
        <f t="shared" si="216"/>
        <v>0.99709258046367455</v>
      </c>
      <c r="P237">
        <f t="shared" si="239"/>
        <v>2.8087664860627313E-4</v>
      </c>
      <c r="Q237">
        <f t="shared" si="240"/>
        <v>0.99681170381506823</v>
      </c>
      <c r="R237">
        <f t="shared" si="217"/>
        <v>213334.93723826643</v>
      </c>
      <c r="S237">
        <f t="shared" si="218"/>
        <v>2492.7314511591862</v>
      </c>
      <c r="T237">
        <f t="shared" si="201"/>
        <v>215053.90140154448</v>
      </c>
      <c r="U237" s="22">
        <f t="shared" si="252"/>
        <v>2492.0292595376704</v>
      </c>
      <c r="V237" s="1">
        <f t="shared" si="202"/>
        <v>0</v>
      </c>
      <c r="W237" s="1">
        <f t="shared" si="203"/>
        <v>0</v>
      </c>
      <c r="X237" s="1">
        <f t="shared" si="204"/>
        <v>-195.62956428697296</v>
      </c>
      <c r="Y237" s="1">
        <f t="shared" si="219"/>
        <v>-70.219162151568284</v>
      </c>
      <c r="Z237" s="1">
        <f t="shared" si="205"/>
        <v>-265.84872643854123</v>
      </c>
      <c r="AA237" s="1">
        <f t="shared" si="206"/>
        <v>-1718.9641632780549</v>
      </c>
      <c r="AB237" s="1">
        <f t="shared" si="254"/>
        <v>11870.521777918409</v>
      </c>
      <c r="AC237" s="1">
        <f t="shared" si="208"/>
        <v>9885.7088882018143</v>
      </c>
      <c r="AD237" s="1">
        <f t="shared" si="209"/>
        <v>0.7021916215157944</v>
      </c>
      <c r="AE237">
        <f t="shared" si="210"/>
        <v>9886.4110798233305</v>
      </c>
      <c r="AG237" s="19">
        <v>54</v>
      </c>
      <c r="AH237" s="19">
        <f t="shared" ref="AH237:AK237" si="278">AH150</f>
        <v>4.2519593046541265E-2</v>
      </c>
      <c r="AI237" s="19">
        <f t="shared" si="278"/>
        <v>1.1977584658649657E-2</v>
      </c>
      <c r="AJ237" s="19">
        <f t="shared" si="278"/>
        <v>862.96699999999998</v>
      </c>
      <c r="AK237" s="19">
        <f t="shared" si="278"/>
        <v>819.69200000000001</v>
      </c>
    </row>
    <row r="238" spans="5:37">
      <c r="E238">
        <v>55</v>
      </c>
      <c r="F238" s="13"/>
      <c r="G238" s="13">
        <f t="shared" si="256"/>
        <v>0</v>
      </c>
      <c r="H238" s="13">
        <f t="shared" si="257"/>
        <v>196.20000000000002</v>
      </c>
      <c r="I238" s="13">
        <f t="shared" si="214"/>
        <v>250000</v>
      </c>
      <c r="J238" s="13">
        <f t="shared" si="196"/>
        <v>828.077</v>
      </c>
      <c r="K238" s="5">
        <f t="shared" si="197"/>
        <v>869.6</v>
      </c>
      <c r="L238" s="21">
        <f t="shared" si="198"/>
        <v>207019.25</v>
      </c>
      <c r="M238">
        <f t="shared" si="199"/>
        <v>217400</v>
      </c>
      <c r="N238">
        <f t="shared" si="215"/>
        <v>0.30209182094000003</v>
      </c>
      <c r="O238">
        <f t="shared" si="216"/>
        <v>0.99681170381506823</v>
      </c>
      <c r="P238">
        <f t="shared" si="239"/>
        <v>3.0112866273979794E-4</v>
      </c>
      <c r="Q238">
        <f t="shared" si="240"/>
        <v>0.99651057515232844</v>
      </c>
      <c r="R238">
        <f t="shared" si="217"/>
        <v>215053.90140154448</v>
      </c>
      <c r="S238">
        <f t="shared" si="218"/>
        <v>2492.0292595376704</v>
      </c>
      <c r="T238">
        <f t="shared" si="201"/>
        <v>216641.39903811621</v>
      </c>
      <c r="U238" s="22">
        <f t="shared" si="252"/>
        <v>2491.276437880821</v>
      </c>
      <c r="V238" s="1">
        <f t="shared" si="202"/>
        <v>0</v>
      </c>
      <c r="W238" s="1">
        <f t="shared" si="203"/>
        <v>0</v>
      </c>
      <c r="X238" s="1">
        <f t="shared" si="204"/>
        <v>-195.57445628851642</v>
      </c>
      <c r="Y238" s="1">
        <f t="shared" si="219"/>
        <v>-75.28216568494949</v>
      </c>
      <c r="Z238" s="1">
        <f t="shared" si="205"/>
        <v>-270.85662197346591</v>
      </c>
      <c r="AA238" s="1">
        <f t="shared" si="206"/>
        <v>-1587.4976365717303</v>
      </c>
      <c r="AB238" s="1">
        <f t="shared" si="254"/>
        <v>11965.026186359519</v>
      </c>
      <c r="AC238" s="1">
        <f t="shared" si="208"/>
        <v>10106.671927814323</v>
      </c>
      <c r="AD238" s="1">
        <f t="shared" si="209"/>
        <v>0.75282165684939173</v>
      </c>
      <c r="AE238">
        <f t="shared" si="210"/>
        <v>10107.424749471173</v>
      </c>
      <c r="AG238" s="19">
        <v>55</v>
      </c>
      <c r="AH238" s="19">
        <f t="shared" ref="AH238:AK238" si="279">AH151</f>
        <v>3.054200838789161E-2</v>
      </c>
      <c r="AI238" s="19">
        <f t="shared" si="279"/>
        <v>9.2264909290629311E-3</v>
      </c>
      <c r="AJ238" s="19">
        <f t="shared" si="279"/>
        <v>869.6</v>
      </c>
      <c r="AK238" s="19">
        <f t="shared" si="279"/>
        <v>828.077</v>
      </c>
    </row>
    <row r="239" spans="5:37">
      <c r="E239">
        <v>56</v>
      </c>
      <c r="F239" s="13"/>
      <c r="G239" s="13">
        <f t="shared" si="256"/>
        <v>0</v>
      </c>
      <c r="H239" s="13">
        <f t="shared" si="257"/>
        <v>196.20000000000002</v>
      </c>
      <c r="I239" s="13">
        <f t="shared" si="214"/>
        <v>250000</v>
      </c>
      <c r="J239" s="13">
        <f t="shared" si="196"/>
        <v>835.79700000000003</v>
      </c>
      <c r="K239" s="5">
        <f t="shared" si="197"/>
        <v>875.68799999999999</v>
      </c>
      <c r="L239" s="21">
        <f t="shared" si="198"/>
        <v>208949.25</v>
      </c>
      <c r="M239">
        <f t="shared" si="199"/>
        <v>218922</v>
      </c>
      <c r="N239">
        <f t="shared" si="215"/>
        <v>0.32340684194000002</v>
      </c>
      <c r="O239">
        <f t="shared" si="216"/>
        <v>0.99651057515232844</v>
      </c>
      <c r="P239">
        <f t="shared" si="239"/>
        <v>3.2227833806982756E-4</v>
      </c>
      <c r="Q239">
        <f t="shared" si="240"/>
        <v>0.99618829681425858</v>
      </c>
      <c r="R239">
        <f t="shared" si="217"/>
        <v>216641.39903811621</v>
      </c>
      <c r="S239">
        <f t="shared" si="218"/>
        <v>2491.276437880821</v>
      </c>
      <c r="T239">
        <f t="shared" si="201"/>
        <v>218087.53431517113</v>
      </c>
      <c r="U239" s="22">
        <f t="shared" si="252"/>
        <v>2490.4707420356463</v>
      </c>
      <c r="V239" s="1">
        <f t="shared" si="202"/>
        <v>0</v>
      </c>
      <c r="W239" s="1">
        <f t="shared" si="203"/>
        <v>0</v>
      </c>
      <c r="X239" s="1">
        <f t="shared" si="204"/>
        <v>-195.51537484488685</v>
      </c>
      <c r="Y239" s="1">
        <f t="shared" si="219"/>
        <v>-80.569584517456889</v>
      </c>
      <c r="Z239" s="1">
        <f t="shared" si="205"/>
        <v>-276.08495936234374</v>
      </c>
      <c r="AA239" s="1">
        <f t="shared" si="206"/>
        <v>-1446.1352770549129</v>
      </c>
      <c r="AB239" s="1">
        <f t="shared" si="254"/>
        <v>12052.297151179837</v>
      </c>
      <c r="AC239" s="1">
        <f t="shared" si="208"/>
        <v>10330.07691476258</v>
      </c>
      <c r="AD239" s="1">
        <f t="shared" si="209"/>
        <v>0.80569584517479598</v>
      </c>
      <c r="AE239">
        <f t="shared" si="210"/>
        <v>10330.882610607754</v>
      </c>
      <c r="AG239" s="19">
        <v>56</v>
      </c>
      <c r="AH239" s="19">
        <f t="shared" ref="AH239:AK239" si="280">AH152</f>
        <v>2.1315517458828679E-2</v>
      </c>
      <c r="AI239" s="19">
        <f t="shared" si="280"/>
        <v>6.8935841856767174E-3</v>
      </c>
      <c r="AJ239" s="19">
        <f t="shared" si="280"/>
        <v>875.68799999999999</v>
      </c>
      <c r="AK239" s="19">
        <f t="shared" si="280"/>
        <v>835.79700000000003</v>
      </c>
    </row>
    <row r="240" spans="5:37">
      <c r="E240">
        <v>57</v>
      </c>
      <c r="F240" s="13"/>
      <c r="G240" s="13">
        <f t="shared" si="256"/>
        <v>0</v>
      </c>
      <c r="H240" s="13">
        <f t="shared" si="257"/>
        <v>196.20000000000002</v>
      </c>
      <c r="I240" s="13">
        <f t="shared" si="214"/>
        <v>250000</v>
      </c>
      <c r="J240" s="13">
        <f t="shared" si="196"/>
        <v>842.90899999999999</v>
      </c>
      <c r="K240" s="5">
        <f t="shared" si="197"/>
        <v>881.28200000000004</v>
      </c>
      <c r="L240" s="21">
        <f t="shared" si="198"/>
        <v>210727.25</v>
      </c>
      <c r="M240">
        <f t="shared" si="199"/>
        <v>220320.5</v>
      </c>
      <c r="N240">
        <f t="shared" si="215"/>
        <v>0.34486570663999999</v>
      </c>
      <c r="O240">
        <f t="shared" si="216"/>
        <v>0.99618829681425858</v>
      </c>
      <c r="P240">
        <f t="shared" si="239"/>
        <v>3.4355118092734731E-4</v>
      </c>
      <c r="Q240">
        <f t="shared" si="240"/>
        <v>0.99584474563333125</v>
      </c>
      <c r="R240">
        <f t="shared" si="217"/>
        <v>218087.53431517113</v>
      </c>
      <c r="S240">
        <f t="shared" si="218"/>
        <v>2490.4707420356463</v>
      </c>
      <c r="T240">
        <f t="shared" si="201"/>
        <v>219405.01228030835</v>
      </c>
      <c r="U240" s="22">
        <f t="shared" si="252"/>
        <v>2489.6118640833283</v>
      </c>
      <c r="V240" s="1">
        <f t="shared" si="202"/>
        <v>0</v>
      </c>
      <c r="W240" s="1">
        <f t="shared" si="203"/>
        <v>0</v>
      </c>
      <c r="X240" s="1">
        <f t="shared" si="204"/>
        <v>-195.45214383495755</v>
      </c>
      <c r="Y240" s="1">
        <f t="shared" si="219"/>
        <v>-85.887795231836833</v>
      </c>
      <c r="Z240" s="1">
        <f t="shared" si="205"/>
        <v>-281.33993906679439</v>
      </c>
      <c r="AA240" s="1">
        <f t="shared" si="206"/>
        <v>-1317.4779651372228</v>
      </c>
      <c r="AB240" s="1">
        <f t="shared" si="254"/>
        <v>12131.790278146373</v>
      </c>
      <c r="AC240" s="1">
        <f t="shared" si="208"/>
        <v>10532.972373942355</v>
      </c>
      <c r="AD240" s="1">
        <f t="shared" si="209"/>
        <v>0.85887795231792552</v>
      </c>
      <c r="AE240">
        <f t="shared" si="210"/>
        <v>10533.831251894673</v>
      </c>
      <c r="AG240" s="19">
        <v>57</v>
      </c>
      <c r="AH240" s="19">
        <f t="shared" ref="AH240:AK240" si="281">AH153</f>
        <v>1.4421933273151961E-2</v>
      </c>
      <c r="AI240" s="19">
        <f t="shared" si="281"/>
        <v>4.9736302093604792E-3</v>
      </c>
      <c r="AJ240" s="19">
        <f t="shared" si="281"/>
        <v>881.28200000000004</v>
      </c>
      <c r="AK240" s="19">
        <f t="shared" si="281"/>
        <v>842.90899999999999</v>
      </c>
    </row>
    <row r="241" spans="5:37">
      <c r="E241">
        <v>58</v>
      </c>
      <c r="F241" s="13"/>
      <c r="G241" s="13">
        <f t="shared" si="256"/>
        <v>0</v>
      </c>
      <c r="H241" s="13">
        <f t="shared" si="257"/>
        <v>196.20000000000002</v>
      </c>
      <c r="I241" s="13">
        <f t="shared" si="214"/>
        <v>250000</v>
      </c>
      <c r="J241" s="13">
        <f t="shared" si="196"/>
        <v>849.57100000000003</v>
      </c>
      <c r="K241" s="5">
        <f t="shared" si="197"/>
        <v>886.50400000000002</v>
      </c>
      <c r="L241" s="21">
        <f t="shared" si="198"/>
        <v>212392.75</v>
      </c>
      <c r="M241">
        <f t="shared" si="199"/>
        <v>221626</v>
      </c>
      <c r="N241">
        <f t="shared" si="215"/>
        <v>0.36597324400000003</v>
      </c>
      <c r="O241">
        <f t="shared" si="216"/>
        <v>0.99584474563333125</v>
      </c>
      <c r="P241">
        <f t="shared" si="239"/>
        <v>3.644525320797851E-4</v>
      </c>
      <c r="Q241">
        <f t="shared" si="240"/>
        <v>0.99548029310125141</v>
      </c>
      <c r="R241">
        <f t="shared" si="217"/>
        <v>219405.01228030835</v>
      </c>
      <c r="S241">
        <f t="shared" si="218"/>
        <v>2489.6118640833283</v>
      </c>
      <c r="T241">
        <f t="shared" si="201"/>
        <v>220624.31543885794</v>
      </c>
      <c r="U241" s="22">
        <f t="shared" si="252"/>
        <v>2488.7007327531287</v>
      </c>
      <c r="V241" s="1">
        <f t="shared" si="202"/>
        <v>0</v>
      </c>
      <c r="W241" s="1">
        <f t="shared" si="203"/>
        <v>0</v>
      </c>
      <c r="X241" s="1">
        <f t="shared" si="204"/>
        <v>-195.38473909325961</v>
      </c>
      <c r="Y241" s="1">
        <f t="shared" si="219"/>
        <v>-91.113133019946275</v>
      </c>
      <c r="Z241" s="1">
        <f t="shared" si="205"/>
        <v>-286.49787211320586</v>
      </c>
      <c r="AA241" s="1">
        <f t="shared" si="206"/>
        <v>-1219.3031585495919</v>
      </c>
      <c r="AB241" s="1">
        <f t="shared" si="254"/>
        <v>12204.204327941543</v>
      </c>
      <c r="AC241" s="1">
        <f t="shared" si="208"/>
        <v>10698.403297278745</v>
      </c>
      <c r="AD241" s="1">
        <f t="shared" si="209"/>
        <v>0.91113133019962333</v>
      </c>
      <c r="AE241">
        <f t="shared" si="210"/>
        <v>10699.314428608945</v>
      </c>
      <c r="AG241" s="19">
        <v>58</v>
      </c>
      <c r="AH241" s="19">
        <f t="shared" ref="AH241:AK241" si="282">AH154</f>
        <v>9.4483030637914807E-3</v>
      </c>
      <c r="AI241" s="19">
        <f t="shared" si="282"/>
        <v>3.4578261225509076E-3</v>
      </c>
      <c r="AJ241" s="19">
        <f t="shared" si="282"/>
        <v>886.50400000000002</v>
      </c>
      <c r="AK241" s="19">
        <f t="shared" si="282"/>
        <v>849.57100000000003</v>
      </c>
    </row>
    <row r="242" spans="5:37">
      <c r="E242">
        <v>59</v>
      </c>
      <c r="F242" s="13"/>
      <c r="G242" s="13">
        <f t="shared" si="256"/>
        <v>0</v>
      </c>
      <c r="H242" s="13">
        <f t="shared" si="257"/>
        <v>196.20000000000002</v>
      </c>
      <c r="I242" s="13">
        <f t="shared" si="214"/>
        <v>250000</v>
      </c>
      <c r="J242" s="13">
        <f t="shared" si="196"/>
        <v>855.79200000000003</v>
      </c>
      <c r="K242" s="5">
        <f t="shared" si="197"/>
        <v>891.36800000000005</v>
      </c>
      <c r="L242" s="21">
        <f t="shared" si="198"/>
        <v>213948</v>
      </c>
      <c r="M242">
        <f t="shared" si="199"/>
        <v>222842</v>
      </c>
      <c r="N242">
        <f t="shared" si="215"/>
        <v>0.38758554198</v>
      </c>
      <c r="O242">
        <f t="shared" si="216"/>
        <v>0.99548029310125141</v>
      </c>
      <c r="P242">
        <f t="shared" si="239"/>
        <v>3.8583376893205776E-4</v>
      </c>
      <c r="Q242">
        <f t="shared" si="240"/>
        <v>0.99509445933231933</v>
      </c>
      <c r="R242">
        <f t="shared" si="217"/>
        <v>220624.31543885794</v>
      </c>
      <c r="S242">
        <f t="shared" si="218"/>
        <v>2488.7007327531287</v>
      </c>
      <c r="T242">
        <f t="shared" si="201"/>
        <v>221748.83950653271</v>
      </c>
      <c r="U242" s="22">
        <f t="shared" si="252"/>
        <v>2487.7361483307982</v>
      </c>
      <c r="V242" s="1">
        <f t="shared" si="202"/>
        <v>0</v>
      </c>
      <c r="W242" s="1">
        <f t="shared" si="203"/>
        <v>0</v>
      </c>
      <c r="X242" s="1">
        <f t="shared" si="204"/>
        <v>-195.31323350646554</v>
      </c>
      <c r="Y242" s="1">
        <f t="shared" si="219"/>
        <v>-96.458442233014438</v>
      </c>
      <c r="Z242" s="1">
        <f t="shared" si="205"/>
        <v>-291.77167573947997</v>
      </c>
      <c r="AA242" s="1">
        <f t="shared" si="206"/>
        <v>-1124.5240676747635</v>
      </c>
      <c r="AB242" s="1">
        <f t="shared" si="254"/>
        <v>12271.215889438608</v>
      </c>
      <c r="AC242" s="1">
        <f t="shared" si="208"/>
        <v>10854.920146024364</v>
      </c>
      <c r="AD242" s="1">
        <f t="shared" si="209"/>
        <v>0.96458442233051755</v>
      </c>
      <c r="AE242">
        <f t="shared" si="210"/>
        <v>10855.884730446694</v>
      </c>
      <c r="AG242" s="19">
        <v>59</v>
      </c>
      <c r="AH242" s="19">
        <f t="shared" ref="AH242:AK242" si="283">AH155</f>
        <v>5.9904769412405731E-3</v>
      </c>
      <c r="AI242" s="19">
        <f t="shared" si="283"/>
        <v>2.3218222519894201E-3</v>
      </c>
      <c r="AJ242" s="19">
        <f t="shared" si="283"/>
        <v>891.36800000000005</v>
      </c>
      <c r="AK242" s="19">
        <f t="shared" si="283"/>
        <v>855.79200000000003</v>
      </c>
    </row>
    <row r="243" spans="5:37">
      <c r="E243">
        <v>60</v>
      </c>
      <c r="F243" s="13"/>
      <c r="G243" s="13">
        <f t="shared" si="256"/>
        <v>0</v>
      </c>
      <c r="H243" s="13">
        <f t="shared" si="257"/>
        <v>196.20000000000002</v>
      </c>
      <c r="I243" s="13">
        <f t="shared" si="214"/>
        <v>250000</v>
      </c>
      <c r="J243" s="13">
        <f t="shared" si="196"/>
        <v>861.59</v>
      </c>
      <c r="K243" s="5">
        <f t="shared" si="197"/>
        <v>895.88800000000003</v>
      </c>
      <c r="L243" s="21">
        <f t="shared" si="198"/>
        <v>215397.5</v>
      </c>
      <c r="M243">
        <f t="shared" si="199"/>
        <v>223972</v>
      </c>
      <c r="N243">
        <f t="shared" si="215"/>
        <v>0.40957619247999999</v>
      </c>
      <c r="O243">
        <f t="shared" si="216"/>
        <v>0.99509445933231933</v>
      </c>
      <c r="P243">
        <f t="shared" si="239"/>
        <v>4.0756699981127554E-4</v>
      </c>
      <c r="Q243">
        <f t="shared" si="240"/>
        <v>0.99468689233250807</v>
      </c>
      <c r="R243">
        <f t="shared" si="217"/>
        <v>221748.83950653271</v>
      </c>
      <c r="S243">
        <f t="shared" si="218"/>
        <v>2487.7361483307982</v>
      </c>
      <c r="T243">
        <f t="shared" si="201"/>
        <v>222782.01264949649</v>
      </c>
      <c r="U243" s="22">
        <f t="shared" si="252"/>
        <v>2486.7172308312702</v>
      </c>
      <c r="V243" s="1">
        <f t="shared" si="202"/>
        <v>0</v>
      </c>
      <c r="W243" s="1">
        <f t="shared" si="203"/>
        <v>0</v>
      </c>
      <c r="X243" s="1">
        <f t="shared" si="204"/>
        <v>-195.23753292100108</v>
      </c>
      <c r="Y243" s="1">
        <f t="shared" si="219"/>
        <v>-101.89174995281888</v>
      </c>
      <c r="Z243" s="1">
        <f t="shared" si="205"/>
        <v>-297.12928287381999</v>
      </c>
      <c r="AA243" s="1">
        <f t="shared" si="206"/>
        <v>-1033.1731429637875</v>
      </c>
      <c r="AB243" s="1">
        <f t="shared" si="254"/>
        <v>12333.011661017492</v>
      </c>
      <c r="AC243" s="1">
        <f t="shared" si="208"/>
        <v>11002.709235179884</v>
      </c>
      <c r="AD243" s="1">
        <f t="shared" si="209"/>
        <v>1.0189174995280155</v>
      </c>
      <c r="AE243">
        <f t="shared" si="210"/>
        <v>11003.728152679412</v>
      </c>
      <c r="AG243" s="19">
        <v>60</v>
      </c>
      <c r="AH243" s="19">
        <f t="shared" ref="AH243:AK243" si="284">AH156</f>
        <v>3.668654689251153E-3</v>
      </c>
      <c r="AI243" s="19">
        <f t="shared" si="284"/>
        <v>1.5025936191473848E-3</v>
      </c>
      <c r="AJ243" s="19">
        <f t="shared" si="284"/>
        <v>895.88800000000003</v>
      </c>
      <c r="AK243" s="19">
        <f t="shared" si="284"/>
        <v>861.59</v>
      </c>
    </row>
    <row r="244" spans="5:37">
      <c r="E244">
        <v>61</v>
      </c>
      <c r="F244" s="13"/>
      <c r="G244" s="13">
        <f t="shared" si="256"/>
        <v>0</v>
      </c>
      <c r="H244" s="13">
        <f t="shared" si="257"/>
        <v>196.20000000000002</v>
      </c>
      <c r="I244" s="13">
        <f t="shared" si="214"/>
        <v>250000</v>
      </c>
      <c r="J244" s="13">
        <f t="shared" si="196"/>
        <v>866.99099999999999</v>
      </c>
      <c r="K244" s="5">
        <f t="shared" si="197"/>
        <v>900.09</v>
      </c>
      <c r="L244" s="21">
        <f t="shared" si="198"/>
        <v>216747.75</v>
      </c>
      <c r="M244">
        <f t="shared" si="199"/>
        <v>225022.5</v>
      </c>
      <c r="N244">
        <f t="shared" si="215"/>
        <v>0.43180309536</v>
      </c>
      <c r="O244">
        <f t="shared" si="216"/>
        <v>0.99468689233250807</v>
      </c>
      <c r="P244">
        <f t="shared" si="239"/>
        <v>4.2950887902319602E-4</v>
      </c>
      <c r="Q244">
        <f t="shared" si="240"/>
        <v>0.99425738345348491</v>
      </c>
      <c r="R244">
        <f t="shared" si="217"/>
        <v>222782.01264949649</v>
      </c>
      <c r="S244">
        <f t="shared" si="218"/>
        <v>2486.7172308312702</v>
      </c>
      <c r="T244">
        <f t="shared" si="201"/>
        <v>223730.28206816182</v>
      </c>
      <c r="U244" s="22">
        <f t="shared" si="252"/>
        <v>2485.6434586337123</v>
      </c>
      <c r="V244" s="1">
        <f t="shared" si="202"/>
        <v>0</v>
      </c>
      <c r="W244" s="1">
        <f t="shared" si="203"/>
        <v>0</v>
      </c>
      <c r="X244" s="1">
        <f t="shared" si="204"/>
        <v>-195.15756827563811</v>
      </c>
      <c r="Y244" s="1">
        <f t="shared" si="219"/>
        <v>-107.377219755799</v>
      </c>
      <c r="Z244" s="1">
        <f t="shared" si="205"/>
        <v>-302.53478803143713</v>
      </c>
      <c r="AA244" s="1">
        <f t="shared" si="206"/>
        <v>-948.26941866532434</v>
      </c>
      <c r="AB244" s="1">
        <f t="shared" si="254"/>
        <v>12389.780143418027</v>
      </c>
      <c r="AC244" s="1">
        <f t="shared" si="208"/>
        <v>11138.975936721266</v>
      </c>
      <c r="AD244" s="1">
        <f t="shared" si="209"/>
        <v>1.0737721975579007</v>
      </c>
      <c r="AE244">
        <f t="shared" si="210"/>
        <v>11140.049708918825</v>
      </c>
      <c r="AG244" s="19">
        <v>61</v>
      </c>
      <c r="AH244" s="19">
        <f t="shared" ref="AH244:AK244" si="285">AH157</f>
        <v>2.1660610701037682E-3</v>
      </c>
      <c r="AI244" s="19">
        <f t="shared" si="285"/>
        <v>9.3531187480960104E-4</v>
      </c>
      <c r="AJ244" s="19">
        <f t="shared" si="285"/>
        <v>900.09</v>
      </c>
      <c r="AK244" s="19">
        <f t="shared" si="285"/>
        <v>866.99099999999999</v>
      </c>
    </row>
    <row r="245" spans="5:37">
      <c r="E245">
        <v>62</v>
      </c>
      <c r="F245" s="13"/>
      <c r="G245" s="13">
        <f t="shared" si="256"/>
        <v>0</v>
      </c>
      <c r="H245" s="13">
        <f t="shared" si="257"/>
        <v>196.20000000000002</v>
      </c>
      <c r="I245" s="13">
        <f t="shared" si="214"/>
        <v>250000</v>
      </c>
      <c r="J245" s="13">
        <f t="shared" si="196"/>
        <v>872.04100000000005</v>
      </c>
      <c r="K245" s="5">
        <f t="shared" si="197"/>
        <v>904.00800000000004</v>
      </c>
      <c r="L245" s="21">
        <f t="shared" si="198"/>
        <v>218010.25</v>
      </c>
      <c r="M245">
        <f t="shared" si="199"/>
        <v>226002</v>
      </c>
      <c r="N245">
        <f t="shared" si="215"/>
        <v>0.45412589403999998</v>
      </c>
      <c r="O245">
        <f t="shared" si="216"/>
        <v>0.99425738345348491</v>
      </c>
      <c r="P245">
        <f t="shared" si="239"/>
        <v>4.5151802316668492E-4</v>
      </c>
      <c r="Q245">
        <f t="shared" si="240"/>
        <v>0.99380586543031824</v>
      </c>
      <c r="R245">
        <f t="shared" si="217"/>
        <v>223730.28206816182</v>
      </c>
      <c r="S245">
        <f t="shared" si="218"/>
        <v>2485.6434586337123</v>
      </c>
      <c r="T245">
        <f t="shared" si="201"/>
        <v>224602.11319898278</v>
      </c>
      <c r="U245" s="22">
        <f t="shared" si="252"/>
        <v>2484.5146635757956</v>
      </c>
      <c r="V245" s="1">
        <f t="shared" si="202"/>
        <v>0</v>
      </c>
      <c r="W245" s="1">
        <f t="shared" si="203"/>
        <v>0</v>
      </c>
      <c r="X245" s="1">
        <f t="shared" si="204"/>
        <v>-195.07329863357376</v>
      </c>
      <c r="Y245" s="1">
        <f t="shared" si="219"/>
        <v>-112.87950579167124</v>
      </c>
      <c r="Z245" s="1">
        <f t="shared" si="205"/>
        <v>-307.95280442524501</v>
      </c>
      <c r="AA245" s="1">
        <f t="shared" si="206"/>
        <v>-871.83113082096679</v>
      </c>
      <c r="AB245" s="1">
        <f t="shared" si="254"/>
        <v>12441.875903973754</v>
      </c>
      <c r="AC245" s="1">
        <f t="shared" si="208"/>
        <v>11262.091968727542</v>
      </c>
      <c r="AD245" s="1">
        <f t="shared" si="209"/>
        <v>1.1287950579167045</v>
      </c>
      <c r="AE245">
        <f t="shared" si="210"/>
        <v>11263.220763785459</v>
      </c>
      <c r="AG245" s="19">
        <v>62</v>
      </c>
      <c r="AH245" s="19">
        <f t="shared" ref="AH245:AK245" si="286">AH158</f>
        <v>1.2307491952941673E-3</v>
      </c>
      <c r="AI245" s="19">
        <f t="shared" si="286"/>
        <v>5.5891507865197425E-4</v>
      </c>
      <c r="AJ245" s="19">
        <f t="shared" si="286"/>
        <v>904.00800000000004</v>
      </c>
      <c r="AK245" s="19">
        <f t="shared" si="286"/>
        <v>872.04100000000005</v>
      </c>
    </row>
    <row r="246" spans="5:37">
      <c r="E246">
        <v>63</v>
      </c>
      <c r="F246" s="13"/>
      <c r="G246" s="13">
        <f t="shared" si="256"/>
        <v>0</v>
      </c>
      <c r="H246" s="13">
        <f t="shared" si="257"/>
        <v>196.20000000000002</v>
      </c>
      <c r="I246" s="13">
        <f t="shared" si="214"/>
        <v>250000</v>
      </c>
      <c r="J246" s="13">
        <f t="shared" si="196"/>
        <v>876.78200000000004</v>
      </c>
      <c r="K246" s="5">
        <f t="shared" si="197"/>
        <v>907.67899999999997</v>
      </c>
      <c r="L246" s="21">
        <f t="shared" si="198"/>
        <v>219195.5</v>
      </c>
      <c r="M246">
        <f t="shared" si="199"/>
        <v>226919.75</v>
      </c>
      <c r="N246">
        <f t="shared" si="215"/>
        <v>0.47656725480000001</v>
      </c>
      <c r="O246">
        <f t="shared" si="216"/>
        <v>0.99380586543031824</v>
      </c>
      <c r="P246">
        <f t="shared" si="239"/>
        <v>4.7361533309226502E-4</v>
      </c>
      <c r="Q246">
        <f t="shared" si="240"/>
        <v>0.99333225009722592</v>
      </c>
      <c r="R246">
        <f t="shared" si="217"/>
        <v>224602.11319898278</v>
      </c>
      <c r="S246">
        <f t="shared" si="218"/>
        <v>2484.5146635757956</v>
      </c>
      <c r="T246">
        <f t="shared" si="201"/>
        <v>225406.70585899998</v>
      </c>
      <c r="U246" s="22">
        <f t="shared" si="252"/>
        <v>2483.3306252430648</v>
      </c>
      <c r="V246" s="1">
        <f t="shared" si="202"/>
        <v>0</v>
      </c>
      <c r="W246" s="1">
        <f t="shared" si="203"/>
        <v>0</v>
      </c>
      <c r="X246" s="1">
        <f t="shared" si="204"/>
        <v>-194.98471079742845</v>
      </c>
      <c r="Y246" s="1">
        <f t="shared" si="219"/>
        <v>-118.40383327306625</v>
      </c>
      <c r="Z246" s="1">
        <f t="shared" si="205"/>
        <v>-313.38854407049473</v>
      </c>
      <c r="AA246" s="1">
        <f t="shared" si="206"/>
        <v>-804.59266001719516</v>
      </c>
      <c r="AB246" s="1">
        <f t="shared" si="254"/>
        <v>12489.764532440722</v>
      </c>
      <c r="AC246" s="1">
        <f t="shared" si="208"/>
        <v>11371.783328353033</v>
      </c>
      <c r="AD246" s="1">
        <f t="shared" si="209"/>
        <v>1.1840383327307791</v>
      </c>
      <c r="AE246">
        <f t="shared" si="210"/>
        <v>11372.967366685763</v>
      </c>
      <c r="AG246" s="19">
        <v>63</v>
      </c>
      <c r="AH246" s="19">
        <f t="shared" ref="AH246:AK246" si="287">AH159</f>
        <v>6.7183411664219303E-4</v>
      </c>
      <c r="AI246" s="19">
        <f t="shared" si="287"/>
        <v>3.2017414064915292E-4</v>
      </c>
      <c r="AJ246" s="19">
        <f t="shared" si="287"/>
        <v>907.67899999999997</v>
      </c>
      <c r="AK246" s="19">
        <f t="shared" si="287"/>
        <v>876.78200000000004</v>
      </c>
    </row>
    <row r="247" spans="5:37">
      <c r="E247">
        <v>64</v>
      </c>
      <c r="F247" s="13"/>
      <c r="G247" s="13">
        <f t="shared" si="256"/>
        <v>0</v>
      </c>
      <c r="H247" s="13">
        <f t="shared" si="257"/>
        <v>196.20000000000002</v>
      </c>
      <c r="I247" s="13">
        <f t="shared" si="214"/>
        <v>250000</v>
      </c>
      <c r="J247" s="13">
        <f t="shared" si="196"/>
        <v>881.25599999999997</v>
      </c>
      <c r="K247" s="5">
        <f t="shared" si="197"/>
        <v>911.13599999999997</v>
      </c>
      <c r="L247" s="21">
        <f t="shared" si="198"/>
        <v>220314</v>
      </c>
      <c r="M247">
        <f t="shared" si="199"/>
        <v>227784</v>
      </c>
      <c r="N247">
        <f t="shared" si="215"/>
        <v>0.49916815130000003</v>
      </c>
      <c r="O247">
        <f t="shared" si="216"/>
        <v>0.99333225009722592</v>
      </c>
      <c r="P247">
        <f t="shared" si="239"/>
        <v>4.9583982290770149E-4</v>
      </c>
      <c r="Q247">
        <f t="shared" si="240"/>
        <v>0.99283641027431824</v>
      </c>
      <c r="R247">
        <f t="shared" si="217"/>
        <v>225406.70585899998</v>
      </c>
      <c r="S247">
        <f t="shared" si="218"/>
        <v>2483.3306252430648</v>
      </c>
      <c r="T247">
        <f t="shared" si="201"/>
        <v>226152.2488779253</v>
      </c>
      <c r="U247" s="22">
        <f t="shared" ref="U247:U258" si="288">$B$11*I247*Q247</f>
        <v>2482.0910256857956</v>
      </c>
      <c r="V247" s="1">
        <f t="shared" si="202"/>
        <v>0</v>
      </c>
      <c r="W247" s="1">
        <f t="shared" si="203"/>
        <v>0</v>
      </c>
      <c r="X247" s="1">
        <f t="shared" si="204"/>
        <v>-194.89178746907575</v>
      </c>
      <c r="Y247" s="1">
        <f t="shared" si="219"/>
        <v>-123.95995572692537</v>
      </c>
      <c r="Z247" s="1">
        <f t="shared" si="205"/>
        <v>-318.85174319600111</v>
      </c>
      <c r="AA247" s="1">
        <f t="shared" si="206"/>
        <v>-745.54301892532385</v>
      </c>
      <c r="AB247" s="1">
        <f t="shared" si="254"/>
        <v>12533.952006633368</v>
      </c>
      <c r="AC247" s="1">
        <f t="shared" si="208"/>
        <v>11469.557244512043</v>
      </c>
      <c r="AD247" s="1">
        <f t="shared" si="209"/>
        <v>1.23959955726923</v>
      </c>
      <c r="AE247">
        <f t="shared" si="210"/>
        <v>11470.796844069313</v>
      </c>
      <c r="AG247" s="19">
        <v>64</v>
      </c>
      <c r="AH247" s="19">
        <f t="shared" ref="AH247:AK247" si="289">AH160</f>
        <v>3.5165997599304012E-4</v>
      </c>
      <c r="AI247" s="19">
        <f t="shared" si="289"/>
        <v>1.7553746010264822E-4</v>
      </c>
      <c r="AJ247" s="19">
        <f t="shared" si="289"/>
        <v>911.13599999999997</v>
      </c>
      <c r="AK247" s="19">
        <f t="shared" si="289"/>
        <v>881.25599999999997</v>
      </c>
    </row>
    <row r="248" spans="5:37">
      <c r="E248">
        <v>65</v>
      </c>
      <c r="F248" s="13"/>
      <c r="G248" s="13">
        <f t="shared" si="256"/>
        <v>0</v>
      </c>
      <c r="H248" s="13">
        <f t="shared" si="257"/>
        <v>196.20000000000002</v>
      </c>
      <c r="I248" s="13">
        <f t="shared" si="214"/>
        <v>250000</v>
      </c>
      <c r="J248" s="13">
        <f t="shared" ref="J248:J258" si="290">AK248</f>
        <v>885.553</v>
      </c>
      <c r="K248" s="5">
        <f t="shared" ref="K248:K258" si="291">AJ248</f>
        <v>914.44899999999996</v>
      </c>
      <c r="L248" s="21">
        <f t="shared" ref="L248:L258" si="292">I248*J248/1000</f>
        <v>221388.25</v>
      </c>
      <c r="M248">
        <f t="shared" ref="M248:M258" si="293">I248*K248/1000</f>
        <v>228612.25</v>
      </c>
      <c r="N248">
        <f t="shared" si="215"/>
        <v>0.52180043188000003</v>
      </c>
      <c r="O248">
        <f t="shared" si="216"/>
        <v>0.99283641027431824</v>
      </c>
      <c r="P248">
        <f t="shared" si="239"/>
        <v>5.1806246766732806E-4</v>
      </c>
      <c r="Q248">
        <f t="shared" si="240"/>
        <v>0.99231834780665096</v>
      </c>
      <c r="R248">
        <f t="shared" si="217"/>
        <v>226152.2488779253</v>
      </c>
      <c r="S248">
        <f t="shared" si="218"/>
        <v>2482.0910256857956</v>
      </c>
      <c r="T248">
        <f t="shared" ref="T248:T258" si="294">M248*Q248</f>
        <v>226856.13020836105</v>
      </c>
      <c r="U248" s="22">
        <f t="shared" si="288"/>
        <v>2480.7958695166276</v>
      </c>
      <c r="V248" s="1">
        <f t="shared" ref="V248:V258" si="295">$O248*F248</f>
        <v>0</v>
      </c>
      <c r="W248" s="1">
        <f t="shared" ref="W248:W258" si="296">-$O248*G248</f>
        <v>0</v>
      </c>
      <c r="X248" s="1">
        <f t="shared" ref="X248:X258" si="297">-$O248*H248</f>
        <v>-194.79450369582125</v>
      </c>
      <c r="Y248" s="1">
        <f t="shared" si="219"/>
        <v>-129.51561691683202</v>
      </c>
      <c r="Z248" s="1">
        <f t="shared" ref="Z248:Z258" si="298">SUM(V248:Y248)</f>
        <v>-324.31012061265324</v>
      </c>
      <c r="AA248" s="1">
        <f t="shared" ref="AA248:AA258" si="299">R248-T248</f>
        <v>-703.88133043574635</v>
      </c>
      <c r="AB248" s="1">
        <f t="shared" ref="AB248:AB258" si="300">$B$12*SUM(R248:S248,V248:W248)</f>
        <v>12574.888694698611</v>
      </c>
      <c r="AC248" s="1">
        <f t="shared" ref="AC248:AC258" si="301">SUM(Z248:AB248)</f>
        <v>11546.697243650211</v>
      </c>
      <c r="AD248" s="1">
        <f t="shared" ref="AD248:AD258" si="302">S248-U248</f>
        <v>1.2951561691679672</v>
      </c>
      <c r="AE248">
        <f t="shared" ref="AE248:AE258" si="303">SUM(AC248:AD248)</f>
        <v>11547.992399819379</v>
      </c>
      <c r="AG248" s="19">
        <v>65</v>
      </c>
      <c r="AH248" s="19">
        <f t="shared" ref="AH248:AK248" si="304">AH161</f>
        <v>1.7612251589039189E-4</v>
      </c>
      <c r="AI248" s="19">
        <f t="shared" si="304"/>
        <v>9.1900804855398662E-5</v>
      </c>
      <c r="AJ248" s="19">
        <f t="shared" si="304"/>
        <v>914.44899999999996</v>
      </c>
      <c r="AK248" s="19">
        <f t="shared" si="304"/>
        <v>885.553</v>
      </c>
    </row>
    <row r="249" spans="5:37">
      <c r="E249">
        <v>66</v>
      </c>
      <c r="F249" s="13"/>
      <c r="G249" s="13">
        <f t="shared" ref="G249:G258" si="305">F249*$B$15</f>
        <v>0</v>
      </c>
      <c r="H249" s="13">
        <f t="shared" ref="H249:H258" si="306">$B$17</f>
        <v>196.20000000000002</v>
      </c>
      <c r="I249" s="13">
        <f t="shared" ref="I249:I258" si="307">I248</f>
        <v>250000</v>
      </c>
      <c r="J249" s="13">
        <f t="shared" si="290"/>
        <v>889.88900000000001</v>
      </c>
      <c r="K249" s="5">
        <f t="shared" si="291"/>
        <v>917.77800000000002</v>
      </c>
      <c r="L249" s="21">
        <f t="shared" si="292"/>
        <v>222472.25</v>
      </c>
      <c r="M249">
        <f t="shared" si="293"/>
        <v>229444.5</v>
      </c>
      <c r="N249">
        <f t="shared" ref="N249:N258" si="308">N162</f>
        <v>0.54433245775999994</v>
      </c>
      <c r="O249">
        <f t="shared" ref="O249:O258" si="309">Q248</f>
        <v>0.99231834780665096</v>
      </c>
      <c r="P249">
        <f t="shared" si="239"/>
        <v>5.4015108514193679E-4</v>
      </c>
      <c r="Q249">
        <f t="shared" si="240"/>
        <v>0.99177819672150902</v>
      </c>
      <c r="R249">
        <f t="shared" ref="R249:R258" si="310">T248</f>
        <v>226856.13020836105</v>
      </c>
      <c r="S249">
        <f t="shared" ref="S249:S258" si="311">U248</f>
        <v>2480.7958695166276</v>
      </c>
      <c r="T249">
        <f t="shared" si="294"/>
        <v>227558.05245766827</v>
      </c>
      <c r="U249" s="22">
        <f t="shared" si="288"/>
        <v>2479.4454918037727</v>
      </c>
      <c r="V249" s="1">
        <f t="shared" si="295"/>
        <v>0</v>
      </c>
      <c r="W249" s="1">
        <f t="shared" si="296"/>
        <v>0</v>
      </c>
      <c r="X249" s="1">
        <f t="shared" si="297"/>
        <v>-194.69285983966495</v>
      </c>
      <c r="Y249" s="1">
        <f t="shared" ref="Y249:Y258" si="312">-P249*I249</f>
        <v>-135.03777128548421</v>
      </c>
      <c r="Z249" s="1">
        <f t="shared" si="298"/>
        <v>-329.73063112514916</v>
      </c>
      <c r="AA249" s="1">
        <f t="shared" si="299"/>
        <v>-701.92224930721568</v>
      </c>
      <c r="AB249" s="1">
        <f t="shared" si="300"/>
        <v>12613.530934283272</v>
      </c>
      <c r="AC249" s="1">
        <f t="shared" si="301"/>
        <v>11581.878053850907</v>
      </c>
      <c r="AD249" s="1">
        <f t="shared" si="302"/>
        <v>1.3503777128548791</v>
      </c>
      <c r="AE249">
        <f t="shared" si="303"/>
        <v>11583.228431563763</v>
      </c>
      <c r="AG249" s="19">
        <v>66</v>
      </c>
      <c r="AH249" s="19">
        <f t="shared" ref="AH249:AK249" si="313">AH162</f>
        <v>8.4221711034993232E-5</v>
      </c>
      <c r="AI249" s="19">
        <f t="shared" si="313"/>
        <v>4.5844610964430378E-5</v>
      </c>
      <c r="AJ249" s="19">
        <f t="shared" si="313"/>
        <v>917.77800000000002</v>
      </c>
      <c r="AK249" s="19">
        <f t="shared" si="313"/>
        <v>889.88900000000001</v>
      </c>
    </row>
    <row r="250" spans="5:37">
      <c r="E250">
        <v>67</v>
      </c>
      <c r="F250" s="13"/>
      <c r="G250" s="13">
        <f t="shared" si="305"/>
        <v>0</v>
      </c>
      <c r="H250" s="13">
        <f t="shared" si="306"/>
        <v>196.20000000000002</v>
      </c>
      <c r="I250" s="13">
        <f t="shared" si="307"/>
        <v>250000</v>
      </c>
      <c r="J250" s="13">
        <f t="shared" si="290"/>
        <v>893.88300000000004</v>
      </c>
      <c r="K250" s="5">
        <f t="shared" si="291"/>
        <v>920.83199999999999</v>
      </c>
      <c r="L250" s="21">
        <f t="shared" si="292"/>
        <v>223470.75</v>
      </c>
      <c r="M250">
        <f t="shared" si="293"/>
        <v>230208</v>
      </c>
      <c r="N250">
        <f t="shared" si="308"/>
        <v>0.57049196021999993</v>
      </c>
      <c r="O250">
        <f t="shared" si="309"/>
        <v>0.99177819672150902</v>
      </c>
      <c r="P250">
        <f t="shared" si="239"/>
        <v>5.6580148755111038E-4</v>
      </c>
      <c r="Q250">
        <f t="shared" si="240"/>
        <v>0.99121239523395788</v>
      </c>
      <c r="R250">
        <f t="shared" si="310"/>
        <v>227558.05245766827</v>
      </c>
      <c r="S250">
        <f t="shared" si="311"/>
        <v>2479.4454918037727</v>
      </c>
      <c r="T250">
        <f t="shared" si="294"/>
        <v>228185.02308201898</v>
      </c>
      <c r="U250" s="22">
        <f t="shared" si="288"/>
        <v>2478.0309880848945</v>
      </c>
      <c r="V250" s="1">
        <f t="shared" si="295"/>
        <v>0</v>
      </c>
      <c r="W250" s="1">
        <f t="shared" si="296"/>
        <v>0</v>
      </c>
      <c r="X250" s="1">
        <f t="shared" si="297"/>
        <v>-194.58688219676009</v>
      </c>
      <c r="Y250" s="1">
        <f t="shared" si="312"/>
        <v>-141.45037188777761</v>
      </c>
      <c r="Z250" s="1">
        <f t="shared" si="298"/>
        <v>-336.03725408453772</v>
      </c>
      <c r="AA250" s="1">
        <f t="shared" si="299"/>
        <v>-626.97062435070984</v>
      </c>
      <c r="AB250" s="1">
        <f t="shared" si="300"/>
        <v>12652.062387220964</v>
      </c>
      <c r="AC250" s="1">
        <f t="shared" si="301"/>
        <v>11689.054508785715</v>
      </c>
      <c r="AD250" s="1">
        <f t="shared" si="302"/>
        <v>1.4145037188782226</v>
      </c>
      <c r="AE250">
        <f t="shared" si="303"/>
        <v>11690.469012504593</v>
      </c>
      <c r="AG250" s="19">
        <v>67</v>
      </c>
      <c r="AH250" s="19">
        <f t="shared" ref="AH250:AK250" si="314">AH163</f>
        <v>3.8377100070562854E-5</v>
      </c>
      <c r="AI250" s="19">
        <f t="shared" si="314"/>
        <v>2.1893827046814499E-5</v>
      </c>
      <c r="AJ250" s="19">
        <f t="shared" si="314"/>
        <v>920.83199999999999</v>
      </c>
      <c r="AK250" s="19">
        <f t="shared" si="314"/>
        <v>893.88300000000004</v>
      </c>
    </row>
    <row r="251" spans="5:37">
      <c r="E251">
        <v>68</v>
      </c>
      <c r="F251" s="13"/>
      <c r="G251" s="13">
        <f t="shared" si="305"/>
        <v>0</v>
      </c>
      <c r="H251" s="13">
        <f t="shared" si="306"/>
        <v>196.20000000000002</v>
      </c>
      <c r="I251" s="13">
        <f t="shared" si="307"/>
        <v>250000</v>
      </c>
      <c r="J251" s="13">
        <f t="shared" si="290"/>
        <v>897.53399999999999</v>
      </c>
      <c r="K251" s="5">
        <f t="shared" si="291"/>
        <v>923.59900000000005</v>
      </c>
      <c r="L251" s="21">
        <f t="shared" si="292"/>
        <v>224383.5</v>
      </c>
      <c r="M251">
        <f t="shared" si="293"/>
        <v>230899.75</v>
      </c>
      <c r="N251">
        <f t="shared" si="308"/>
        <v>0.59650936254000009</v>
      </c>
      <c r="O251">
        <f t="shared" si="309"/>
        <v>0.99121239523395788</v>
      </c>
      <c r="P251">
        <f t="shared" si="239"/>
        <v>5.9126747402275478E-4</v>
      </c>
      <c r="Q251">
        <f t="shared" si="240"/>
        <v>0.99062112775993516</v>
      </c>
      <c r="R251">
        <f t="shared" si="310"/>
        <v>228185.02308201898</v>
      </c>
      <c r="S251">
        <f t="shared" si="311"/>
        <v>2478.0309880848945</v>
      </c>
      <c r="T251">
        <f t="shared" si="294"/>
        <v>228734.17074448708</v>
      </c>
      <c r="U251" s="22">
        <f t="shared" si="288"/>
        <v>2476.552819399838</v>
      </c>
      <c r="V251" s="1">
        <f t="shared" si="295"/>
        <v>0</v>
      </c>
      <c r="W251" s="1">
        <f t="shared" si="296"/>
        <v>0</v>
      </c>
      <c r="X251" s="1">
        <f t="shared" si="297"/>
        <v>-194.47587194490256</v>
      </c>
      <c r="Y251" s="1">
        <f t="shared" si="312"/>
        <v>-147.81686850568869</v>
      </c>
      <c r="Z251" s="1">
        <f t="shared" si="298"/>
        <v>-342.29274045059128</v>
      </c>
      <c r="AA251" s="1">
        <f t="shared" si="299"/>
        <v>-549.14766246810905</v>
      </c>
      <c r="AB251" s="1">
        <f t="shared" si="300"/>
        <v>12686.467973855712</v>
      </c>
      <c r="AC251" s="1">
        <f t="shared" si="301"/>
        <v>11795.027570937011</v>
      </c>
      <c r="AD251" s="1">
        <f t="shared" si="302"/>
        <v>1.4781686850565166</v>
      </c>
      <c r="AE251">
        <f t="shared" si="303"/>
        <v>11796.505739622067</v>
      </c>
      <c r="AG251" s="19">
        <v>68</v>
      </c>
      <c r="AH251" s="19">
        <f t="shared" ref="AH251:AK251" si="315">AH164</f>
        <v>1.6483273023748356E-5</v>
      </c>
      <c r="AI251" s="19">
        <f t="shared" si="315"/>
        <v>9.8324266839689121E-6</v>
      </c>
      <c r="AJ251" s="19">
        <f t="shared" si="315"/>
        <v>923.59900000000005</v>
      </c>
      <c r="AK251" s="19">
        <f t="shared" si="315"/>
        <v>897.53399999999999</v>
      </c>
    </row>
    <row r="252" spans="5:37">
      <c r="E252">
        <v>69</v>
      </c>
      <c r="F252" s="13"/>
      <c r="G252" s="13">
        <f t="shared" si="305"/>
        <v>0</v>
      </c>
      <c r="H252" s="13">
        <f t="shared" si="306"/>
        <v>196.20000000000002</v>
      </c>
      <c r="I252" s="13">
        <f t="shared" si="307"/>
        <v>250000</v>
      </c>
      <c r="J252" s="13">
        <f t="shared" si="290"/>
        <v>900.77</v>
      </c>
      <c r="K252" s="5">
        <f t="shared" si="291"/>
        <v>925.99</v>
      </c>
      <c r="L252" s="21">
        <f t="shared" si="292"/>
        <v>225192.5</v>
      </c>
      <c r="M252">
        <f t="shared" si="293"/>
        <v>231497.5</v>
      </c>
      <c r="N252">
        <f t="shared" si="308"/>
        <v>0.62235240886000009</v>
      </c>
      <c r="O252">
        <f t="shared" si="309"/>
        <v>0.99062112775993516</v>
      </c>
      <c r="P252">
        <f t="shared" si="239"/>
        <v>6.1651544512900558E-4</v>
      </c>
      <c r="Q252">
        <f t="shared" si="240"/>
        <v>0.99000461231480619</v>
      </c>
      <c r="R252">
        <f t="shared" si="310"/>
        <v>228734.17074448708</v>
      </c>
      <c r="S252">
        <f t="shared" si="311"/>
        <v>2476.552819399838</v>
      </c>
      <c r="T252">
        <f t="shared" si="294"/>
        <v>229183.59273934684</v>
      </c>
      <c r="U252" s="22">
        <f t="shared" si="288"/>
        <v>2475.0115307870155</v>
      </c>
      <c r="V252" s="1">
        <f t="shared" si="295"/>
        <v>0</v>
      </c>
      <c r="W252" s="1">
        <f t="shared" si="296"/>
        <v>0</v>
      </c>
      <c r="X252" s="1">
        <f t="shared" si="297"/>
        <v>-194.3598652664993</v>
      </c>
      <c r="Y252" s="1">
        <f t="shared" si="312"/>
        <v>-154.12886128225139</v>
      </c>
      <c r="Z252" s="1">
        <f t="shared" si="298"/>
        <v>-348.48872654875072</v>
      </c>
      <c r="AA252" s="1">
        <f t="shared" si="299"/>
        <v>-449.42199485976016</v>
      </c>
      <c r="AB252" s="1">
        <f t="shared" si="300"/>
        <v>12716.589796013781</v>
      </c>
      <c r="AC252" s="1">
        <f t="shared" si="301"/>
        <v>11918.67907460527</v>
      </c>
      <c r="AD252" s="1">
        <f t="shared" si="302"/>
        <v>1.5412886128224272</v>
      </c>
      <c r="AE252">
        <f t="shared" si="303"/>
        <v>11920.220363218094</v>
      </c>
      <c r="AG252" s="19">
        <v>69</v>
      </c>
      <c r="AH252" s="19">
        <f t="shared" ref="AH252:AK252" si="316">AH165</f>
        <v>6.6508463397794435E-6</v>
      </c>
      <c r="AI252" s="19">
        <f t="shared" si="316"/>
        <v>4.1391702405194512E-6</v>
      </c>
      <c r="AJ252" s="19">
        <f t="shared" si="316"/>
        <v>925.99</v>
      </c>
      <c r="AK252" s="19">
        <f t="shared" si="316"/>
        <v>900.77</v>
      </c>
    </row>
    <row r="253" spans="5:37">
      <c r="E253">
        <v>70</v>
      </c>
      <c r="F253" s="13"/>
      <c r="G253" s="13">
        <f t="shared" si="305"/>
        <v>0</v>
      </c>
      <c r="H253" s="13">
        <f t="shared" si="306"/>
        <v>196.20000000000002</v>
      </c>
      <c r="I253" s="13">
        <f t="shared" si="307"/>
        <v>250000</v>
      </c>
      <c r="J253" s="13">
        <f t="shared" si="290"/>
        <v>903.28700000000003</v>
      </c>
      <c r="K253" s="5">
        <f t="shared" si="291"/>
        <v>927.66499999999996</v>
      </c>
      <c r="L253" s="21">
        <f t="shared" si="292"/>
        <v>225821.75</v>
      </c>
      <c r="M253">
        <f t="shared" si="293"/>
        <v>231916.25</v>
      </c>
      <c r="N253">
        <f t="shared" si="308"/>
        <v>0.64798884332000006</v>
      </c>
      <c r="O253">
        <f t="shared" si="309"/>
        <v>0.99000461231480619</v>
      </c>
      <c r="P253">
        <f t="shared" si="239"/>
        <v>6.4151194361533636E-4</v>
      </c>
      <c r="Q253">
        <f t="shared" si="240"/>
        <v>0.9893631003711908</v>
      </c>
      <c r="R253">
        <f t="shared" si="310"/>
        <v>229183.59273934684</v>
      </c>
      <c r="S253">
        <f t="shared" si="311"/>
        <v>2475.0115307870155</v>
      </c>
      <c r="T253">
        <f t="shared" si="294"/>
        <v>229449.38012646016</v>
      </c>
      <c r="U253" s="22">
        <f t="shared" si="288"/>
        <v>2473.4077509279768</v>
      </c>
      <c r="V253" s="1">
        <f t="shared" si="295"/>
        <v>0</v>
      </c>
      <c r="W253" s="1">
        <f t="shared" si="296"/>
        <v>0</v>
      </c>
      <c r="X253" s="1">
        <f t="shared" si="297"/>
        <v>-194.238904936165</v>
      </c>
      <c r="Y253" s="1">
        <f t="shared" si="312"/>
        <v>-160.37798590383409</v>
      </c>
      <c r="Z253" s="1">
        <f t="shared" si="298"/>
        <v>-354.61689083999909</v>
      </c>
      <c r="AA253" s="1">
        <f t="shared" si="299"/>
        <v>-265.78738711331971</v>
      </c>
      <c r="AB253" s="1">
        <f t="shared" si="300"/>
        <v>12741.223234857362</v>
      </c>
      <c r="AC253" s="1">
        <f t="shared" si="301"/>
        <v>12120.818956904042</v>
      </c>
      <c r="AD253" s="1">
        <f t="shared" si="302"/>
        <v>1.6037798590386956</v>
      </c>
      <c r="AE253">
        <f t="shared" si="303"/>
        <v>12122.422736763081</v>
      </c>
      <c r="AG253" s="19">
        <v>70</v>
      </c>
      <c r="AH253" s="19">
        <f t="shared" ref="AH253:AK253" si="317">AH166</f>
        <v>2.5116760992599924E-6</v>
      </c>
      <c r="AI253" s="19">
        <f t="shared" si="317"/>
        <v>1.6275380903539721E-6</v>
      </c>
      <c r="AJ253" s="19">
        <f t="shared" si="317"/>
        <v>927.66499999999996</v>
      </c>
      <c r="AK253" s="19">
        <f t="shared" si="317"/>
        <v>903.28700000000003</v>
      </c>
    </row>
    <row r="254" spans="5:37">
      <c r="E254">
        <v>71</v>
      </c>
      <c r="F254" s="13"/>
      <c r="G254" s="13">
        <f t="shared" si="305"/>
        <v>0</v>
      </c>
      <c r="H254" s="13">
        <f t="shared" si="306"/>
        <v>196.20000000000002</v>
      </c>
      <c r="I254" s="13">
        <f t="shared" si="307"/>
        <v>250000</v>
      </c>
      <c r="J254" s="13">
        <f t="shared" si="290"/>
        <v>903.93499999999995</v>
      </c>
      <c r="K254" s="5">
        <f t="shared" si="291"/>
        <v>927.37199999999996</v>
      </c>
      <c r="L254" s="21">
        <f t="shared" si="292"/>
        <v>225983.75</v>
      </c>
      <c r="M254">
        <f t="shared" si="293"/>
        <v>231843</v>
      </c>
      <c r="N254">
        <f t="shared" si="308"/>
        <v>0.67338728183999996</v>
      </c>
      <c r="O254">
        <f t="shared" si="309"/>
        <v>0.9893631003711908</v>
      </c>
      <c r="P254">
        <f t="shared" si="239"/>
        <v>6.6622452891175118E-4</v>
      </c>
      <c r="Q254">
        <f t="shared" si="240"/>
        <v>0.98869687584227905</v>
      </c>
      <c r="R254">
        <f t="shared" si="310"/>
        <v>229449.38012646016</v>
      </c>
      <c r="S254">
        <f t="shared" si="311"/>
        <v>2473.4077509279768</v>
      </c>
      <c r="T254">
        <f t="shared" si="294"/>
        <v>229222.4497859015</v>
      </c>
      <c r="U254" s="22">
        <f t="shared" si="288"/>
        <v>2471.7421896056976</v>
      </c>
      <c r="V254" s="1">
        <f t="shared" si="295"/>
        <v>0</v>
      </c>
      <c r="W254" s="1">
        <f t="shared" si="296"/>
        <v>0</v>
      </c>
      <c r="X254" s="1">
        <f t="shared" si="297"/>
        <v>-194.11304029282766</v>
      </c>
      <c r="Y254" s="1">
        <f t="shared" si="312"/>
        <v>-166.55613222793781</v>
      </c>
      <c r="Z254" s="1">
        <f t="shared" si="298"/>
        <v>-360.66917252076547</v>
      </c>
      <c r="AA254" s="1">
        <f t="shared" si="299"/>
        <v>226.93034055866883</v>
      </c>
      <c r="AB254" s="1">
        <f t="shared" si="300"/>
        <v>12755.753333256349</v>
      </c>
      <c r="AC254" s="1">
        <f t="shared" si="301"/>
        <v>12622.014501294252</v>
      </c>
      <c r="AD254" s="1">
        <f t="shared" si="302"/>
        <v>1.6655613222792454</v>
      </c>
      <c r="AE254">
        <f t="shared" si="303"/>
        <v>12623.680062616531</v>
      </c>
      <c r="AG254" s="19">
        <v>71</v>
      </c>
      <c r="AH254" s="19">
        <f t="shared" ref="AH254:AK254" si="318">AH167</f>
        <v>8.8413800890602027E-7</v>
      </c>
      <c r="AI254" s="19">
        <f t="shared" si="318"/>
        <v>5.9536729058865463E-7</v>
      </c>
      <c r="AJ254" s="19">
        <f t="shared" si="318"/>
        <v>927.37199999999996</v>
      </c>
      <c r="AK254" s="19">
        <f t="shared" si="318"/>
        <v>903.93499999999995</v>
      </c>
    </row>
    <row r="255" spans="5:37">
      <c r="E255">
        <v>72</v>
      </c>
      <c r="F255" s="13"/>
      <c r="G255" s="13">
        <f t="shared" si="305"/>
        <v>0</v>
      </c>
      <c r="H255" s="13">
        <f t="shared" si="306"/>
        <v>196.20000000000002</v>
      </c>
      <c r="I255" s="13">
        <f t="shared" si="307"/>
        <v>250000</v>
      </c>
      <c r="J255" s="13">
        <f t="shared" si="290"/>
        <v>898.16</v>
      </c>
      <c r="K255" s="5">
        <f t="shared" si="291"/>
        <v>920.27300000000002</v>
      </c>
      <c r="L255" s="21">
        <f t="shared" si="292"/>
        <v>224540</v>
      </c>
      <c r="M255">
        <f t="shared" si="293"/>
        <v>230068.25</v>
      </c>
      <c r="N255">
        <f t="shared" si="308"/>
        <v>0.69865669691999999</v>
      </c>
      <c r="O255">
        <f t="shared" si="309"/>
        <v>0.98869687584227905</v>
      </c>
      <c r="P255">
        <f t="shared" si="239"/>
        <v>6.9075969353108997E-4</v>
      </c>
      <c r="Q255">
        <f t="shared" si="240"/>
        <v>0.988006116148748</v>
      </c>
      <c r="R255">
        <f t="shared" si="310"/>
        <v>229222.4497859015</v>
      </c>
      <c r="S255">
        <f t="shared" si="311"/>
        <v>2471.7421896056976</v>
      </c>
      <c r="T255">
        <f t="shared" si="294"/>
        <v>227308.8381316392</v>
      </c>
      <c r="U255" s="22">
        <f t="shared" si="288"/>
        <v>2470.0152903718699</v>
      </c>
      <c r="V255" s="1">
        <f t="shared" si="295"/>
        <v>0</v>
      </c>
      <c r="W255" s="1">
        <f t="shared" si="296"/>
        <v>0</v>
      </c>
      <c r="X255" s="1">
        <f t="shared" si="297"/>
        <v>-193.98232704025517</v>
      </c>
      <c r="Y255" s="1">
        <f t="shared" si="312"/>
        <v>-172.68992338277249</v>
      </c>
      <c r="Z255" s="1">
        <f t="shared" si="298"/>
        <v>-366.67225042302766</v>
      </c>
      <c r="AA255" s="1">
        <f t="shared" si="299"/>
        <v>1913.6116542622913</v>
      </c>
      <c r="AB255" s="1">
        <f t="shared" si="300"/>
        <v>12743.180558652895</v>
      </c>
      <c r="AC255" s="1">
        <f t="shared" si="301"/>
        <v>14290.119962492159</v>
      </c>
      <c r="AD255" s="1">
        <f t="shared" si="302"/>
        <v>1.7268992338276803</v>
      </c>
      <c r="AE255">
        <f t="shared" si="303"/>
        <v>14291.846861725986</v>
      </c>
      <c r="AG255" s="19">
        <v>72</v>
      </c>
      <c r="AH255" s="19">
        <f t="shared" ref="AH255:AK255" si="319">AH168</f>
        <v>2.8877071831736564E-7</v>
      </c>
      <c r="AI255" s="19">
        <f t="shared" si="319"/>
        <v>2.0175159622682641E-7</v>
      </c>
      <c r="AJ255" s="19">
        <f t="shared" si="319"/>
        <v>920.27300000000002</v>
      </c>
      <c r="AK255" s="19">
        <f t="shared" si="319"/>
        <v>898.16</v>
      </c>
    </row>
    <row r="256" spans="5:37">
      <c r="E256">
        <v>73</v>
      </c>
      <c r="F256" s="13"/>
      <c r="G256" s="13">
        <f t="shared" si="305"/>
        <v>0</v>
      </c>
      <c r="H256" s="13">
        <f t="shared" si="306"/>
        <v>196.20000000000002</v>
      </c>
      <c r="I256" s="13">
        <f t="shared" si="307"/>
        <v>250000</v>
      </c>
      <c r="J256" s="13">
        <f t="shared" si="290"/>
        <v>866.66399999999999</v>
      </c>
      <c r="K256" s="5">
        <f t="shared" si="291"/>
        <v>886.23199999999997</v>
      </c>
      <c r="L256" s="21">
        <f t="shared" si="292"/>
        <v>216666</v>
      </c>
      <c r="M256">
        <f t="shared" si="293"/>
        <v>221558</v>
      </c>
      <c r="N256">
        <f t="shared" si="308"/>
        <v>0.72392524022000004</v>
      </c>
      <c r="O256">
        <f t="shared" si="309"/>
        <v>0.988006116148748</v>
      </c>
      <c r="P256">
        <f t="shared" si="239"/>
        <v>7.1524256497181168E-4</v>
      </c>
      <c r="Q256">
        <f t="shared" si="240"/>
        <v>0.98729087358377621</v>
      </c>
      <c r="R256">
        <f t="shared" si="310"/>
        <v>227308.8381316392</v>
      </c>
      <c r="S256">
        <f t="shared" si="311"/>
        <v>2470.0152903718699</v>
      </c>
      <c r="T256">
        <f t="shared" si="294"/>
        <v>218742.19136947428</v>
      </c>
      <c r="U256" s="22">
        <f t="shared" si="288"/>
        <v>2468.2271839594405</v>
      </c>
      <c r="V256" s="1">
        <f t="shared" si="295"/>
        <v>0</v>
      </c>
      <c r="W256" s="1">
        <f t="shared" si="296"/>
        <v>0</v>
      </c>
      <c r="X256" s="1">
        <f t="shared" si="297"/>
        <v>-193.84679998838436</v>
      </c>
      <c r="Y256" s="1">
        <f t="shared" si="312"/>
        <v>-178.81064124295293</v>
      </c>
      <c r="Z256" s="1">
        <f t="shared" si="298"/>
        <v>-372.65744123133732</v>
      </c>
      <c r="AA256" s="1">
        <f t="shared" si="299"/>
        <v>8566.6467621649208</v>
      </c>
      <c r="AB256" s="1">
        <f t="shared" si="300"/>
        <v>12637.836938210608</v>
      </c>
      <c r="AC256" s="1">
        <f t="shared" si="301"/>
        <v>20831.826259144193</v>
      </c>
      <c r="AD256" s="1">
        <f t="shared" si="302"/>
        <v>1.7881064124294426</v>
      </c>
      <c r="AE256">
        <f t="shared" si="303"/>
        <v>20833.614365556623</v>
      </c>
      <c r="AG256" s="19">
        <v>73</v>
      </c>
      <c r="AH256" s="19">
        <f t="shared" ref="AH256:AK256" si="320">AH169</f>
        <v>8.7019122090539232E-8</v>
      </c>
      <c r="AI256" s="19">
        <f t="shared" si="320"/>
        <v>6.2995338863127127E-8</v>
      </c>
      <c r="AJ256" s="19">
        <f t="shared" si="320"/>
        <v>886.23199999999997</v>
      </c>
      <c r="AK256" s="19">
        <f t="shared" si="320"/>
        <v>866.66399999999999</v>
      </c>
    </row>
    <row r="257" spans="1:37">
      <c r="E257">
        <v>74</v>
      </c>
      <c r="F257" s="13"/>
      <c r="G257" s="13">
        <f t="shared" si="305"/>
        <v>0</v>
      </c>
      <c r="H257" s="13">
        <f t="shared" si="306"/>
        <v>196.20000000000002</v>
      </c>
      <c r="I257" s="13">
        <f t="shared" si="307"/>
        <v>250000</v>
      </c>
      <c r="J257" s="13">
        <f t="shared" si="290"/>
        <v>710.20299999999997</v>
      </c>
      <c r="K257" s="5">
        <f t="shared" si="291"/>
        <v>733.61199999999997</v>
      </c>
      <c r="L257" s="21">
        <f t="shared" si="292"/>
        <v>177550.75</v>
      </c>
      <c r="M257">
        <f t="shared" si="293"/>
        <v>183403</v>
      </c>
      <c r="N257">
        <f t="shared" si="308"/>
        <v>0.74919465529999996</v>
      </c>
      <c r="O257">
        <f t="shared" si="309"/>
        <v>0.98729087358377621</v>
      </c>
      <c r="P257">
        <f t="shared" si="239"/>
        <v>7.39673045715433E-4</v>
      </c>
      <c r="Q257">
        <f t="shared" si="240"/>
        <v>0.98655120053806078</v>
      </c>
      <c r="R257">
        <f t="shared" si="310"/>
        <v>218742.19136947428</v>
      </c>
      <c r="S257">
        <f t="shared" si="311"/>
        <v>2468.2271839594405</v>
      </c>
      <c r="T257">
        <f t="shared" si="294"/>
        <v>180936.44983228197</v>
      </c>
      <c r="U257" s="22">
        <f t="shared" si="288"/>
        <v>2466.3780013451519</v>
      </c>
      <c r="V257" s="1">
        <f t="shared" si="295"/>
        <v>0</v>
      </c>
      <c r="W257" s="1">
        <f t="shared" si="296"/>
        <v>0</v>
      </c>
      <c r="X257" s="1">
        <f t="shared" si="297"/>
        <v>-193.70646939713691</v>
      </c>
      <c r="Y257" s="1">
        <f t="shared" si="312"/>
        <v>-184.91826142885824</v>
      </c>
      <c r="Z257" s="1">
        <f t="shared" si="298"/>
        <v>-378.62473082599513</v>
      </c>
      <c r="AA257" s="1">
        <f t="shared" si="299"/>
        <v>37805.741537192313</v>
      </c>
      <c r="AB257" s="1">
        <f t="shared" si="300"/>
        <v>12166.573020438855</v>
      </c>
      <c r="AC257" s="1">
        <f t="shared" si="301"/>
        <v>49593.689826805174</v>
      </c>
      <c r="AD257" s="1">
        <f t="shared" si="302"/>
        <v>1.8491826142885657</v>
      </c>
      <c r="AE257">
        <f t="shared" si="303"/>
        <v>49595.539009419459</v>
      </c>
      <c r="AG257" s="19">
        <v>74</v>
      </c>
      <c r="AH257" s="19">
        <f t="shared" ref="AH257:AK257" si="321">AH170</f>
        <v>2.4023783227412105E-8</v>
      </c>
      <c r="AI257" s="19">
        <f t="shared" si="321"/>
        <v>1.7998489994062932E-8</v>
      </c>
      <c r="AJ257" s="19">
        <f t="shared" si="321"/>
        <v>733.61199999999997</v>
      </c>
      <c r="AK257" s="19">
        <f t="shared" si="321"/>
        <v>710.20299999999997</v>
      </c>
    </row>
    <row r="258" spans="1:37">
      <c r="E258">
        <v>75</v>
      </c>
      <c r="F258" s="13"/>
      <c r="G258" s="13">
        <f t="shared" si="305"/>
        <v>0</v>
      </c>
      <c r="H258" s="13">
        <f t="shared" si="306"/>
        <v>196.20000000000002</v>
      </c>
      <c r="I258" s="13">
        <f t="shared" si="307"/>
        <v>250000</v>
      </c>
      <c r="J258" s="13">
        <f t="shared" si="290"/>
        <v>0</v>
      </c>
      <c r="K258" s="5">
        <f t="shared" si="291"/>
        <v>0</v>
      </c>
      <c r="L258" s="21">
        <f t="shared" si="292"/>
        <v>0</v>
      </c>
      <c r="M258">
        <f t="shared" si="293"/>
        <v>0</v>
      </c>
      <c r="N258">
        <f t="shared" si="308"/>
        <v>0.77446407037999998</v>
      </c>
      <c r="O258">
        <f t="shared" si="309"/>
        <v>0.98655120053806078</v>
      </c>
      <c r="P258">
        <f t="shared" si="239"/>
        <v>7.6404845840698221E-4</v>
      </c>
      <c r="Q258">
        <f t="shared" si="240"/>
        <v>0.98578715207965384</v>
      </c>
      <c r="R258">
        <f t="shared" si="310"/>
        <v>180936.44983228197</v>
      </c>
      <c r="S258">
        <f t="shared" si="311"/>
        <v>2466.3780013451519</v>
      </c>
      <c r="T258">
        <f t="shared" si="294"/>
        <v>0</v>
      </c>
      <c r="U258" s="22">
        <f t="shared" si="288"/>
        <v>2464.4678801991345</v>
      </c>
      <c r="V258" s="1">
        <f t="shared" si="295"/>
        <v>0</v>
      </c>
      <c r="W258" s="1">
        <f t="shared" si="296"/>
        <v>0</v>
      </c>
      <c r="X258" s="1">
        <f t="shared" si="297"/>
        <v>-193.56134554556755</v>
      </c>
      <c r="Y258" s="1">
        <f t="shared" si="312"/>
        <v>-191.01211460174557</v>
      </c>
      <c r="Z258" s="1">
        <f t="shared" si="298"/>
        <v>-384.57346014731309</v>
      </c>
      <c r="AA258" s="1">
        <f t="shared" si="299"/>
        <v>180936.44983228197</v>
      </c>
      <c r="AB258" s="1">
        <f t="shared" si="300"/>
        <v>10087.155530849492</v>
      </c>
      <c r="AC258" s="1">
        <f t="shared" si="301"/>
        <v>190639.03190298416</v>
      </c>
      <c r="AD258" s="1">
        <f t="shared" si="302"/>
        <v>1.9101211460174454</v>
      </c>
      <c r="AE258">
        <f t="shared" si="303"/>
        <v>190640.94202413017</v>
      </c>
      <c r="AG258" s="19">
        <v>75</v>
      </c>
      <c r="AH258" s="19">
        <f t="shared" ref="AH258:AK258" si="322">AH171</f>
        <v>6.0252932333491729E-9</v>
      </c>
      <c r="AI258" s="19">
        <f t="shared" si="322"/>
        <v>4.6663731227326711E-9</v>
      </c>
      <c r="AJ258" s="19">
        <f t="shared" si="322"/>
        <v>0</v>
      </c>
      <c r="AK258" s="19">
        <f t="shared" si="322"/>
        <v>0</v>
      </c>
    </row>
    <row r="259" spans="1:37">
      <c r="F259" s="13"/>
      <c r="G259" s="13"/>
      <c r="H259" s="13"/>
      <c r="I259" s="13"/>
      <c r="J259" s="13"/>
      <c r="AG259" s="19"/>
    </row>
    <row r="260" spans="1:37">
      <c r="T260" s="19"/>
      <c r="AG260" s="19"/>
      <c r="AH260" s="19"/>
      <c r="AI260" s="19"/>
      <c r="AJ260" s="19"/>
      <c r="AK260" s="19"/>
    </row>
    <row r="261" spans="1:37">
      <c r="T261" s="19"/>
      <c r="U261" s="19" t="s">
        <v>116</v>
      </c>
      <c r="V261" s="19">
        <f>SUM(V183:V258)</f>
        <v>24194.190074203769</v>
      </c>
      <c r="W261" s="19">
        <f t="shared" ref="W261:AE261" si="323">SUM(W183:W258)</f>
        <v>-2419.4190074203771</v>
      </c>
      <c r="X261" s="19">
        <f t="shared" si="323"/>
        <v>-14751.482796915769</v>
      </c>
      <c r="Y261" s="19">
        <f t="shared" si="323"/>
        <v>-3553.2119800865416</v>
      </c>
      <c r="Z261" s="19">
        <f t="shared" si="323"/>
        <v>3470.0762897810764</v>
      </c>
      <c r="AA261" s="19">
        <f t="shared" si="323"/>
        <v>0</v>
      </c>
      <c r="AB261" s="19">
        <f t="shared" si="323"/>
        <v>605721.73303861404</v>
      </c>
      <c r="AC261" s="19">
        <f t="shared" si="323"/>
        <v>609191.80932839494</v>
      </c>
      <c r="AD261" s="19">
        <f t="shared" si="323"/>
        <v>-2464.4678801991345</v>
      </c>
      <c r="AE261" s="19">
        <f t="shared" si="323"/>
        <v>606727.34144819586</v>
      </c>
      <c r="AF261" s="19"/>
      <c r="AG261" s="19"/>
      <c r="AH261" s="19"/>
      <c r="AI261" s="19"/>
      <c r="AJ261" s="19"/>
      <c r="AK261" s="19"/>
    </row>
    <row r="262" spans="1:37">
      <c r="T262" s="19"/>
      <c r="U262" t="str">
        <f>"PV at "&amp;$B$12</f>
        <v>PV at 0.055</v>
      </c>
      <c r="V262">
        <f>V183+NPV($B$12,V184:V258)</f>
        <v>24194.190074203769</v>
      </c>
      <c r="W262">
        <f t="shared" ref="W262:AE262" si="324">W183+NPV($B$12,W184:W258)</f>
        <v>-2419.4190074203771</v>
      </c>
      <c r="X262">
        <f t="shared" si="324"/>
        <v>-3585.2093046726905</v>
      </c>
      <c r="Y262">
        <f t="shared" si="324"/>
        <v>-166.64558853477695</v>
      </c>
      <c r="Z262">
        <f t="shared" si="324"/>
        <v>18022.916173575923</v>
      </c>
      <c r="AA262">
        <f t="shared" si="324"/>
        <v>-70682.591697407377</v>
      </c>
      <c r="AB262">
        <f t="shared" si="324"/>
        <v>73136.483743482342</v>
      </c>
      <c r="AC262">
        <f t="shared" si="324"/>
        <v>20476.808219650844</v>
      </c>
      <c r="AD262">
        <f t="shared" si="324"/>
        <v>-2498.3335441146523</v>
      </c>
      <c r="AE262">
        <f t="shared" si="324"/>
        <v>17978.474675536207</v>
      </c>
      <c r="AH262" s="19"/>
      <c r="AI262" s="19"/>
      <c r="AJ262" s="19"/>
      <c r="AK262" s="19"/>
    </row>
    <row r="263" spans="1:37">
      <c r="T263" s="19"/>
      <c r="U263" t="str">
        <f>"PV at "&amp;$B$13</f>
        <v>PV at 0.12</v>
      </c>
      <c r="V263" s="19">
        <f>V183+NPV($B$13,V184:V258)</f>
        <v>24194.190074203769</v>
      </c>
      <c r="W263" s="19">
        <f t="shared" ref="W263:AE263" si="325">W183+NPV($B$13,W184:W258)</f>
        <v>-2419.4190074203771</v>
      </c>
      <c r="X263" s="19">
        <f t="shared" si="325"/>
        <v>-1729.0974301343726</v>
      </c>
      <c r="Y263" s="19">
        <f t="shared" si="325"/>
        <v>-14.669955904011353</v>
      </c>
      <c r="Z263" s="19">
        <f t="shared" si="325"/>
        <v>20031.003680745009</v>
      </c>
      <c r="AA263" s="19">
        <f t="shared" si="325"/>
        <v>-38652.122997118568</v>
      </c>
      <c r="AB263" s="19">
        <f t="shared" si="325"/>
        <v>18861.092562338381</v>
      </c>
      <c r="AC263" s="19">
        <f t="shared" si="325"/>
        <v>239.97324596480939</v>
      </c>
      <c r="AD263" s="19">
        <f t="shared" si="325"/>
        <v>-2499.8533004409601</v>
      </c>
      <c r="AE263" s="19">
        <f t="shared" si="325"/>
        <v>-2259.8800544761507</v>
      </c>
      <c r="AF263" s="19"/>
      <c r="AG263" s="19"/>
      <c r="AH263" s="19"/>
      <c r="AI263" s="19"/>
      <c r="AJ263" s="19"/>
      <c r="AK263" s="19"/>
    </row>
    <row r="264" spans="1:37">
      <c r="T264" s="19"/>
      <c r="AG264" s="19"/>
      <c r="AH264" s="19"/>
      <c r="AI264" s="19"/>
      <c r="AJ264" s="19"/>
      <c r="AK264" s="19"/>
    </row>
    <row r="265" spans="1:37">
      <c r="U265" t="s">
        <v>117</v>
      </c>
      <c r="V265">
        <f>AC263</f>
        <v>239.97324596480939</v>
      </c>
      <c r="AG265" s="19"/>
      <c r="AH265" s="19"/>
      <c r="AI265" s="19"/>
      <c r="AJ265" s="19"/>
      <c r="AK265" s="19"/>
    </row>
    <row r="266" spans="1:37">
      <c r="U266" t="s">
        <v>118</v>
      </c>
      <c r="V266">
        <f>AE263</f>
        <v>-2259.8800544761507</v>
      </c>
      <c r="AG266" s="19"/>
      <c r="AH266" s="19"/>
      <c r="AI266" s="19"/>
      <c r="AJ266" s="19"/>
      <c r="AK266" s="19"/>
    </row>
    <row r="267" spans="1:37">
      <c r="AH267" s="19"/>
      <c r="AI267" s="19"/>
      <c r="AJ267" s="19"/>
      <c r="AK267" s="19"/>
    </row>
    <row r="268" spans="1:37">
      <c r="A268" s="4" t="str">
        <f>"Base Assumptions for "&amp;B271&amp;" Death benefit (M,NS,44,Moderate)"</f>
        <v>Base Assumptions for 500000 Death benefit (M,NS,44,Moderate)</v>
      </c>
      <c r="E268" s="8" t="s">
        <v>61</v>
      </c>
      <c r="F268" s="8"/>
      <c r="G268" s="8"/>
      <c r="H268" s="8"/>
      <c r="I268" s="8"/>
      <c r="J268" s="8"/>
      <c r="K268" s="8"/>
      <c r="L268" s="8"/>
      <c r="M268" s="8"/>
      <c r="N268" s="9" t="s">
        <v>62</v>
      </c>
      <c r="O268" s="9"/>
      <c r="P268" s="9"/>
      <c r="Q268" s="9"/>
      <c r="R268" s="10" t="s">
        <v>63</v>
      </c>
      <c r="S268" s="10"/>
      <c r="T268" s="10"/>
      <c r="U268" s="11"/>
      <c r="V268" s="48" t="s">
        <v>64</v>
      </c>
      <c r="W268" s="48" t="s">
        <v>65</v>
      </c>
      <c r="X268" s="48" t="s">
        <v>66</v>
      </c>
      <c r="Y268" s="48" t="s">
        <v>121</v>
      </c>
      <c r="Z268" s="48"/>
      <c r="AA268" s="48" t="s">
        <v>68</v>
      </c>
      <c r="AB268" s="48" t="s">
        <v>69</v>
      </c>
      <c r="AC268" s="48" t="s">
        <v>70</v>
      </c>
      <c r="AD268" s="48" t="s">
        <v>71</v>
      </c>
      <c r="AE268" s="48" t="s">
        <v>72</v>
      </c>
      <c r="AH268" s="19"/>
      <c r="AI268" s="19"/>
      <c r="AJ268" s="19"/>
      <c r="AK268" s="19"/>
    </row>
    <row r="269" spans="1:37" ht="42.95">
      <c r="E269" t="s">
        <v>73</v>
      </c>
      <c r="F269" s="19" t="s">
        <v>60</v>
      </c>
      <c r="G269" s="19" t="s">
        <v>74</v>
      </c>
      <c r="H269" s="19" t="s">
        <v>46</v>
      </c>
      <c r="I269" s="1" t="s">
        <v>75</v>
      </c>
      <c r="J269" s="1" t="s">
        <v>122</v>
      </c>
      <c r="K269" s="1" t="s">
        <v>76</v>
      </c>
      <c r="L269" s="1" t="s">
        <v>123</v>
      </c>
      <c r="M269" s="1" t="s">
        <v>77</v>
      </c>
      <c r="N269" s="1" t="s">
        <v>79</v>
      </c>
      <c r="O269" s="1" t="s">
        <v>81</v>
      </c>
      <c r="P269" s="1" t="s">
        <v>82</v>
      </c>
      <c r="Q269" s="1" t="s">
        <v>84</v>
      </c>
      <c r="R269" s="1" t="s">
        <v>85</v>
      </c>
      <c r="S269" s="1" t="s">
        <v>86</v>
      </c>
      <c r="T269" s="1" t="s">
        <v>87</v>
      </c>
      <c r="U269" s="1" t="s">
        <v>88</v>
      </c>
      <c r="V269" s="1" t="s">
        <v>89</v>
      </c>
      <c r="W269" s="1" t="s">
        <v>90</v>
      </c>
      <c r="X269" s="1" t="s">
        <v>91</v>
      </c>
      <c r="Y269" s="1" t="s">
        <v>124</v>
      </c>
      <c r="Z269" s="1" t="s">
        <v>93</v>
      </c>
      <c r="AA269" s="1" t="s">
        <v>94</v>
      </c>
      <c r="AB269" s="1" t="s">
        <v>95</v>
      </c>
      <c r="AC269" s="1" t="s">
        <v>44</v>
      </c>
      <c r="AD269" s="1" t="s">
        <v>96</v>
      </c>
      <c r="AE269" s="1" t="s">
        <v>97</v>
      </c>
      <c r="AG269" s="19" t="s">
        <v>73</v>
      </c>
      <c r="AH269" s="19" t="s">
        <v>125</v>
      </c>
      <c r="AI269" s="19" t="s">
        <v>82</v>
      </c>
      <c r="AJ269" s="19" t="s">
        <v>77</v>
      </c>
      <c r="AK269" s="19" t="s">
        <v>126</v>
      </c>
    </row>
    <row r="270" spans="1:37">
      <c r="A270" t="s">
        <v>60</v>
      </c>
      <c r="B270" s="12">
        <v>46467.188562932111</v>
      </c>
      <c r="E270">
        <v>0</v>
      </c>
      <c r="F270" s="13">
        <f>$B$270</f>
        <v>46467.188562932111</v>
      </c>
      <c r="G270" s="13">
        <f>F270*$B$14</f>
        <v>4646.7188562932115</v>
      </c>
      <c r="H270" s="13">
        <f>$B$16</f>
        <v>269.70000000000005</v>
      </c>
      <c r="I270" s="13">
        <f>B271</f>
        <v>500000</v>
      </c>
      <c r="J270" s="13">
        <f>AK270</f>
        <v>0</v>
      </c>
      <c r="K270" s="5">
        <f>AJ270</f>
        <v>37.930999999999997</v>
      </c>
      <c r="L270" s="21">
        <f>I270*J270/1000</f>
        <v>0</v>
      </c>
      <c r="M270">
        <f>I270*K270/1000</f>
        <v>18965.5</v>
      </c>
      <c r="O270">
        <v>1</v>
      </c>
      <c r="Q270">
        <f t="shared" ref="Q270:Q290" si="326">O270-SUM(P270:P270)</f>
        <v>1</v>
      </c>
      <c r="T270">
        <f>M270*Q270</f>
        <v>18965.5</v>
      </c>
      <c r="U270" s="22">
        <f t="shared" ref="U270:U301" si="327">$B$11*I270*Q270</f>
        <v>5000</v>
      </c>
      <c r="V270" s="1">
        <f>$O270*F270</f>
        <v>46467.188562932111</v>
      </c>
      <c r="W270" s="1">
        <f>-$O270*G270</f>
        <v>-4646.7188562932115</v>
      </c>
      <c r="X270" s="1">
        <f>-$O270*H270</f>
        <v>-269.70000000000005</v>
      </c>
      <c r="Y270" s="1"/>
      <c r="Z270" s="1">
        <f>SUM(V270:Y270)</f>
        <v>41550.769706638901</v>
      </c>
      <c r="AA270" s="1">
        <f>R270-T270</f>
        <v>-18965.5</v>
      </c>
      <c r="AB270" s="1"/>
      <c r="AC270" s="1">
        <f>SUM(Z270:AB270)</f>
        <v>22585.269706638901</v>
      </c>
      <c r="AD270" s="1">
        <f>S270-U270</f>
        <v>-5000</v>
      </c>
      <c r="AE270">
        <f>SUM(AC270:AD270)</f>
        <v>17585.269706638901</v>
      </c>
      <c r="AG270" s="19">
        <v>0</v>
      </c>
      <c r="AH270" s="19">
        <f>AH183</f>
        <v>1</v>
      </c>
      <c r="AI270" s="19" t="str">
        <f t="shared" ref="AI270:AK270" si="328">AI183</f>
        <v xml:space="preserve">               -  </v>
      </c>
      <c r="AJ270" s="19">
        <f t="shared" si="328"/>
        <v>37.930999999999997</v>
      </c>
      <c r="AK270" s="19">
        <f t="shared" si="328"/>
        <v>0</v>
      </c>
    </row>
    <row r="271" spans="1:37">
      <c r="A271" t="s">
        <v>98</v>
      </c>
      <c r="B271" s="12">
        <v>500000</v>
      </c>
      <c r="E271">
        <v>1</v>
      </c>
      <c r="I271" s="13">
        <f>I270</f>
        <v>500000</v>
      </c>
      <c r="J271" s="13">
        <f t="shared" ref="J271:J334" si="329">AK271</f>
        <v>0</v>
      </c>
      <c r="K271" s="5">
        <f t="shared" ref="K271:K334" si="330">AJ271</f>
        <v>49.417000000000002</v>
      </c>
      <c r="L271" s="21">
        <f t="shared" ref="L271:L334" si="331">I271*J271/1000</f>
        <v>0</v>
      </c>
      <c r="M271">
        <f t="shared" ref="M271:M334" si="332">I271*K271/1000</f>
        <v>24708.5</v>
      </c>
      <c r="N271">
        <f>N184</f>
        <v>1.6188954599999999E-3</v>
      </c>
      <c r="O271">
        <f>Q270</f>
        <v>1</v>
      </c>
      <c r="P271">
        <f t="shared" ref="P271:P290" si="333">N271*O271/1000</f>
        <v>1.6188954599999999E-6</v>
      </c>
      <c r="Q271">
        <f t="shared" si="326"/>
        <v>0.99999838110453998</v>
      </c>
      <c r="R271">
        <f>T270</f>
        <v>18965.5</v>
      </c>
      <c r="S271">
        <f>U270</f>
        <v>5000</v>
      </c>
      <c r="T271">
        <f t="shared" ref="T271:T334" si="334">M271*Q271</f>
        <v>24708.459999521525</v>
      </c>
      <c r="U271" s="22">
        <f t="shared" si="327"/>
        <v>4999.9919055227001</v>
      </c>
      <c r="V271" s="1">
        <f t="shared" ref="V271:V334" si="335">$O271*F271</f>
        <v>0</v>
      </c>
      <c r="W271" s="1">
        <f t="shared" ref="W271:W334" si="336">-$O271*G271</f>
        <v>0</v>
      </c>
      <c r="X271" s="1">
        <f t="shared" ref="X271:X334" si="337">-$O271*H271</f>
        <v>0</v>
      </c>
      <c r="Y271" s="1">
        <f>-P271*I271</f>
        <v>-0.80944772999999992</v>
      </c>
      <c r="Z271" s="1">
        <f t="shared" ref="Z271:Z334" si="338">SUM(V271:Y271)</f>
        <v>-0.80944772999999992</v>
      </c>
      <c r="AA271" s="1">
        <f t="shared" ref="AA271:AA334" si="339">R271-T271</f>
        <v>-5742.9599995215249</v>
      </c>
      <c r="AB271" s="1">
        <f t="shared" ref="AB271:AB302" si="340">$B$12*SUM(R271:S271,V271:W271)</f>
        <v>1318.1025</v>
      </c>
      <c r="AC271" s="1">
        <f t="shared" ref="AC271:AC334" si="341">SUM(Z271:AB271)</f>
        <v>-4425.666947251525</v>
      </c>
      <c r="AD271" s="1">
        <f t="shared" ref="AD271:AD334" si="342">S271-U271</f>
        <v>8.0944772998918779E-3</v>
      </c>
      <c r="AE271">
        <f t="shared" ref="AE271:AE334" si="343">SUM(AC271:AD271)</f>
        <v>-4425.6588527742251</v>
      </c>
      <c r="AG271" s="19">
        <v>1</v>
      </c>
      <c r="AH271" s="19">
        <f t="shared" ref="AH271:AK271" si="344">AH184</f>
        <v>1</v>
      </c>
      <c r="AI271" s="19">
        <f t="shared" si="344"/>
        <v>1.6188954599999999E-3</v>
      </c>
      <c r="AJ271" s="19">
        <f t="shared" si="344"/>
        <v>49.417000000000002</v>
      </c>
      <c r="AK271" s="19">
        <f t="shared" si="344"/>
        <v>0</v>
      </c>
    </row>
    <row r="272" spans="1:37">
      <c r="E272">
        <v>2</v>
      </c>
      <c r="F272" s="13"/>
      <c r="G272" s="13">
        <f t="shared" ref="G272:G303" si="345">F272*$B$15</f>
        <v>0</v>
      </c>
      <c r="H272" s="13">
        <f t="shared" ref="H272:H303" si="346">$B$17</f>
        <v>196.20000000000002</v>
      </c>
      <c r="I272" s="13">
        <f t="shared" ref="I272:I335" si="347">I271</f>
        <v>500000</v>
      </c>
      <c r="J272" s="13">
        <f t="shared" si="329"/>
        <v>0</v>
      </c>
      <c r="K272" s="5">
        <f t="shared" si="330"/>
        <v>61.253</v>
      </c>
      <c r="L272" s="21">
        <f t="shared" si="331"/>
        <v>0</v>
      </c>
      <c r="M272">
        <f t="shared" si="332"/>
        <v>30626.5</v>
      </c>
      <c r="N272">
        <f t="shared" ref="N272:N335" si="348">N185</f>
        <v>1.7557649200000002E-3</v>
      </c>
      <c r="O272">
        <f t="shared" ref="O272:O335" si="349">Q271</f>
        <v>0.99999838110453998</v>
      </c>
      <c r="P272">
        <f t="shared" si="333"/>
        <v>1.7557620776001423E-6</v>
      </c>
      <c r="Q272">
        <f t="shared" si="326"/>
        <v>0.99999662534246236</v>
      </c>
      <c r="R272">
        <f t="shared" ref="R272:R335" si="350">T271</f>
        <v>24708.459999521525</v>
      </c>
      <c r="S272">
        <f t="shared" ref="S272:S335" si="351">U271</f>
        <v>4999.9919055227001</v>
      </c>
      <c r="T272">
        <f t="shared" si="334"/>
        <v>30626.396646050922</v>
      </c>
      <c r="U272" s="22">
        <f t="shared" si="327"/>
        <v>4999.9831267123118</v>
      </c>
      <c r="V272" s="1">
        <f t="shared" si="335"/>
        <v>0</v>
      </c>
      <c r="W272" s="1">
        <f t="shared" si="336"/>
        <v>0</v>
      </c>
      <c r="X272" s="1">
        <f t="shared" si="337"/>
        <v>-196.19968237271075</v>
      </c>
      <c r="Y272" s="1">
        <f t="shared" ref="Y272:Y335" si="352">-P272*I272</f>
        <v>-0.87788103880007118</v>
      </c>
      <c r="Z272" s="1">
        <f t="shared" si="338"/>
        <v>-197.07756341151082</v>
      </c>
      <c r="AA272" s="1">
        <f t="shared" si="339"/>
        <v>-5917.936646529397</v>
      </c>
      <c r="AB272" s="1">
        <f t="shared" si="340"/>
        <v>1633.9648547774325</v>
      </c>
      <c r="AC272" s="1">
        <f t="shared" si="341"/>
        <v>-4481.0493551634754</v>
      </c>
      <c r="AD272" s="1">
        <f t="shared" si="342"/>
        <v>8.7788103883212898E-3</v>
      </c>
      <c r="AE272">
        <f t="shared" si="343"/>
        <v>-4481.0405763530871</v>
      </c>
      <c r="AG272" s="19">
        <v>2</v>
      </c>
      <c r="AH272" s="19">
        <f t="shared" ref="AH272:AK272" si="353">AH185</f>
        <v>0.99838110453999995</v>
      </c>
      <c r="AI272" s="19">
        <f t="shared" si="353"/>
        <v>1.7529225201421848E-3</v>
      </c>
      <c r="AJ272" s="19">
        <f t="shared" si="353"/>
        <v>61.253</v>
      </c>
      <c r="AK272" s="19">
        <f t="shared" si="353"/>
        <v>0</v>
      </c>
    </row>
    <row r="273" spans="5:37">
      <c r="E273">
        <v>3</v>
      </c>
      <c r="F273" s="13"/>
      <c r="G273" s="13">
        <f t="shared" si="345"/>
        <v>0</v>
      </c>
      <c r="H273" s="13">
        <f t="shared" si="346"/>
        <v>196.20000000000002</v>
      </c>
      <c r="I273" s="13">
        <f t="shared" si="347"/>
        <v>500000</v>
      </c>
      <c r="J273" s="13">
        <f t="shared" si="329"/>
        <v>8.91</v>
      </c>
      <c r="K273" s="5">
        <f t="shared" si="330"/>
        <v>73.433999999999997</v>
      </c>
      <c r="L273" s="21">
        <f t="shared" si="331"/>
        <v>4455</v>
      </c>
      <c r="M273">
        <f t="shared" si="332"/>
        <v>36717</v>
      </c>
      <c r="N273">
        <f t="shared" si="348"/>
        <v>1.9170442199999999E-3</v>
      </c>
      <c r="O273">
        <f t="shared" si="349"/>
        <v>0.99999662534246236</v>
      </c>
      <c r="P273">
        <f t="shared" si="333"/>
        <v>1.9170377506322728E-6</v>
      </c>
      <c r="Q273">
        <f t="shared" si="326"/>
        <v>0.99999470830471171</v>
      </c>
      <c r="R273">
        <f t="shared" si="350"/>
        <v>30626.396646050922</v>
      </c>
      <c r="S273">
        <f t="shared" si="351"/>
        <v>4999.9831267123118</v>
      </c>
      <c r="T273">
        <f t="shared" si="334"/>
        <v>36716.805704824103</v>
      </c>
      <c r="U273" s="22">
        <f t="shared" si="327"/>
        <v>4999.9735415235582</v>
      </c>
      <c r="V273" s="1">
        <f t="shared" si="335"/>
        <v>0</v>
      </c>
      <c r="W273" s="1">
        <f t="shared" si="336"/>
        <v>0</v>
      </c>
      <c r="X273" s="1">
        <f t="shared" si="337"/>
        <v>-196.19933789219112</v>
      </c>
      <c r="Y273" s="1">
        <f t="shared" si="352"/>
        <v>-0.95851887531613644</v>
      </c>
      <c r="Z273" s="1">
        <f t="shared" si="338"/>
        <v>-197.15785676750727</v>
      </c>
      <c r="AA273" s="1">
        <f t="shared" si="339"/>
        <v>-6090.4090587731807</v>
      </c>
      <c r="AB273" s="1">
        <f t="shared" si="340"/>
        <v>1959.4508875019778</v>
      </c>
      <c r="AC273" s="1">
        <f t="shared" si="341"/>
        <v>-4328.1160280387103</v>
      </c>
      <c r="AD273" s="1">
        <f t="shared" si="342"/>
        <v>9.585188753590046E-3</v>
      </c>
      <c r="AE273">
        <f t="shared" si="343"/>
        <v>-4328.1064428499567</v>
      </c>
      <c r="AG273" s="19">
        <v>3</v>
      </c>
      <c r="AH273" s="19">
        <f t="shared" ref="AH273:AK273" si="354">AH186</f>
        <v>0.99662818201985781</v>
      </c>
      <c r="AI273" s="19">
        <f t="shared" si="354"/>
        <v>1.9105802958302763E-3</v>
      </c>
      <c r="AJ273" s="19">
        <f t="shared" si="354"/>
        <v>73.433999999999997</v>
      </c>
      <c r="AK273" s="19">
        <f t="shared" si="354"/>
        <v>8.91</v>
      </c>
    </row>
    <row r="274" spans="5:37">
      <c r="E274">
        <v>4</v>
      </c>
      <c r="F274" s="13"/>
      <c r="G274" s="13">
        <f t="shared" si="345"/>
        <v>0</v>
      </c>
      <c r="H274" s="13">
        <f t="shared" si="346"/>
        <v>196.20000000000002</v>
      </c>
      <c r="I274" s="13">
        <f t="shared" si="347"/>
        <v>500000</v>
      </c>
      <c r="J274" s="13">
        <f t="shared" si="329"/>
        <v>18.521000000000001</v>
      </c>
      <c r="K274" s="5">
        <f t="shared" si="330"/>
        <v>85.957999999999998</v>
      </c>
      <c r="L274" s="21">
        <f t="shared" si="331"/>
        <v>9260.5</v>
      </c>
      <c r="M274">
        <f t="shared" si="332"/>
        <v>42979</v>
      </c>
      <c r="N274">
        <f t="shared" si="348"/>
        <v>2.1018615799999999E-3</v>
      </c>
      <c r="O274">
        <f t="shared" si="349"/>
        <v>0.99999470830471171</v>
      </c>
      <c r="P274">
        <f t="shared" si="333"/>
        <v>2.1018504575889805E-6</v>
      </c>
      <c r="Q274">
        <f t="shared" si="326"/>
        <v>0.99999260645425414</v>
      </c>
      <c r="R274">
        <f t="shared" si="350"/>
        <v>36716.805704824103</v>
      </c>
      <c r="S274">
        <f t="shared" si="351"/>
        <v>4999.9735415235582</v>
      </c>
      <c r="T274">
        <f t="shared" si="334"/>
        <v>42978.682232797386</v>
      </c>
      <c r="U274" s="22">
        <f t="shared" si="327"/>
        <v>4999.963032271271</v>
      </c>
      <c r="V274" s="1">
        <f t="shared" si="335"/>
        <v>0</v>
      </c>
      <c r="W274" s="1">
        <f t="shared" si="336"/>
        <v>0</v>
      </c>
      <c r="X274" s="1">
        <f t="shared" si="337"/>
        <v>-196.19896176938445</v>
      </c>
      <c r="Y274" s="1">
        <f t="shared" si="352"/>
        <v>-1.0509252287944901</v>
      </c>
      <c r="Z274" s="1">
        <f t="shared" si="338"/>
        <v>-197.24988699817894</v>
      </c>
      <c r="AA274" s="1">
        <f t="shared" si="339"/>
        <v>-6261.8765279732834</v>
      </c>
      <c r="AB274" s="1">
        <f t="shared" si="340"/>
        <v>2294.4228585491214</v>
      </c>
      <c r="AC274" s="1">
        <f t="shared" si="341"/>
        <v>-4164.7035564223406</v>
      </c>
      <c r="AD274" s="1">
        <f t="shared" si="342"/>
        <v>1.0509252287192794E-2</v>
      </c>
      <c r="AE274">
        <f t="shared" si="343"/>
        <v>-4164.6930471700534</v>
      </c>
      <c r="AG274" s="19">
        <v>4</v>
      </c>
      <c r="AH274" s="19">
        <f t="shared" ref="AH274:AK274" si="355">AH187</f>
        <v>0.99471760172402757</v>
      </c>
      <c r="AI274" s="19">
        <f t="shared" si="355"/>
        <v>2.0907587100134749E-3</v>
      </c>
      <c r="AJ274" s="19">
        <f t="shared" si="355"/>
        <v>85.957999999999998</v>
      </c>
      <c r="AK274" s="19">
        <f t="shared" si="355"/>
        <v>18.521000000000001</v>
      </c>
    </row>
    <row r="275" spans="5:37">
      <c r="E275">
        <v>5</v>
      </c>
      <c r="F275" s="13"/>
      <c r="G275" s="13">
        <f t="shared" si="345"/>
        <v>0</v>
      </c>
      <c r="H275" s="13">
        <f t="shared" si="346"/>
        <v>196.20000000000002</v>
      </c>
      <c r="I275" s="13">
        <f t="shared" si="347"/>
        <v>500000</v>
      </c>
      <c r="J275" s="13">
        <f t="shared" si="329"/>
        <v>28.541</v>
      </c>
      <c r="K275" s="5">
        <f t="shared" si="330"/>
        <v>98.834000000000003</v>
      </c>
      <c r="L275" s="21">
        <f t="shared" si="331"/>
        <v>14270.5</v>
      </c>
      <c r="M275">
        <f t="shared" si="332"/>
        <v>49417</v>
      </c>
      <c r="N275">
        <f t="shared" si="348"/>
        <v>2.2971403000000001E-3</v>
      </c>
      <c r="O275">
        <f t="shared" si="349"/>
        <v>0.99999260645425414</v>
      </c>
      <c r="P275">
        <f t="shared" si="333"/>
        <v>2.2971233159881075E-6</v>
      </c>
      <c r="Q275">
        <f t="shared" si="326"/>
        <v>0.99999030933093813</v>
      </c>
      <c r="R275">
        <f t="shared" si="350"/>
        <v>42978.682232797386</v>
      </c>
      <c r="S275">
        <f t="shared" si="351"/>
        <v>4999.963032271271</v>
      </c>
      <c r="T275">
        <f t="shared" si="334"/>
        <v>49416.521116206968</v>
      </c>
      <c r="U275" s="22">
        <f t="shared" si="327"/>
        <v>4999.9515466546909</v>
      </c>
      <c r="V275" s="1">
        <f t="shared" si="335"/>
        <v>0</v>
      </c>
      <c r="W275" s="1">
        <f t="shared" si="336"/>
        <v>0</v>
      </c>
      <c r="X275" s="1">
        <f t="shared" si="337"/>
        <v>-196.19854938632469</v>
      </c>
      <c r="Y275" s="1">
        <f t="shared" si="352"/>
        <v>-1.1485616579940539</v>
      </c>
      <c r="Z275" s="1">
        <f t="shared" si="338"/>
        <v>-197.34711104431875</v>
      </c>
      <c r="AA275" s="1">
        <f t="shared" si="339"/>
        <v>-6437.8388834095822</v>
      </c>
      <c r="AB275" s="1">
        <f t="shared" si="340"/>
        <v>2638.8254895787759</v>
      </c>
      <c r="AC275" s="1">
        <f t="shared" si="341"/>
        <v>-3996.3605048751251</v>
      </c>
      <c r="AD275" s="1">
        <f t="shared" si="342"/>
        <v>1.1485616580102942E-2</v>
      </c>
      <c r="AE275">
        <f t="shared" si="343"/>
        <v>-3996.349019258545</v>
      </c>
      <c r="AG275" s="19">
        <v>5</v>
      </c>
      <c r="AH275" s="19">
        <f t="shared" ref="AH275:AK275" si="356">AH188</f>
        <v>0.99262684301401405</v>
      </c>
      <c r="AI275" s="19">
        <f t="shared" si="356"/>
        <v>2.2802031239492651E-3</v>
      </c>
      <c r="AJ275" s="19">
        <f t="shared" si="356"/>
        <v>98.834000000000003</v>
      </c>
      <c r="AK275" s="19">
        <f t="shared" si="356"/>
        <v>28.541</v>
      </c>
    </row>
    <row r="276" spans="5:37">
      <c r="E276">
        <v>6</v>
      </c>
      <c r="F276" s="13"/>
      <c r="G276" s="13">
        <f t="shared" si="345"/>
        <v>0</v>
      </c>
      <c r="H276" s="13">
        <f t="shared" si="346"/>
        <v>196.20000000000002</v>
      </c>
      <c r="I276" s="13">
        <f t="shared" si="347"/>
        <v>500000</v>
      </c>
      <c r="J276" s="13">
        <f t="shared" si="329"/>
        <v>38.979999999999997</v>
      </c>
      <c r="K276" s="5">
        <f t="shared" si="330"/>
        <v>112.065</v>
      </c>
      <c r="L276" s="21">
        <f t="shared" si="331"/>
        <v>19490</v>
      </c>
      <c r="M276">
        <f t="shared" si="332"/>
        <v>56032.5</v>
      </c>
      <c r="N276">
        <f t="shared" si="348"/>
        <v>2.51159818E-3</v>
      </c>
      <c r="O276">
        <f t="shared" si="349"/>
        <v>0.99999030933093813</v>
      </c>
      <c r="P276">
        <f t="shared" si="333"/>
        <v>2.5115738409332209E-6</v>
      </c>
      <c r="Q276">
        <f t="shared" si="326"/>
        <v>0.99998779775709723</v>
      </c>
      <c r="R276">
        <f t="shared" si="350"/>
        <v>49416.521116206968</v>
      </c>
      <c r="S276">
        <f t="shared" si="351"/>
        <v>4999.9515466546909</v>
      </c>
      <c r="T276">
        <f t="shared" si="334"/>
        <v>56031.816277824553</v>
      </c>
      <c r="U276" s="22">
        <f t="shared" si="327"/>
        <v>4999.9389887854859</v>
      </c>
      <c r="V276" s="1">
        <f t="shared" si="335"/>
        <v>0</v>
      </c>
      <c r="W276" s="1">
        <f t="shared" si="336"/>
        <v>0</v>
      </c>
      <c r="X276" s="1">
        <f t="shared" si="337"/>
        <v>-196.19809869073009</v>
      </c>
      <c r="Y276" s="1">
        <f t="shared" si="352"/>
        <v>-1.2557869204666103</v>
      </c>
      <c r="Z276" s="1">
        <f t="shared" si="338"/>
        <v>-197.45388561119671</v>
      </c>
      <c r="AA276" s="1">
        <f t="shared" si="339"/>
        <v>-6615.2951616175851</v>
      </c>
      <c r="AB276" s="1">
        <f t="shared" si="340"/>
        <v>2992.9059964573917</v>
      </c>
      <c r="AC276" s="1">
        <f t="shared" si="341"/>
        <v>-3819.8430507713902</v>
      </c>
      <c r="AD276" s="1">
        <f t="shared" si="342"/>
        <v>1.2557869205011229E-2</v>
      </c>
      <c r="AE276">
        <f t="shared" si="343"/>
        <v>-3819.8304929021851</v>
      </c>
      <c r="AG276" s="19">
        <v>6</v>
      </c>
      <c r="AH276" s="19">
        <f t="shared" ref="AH276:AK276" si="357">AH189</f>
        <v>0.99034663989006477</v>
      </c>
      <c r="AI276" s="19">
        <f t="shared" si="357"/>
        <v>2.4873528183170022E-3</v>
      </c>
      <c r="AJ276" s="19">
        <f t="shared" si="357"/>
        <v>112.065</v>
      </c>
      <c r="AK276" s="19">
        <f t="shared" si="357"/>
        <v>38.979999999999997</v>
      </c>
    </row>
    <row r="277" spans="5:37">
      <c r="E277">
        <v>7</v>
      </c>
      <c r="F277" s="13"/>
      <c r="G277" s="13">
        <f t="shared" si="345"/>
        <v>0</v>
      </c>
      <c r="H277" s="13">
        <f t="shared" si="346"/>
        <v>196.20000000000002</v>
      </c>
      <c r="I277" s="13">
        <f t="shared" si="347"/>
        <v>500000</v>
      </c>
      <c r="J277" s="13">
        <f t="shared" si="329"/>
        <v>49.853000000000002</v>
      </c>
      <c r="K277" s="5">
        <f t="shared" si="330"/>
        <v>125.658</v>
      </c>
      <c r="L277" s="21">
        <f t="shared" si="331"/>
        <v>24926.5</v>
      </c>
      <c r="M277">
        <f t="shared" si="332"/>
        <v>62829</v>
      </c>
      <c r="N277">
        <f t="shared" si="348"/>
        <v>2.7417480999999996E-3</v>
      </c>
      <c r="O277">
        <f t="shared" si="349"/>
        <v>0.99998779775709723</v>
      </c>
      <c r="P277">
        <f t="shared" si="333"/>
        <v>2.7417146445237053E-6</v>
      </c>
      <c r="Q277">
        <f t="shared" si="326"/>
        <v>0.99998505604245269</v>
      </c>
      <c r="R277">
        <f t="shared" si="350"/>
        <v>56031.816277824553</v>
      </c>
      <c r="S277">
        <f t="shared" si="351"/>
        <v>4999.9389887854859</v>
      </c>
      <c r="T277">
        <f t="shared" si="334"/>
        <v>62828.061086091257</v>
      </c>
      <c r="U277" s="22">
        <f t="shared" si="327"/>
        <v>4999.9252802122637</v>
      </c>
      <c r="V277" s="1">
        <f t="shared" si="335"/>
        <v>0</v>
      </c>
      <c r="W277" s="1">
        <f t="shared" si="336"/>
        <v>0</v>
      </c>
      <c r="X277" s="1">
        <f t="shared" si="337"/>
        <v>-196.1976059199425</v>
      </c>
      <c r="Y277" s="1">
        <f t="shared" si="352"/>
        <v>-1.3708573222618528</v>
      </c>
      <c r="Z277" s="1">
        <f t="shared" si="338"/>
        <v>-197.56846324220436</v>
      </c>
      <c r="AA277" s="1">
        <f t="shared" si="339"/>
        <v>-6796.2448082667033</v>
      </c>
      <c r="AB277" s="1">
        <f t="shared" si="340"/>
        <v>3356.7465396635521</v>
      </c>
      <c r="AC277" s="1">
        <f t="shared" si="341"/>
        <v>-3637.0667318453557</v>
      </c>
      <c r="AD277" s="1">
        <f t="shared" si="342"/>
        <v>1.3708573222174891E-2</v>
      </c>
      <c r="AE277">
        <f t="shared" si="343"/>
        <v>-3637.0530232721335</v>
      </c>
      <c r="AG277" s="19">
        <v>7</v>
      </c>
      <c r="AH277" s="19">
        <f t="shared" ref="AH277:AK277" si="358">AH190</f>
        <v>0.98785928707174775</v>
      </c>
      <c r="AI277" s="19">
        <f t="shared" si="358"/>
        <v>2.7084613233963185E-3</v>
      </c>
      <c r="AJ277" s="19">
        <f t="shared" si="358"/>
        <v>125.658</v>
      </c>
      <c r="AK277" s="19">
        <f t="shared" si="358"/>
        <v>49.853000000000002</v>
      </c>
    </row>
    <row r="278" spans="5:37">
      <c r="E278">
        <v>8</v>
      </c>
      <c r="F278" s="13"/>
      <c r="G278" s="13">
        <f t="shared" si="345"/>
        <v>0</v>
      </c>
      <c r="H278" s="13">
        <f t="shared" si="346"/>
        <v>196.20000000000002</v>
      </c>
      <c r="I278" s="13">
        <f t="shared" si="347"/>
        <v>500000</v>
      </c>
      <c r="J278" s="13">
        <f t="shared" si="329"/>
        <v>61.161999999999999</v>
      </c>
      <c r="K278" s="5">
        <f t="shared" si="330"/>
        <v>139.60400000000001</v>
      </c>
      <c r="L278" s="21">
        <f t="shared" si="331"/>
        <v>30581</v>
      </c>
      <c r="M278">
        <f t="shared" si="332"/>
        <v>69802</v>
      </c>
      <c r="N278">
        <f t="shared" si="348"/>
        <v>3.0067692199999998E-3</v>
      </c>
      <c r="O278">
        <f t="shared" si="349"/>
        <v>0.99998505604245269</v>
      </c>
      <c r="P278">
        <f t="shared" si="333"/>
        <v>3.0067242869684218E-6</v>
      </c>
      <c r="Q278">
        <f t="shared" si="326"/>
        <v>0.9999820493181657</v>
      </c>
      <c r="R278">
        <f t="shared" si="350"/>
        <v>62828.061086091257</v>
      </c>
      <c r="S278">
        <f t="shared" si="351"/>
        <v>4999.9252802122637</v>
      </c>
      <c r="T278">
        <f t="shared" si="334"/>
        <v>69800.747006506601</v>
      </c>
      <c r="U278" s="22">
        <f t="shared" si="327"/>
        <v>4999.9102465908281</v>
      </c>
      <c r="V278" s="1">
        <f t="shared" si="335"/>
        <v>0</v>
      </c>
      <c r="W278" s="1">
        <f t="shared" si="336"/>
        <v>0</v>
      </c>
      <c r="X278" s="1">
        <f t="shared" si="337"/>
        <v>-196.19706799552924</v>
      </c>
      <c r="Y278" s="1">
        <f t="shared" si="352"/>
        <v>-1.5033621434842108</v>
      </c>
      <c r="Z278" s="1">
        <f t="shared" si="338"/>
        <v>-197.70043013901346</v>
      </c>
      <c r="AA278" s="1">
        <f t="shared" si="339"/>
        <v>-6972.6859204153443</v>
      </c>
      <c r="AB278" s="1">
        <f t="shared" si="340"/>
        <v>3730.5392501466936</v>
      </c>
      <c r="AC278" s="1">
        <f t="shared" si="341"/>
        <v>-3439.8471004076641</v>
      </c>
      <c r="AD278" s="1">
        <f t="shared" si="342"/>
        <v>1.5033621435577516E-2</v>
      </c>
      <c r="AE278">
        <f t="shared" si="343"/>
        <v>-3439.8320667862286</v>
      </c>
      <c r="AG278" s="19">
        <v>8</v>
      </c>
      <c r="AH278" s="19">
        <f t="shared" ref="AH278:AK278" si="359">AH191</f>
        <v>0.98515082574835144</v>
      </c>
      <c r="AI278" s="19">
        <f t="shared" si="359"/>
        <v>2.9621211799177264E-3</v>
      </c>
      <c r="AJ278" s="19">
        <f t="shared" si="359"/>
        <v>139.60400000000001</v>
      </c>
      <c r="AK278" s="19">
        <f t="shared" si="359"/>
        <v>61.161999999999999</v>
      </c>
    </row>
    <row r="279" spans="5:37">
      <c r="E279">
        <v>9</v>
      </c>
      <c r="F279" s="13"/>
      <c r="G279" s="13">
        <f t="shared" si="345"/>
        <v>0</v>
      </c>
      <c r="H279" s="13">
        <f t="shared" si="346"/>
        <v>196.20000000000002</v>
      </c>
      <c r="I279" s="13">
        <f t="shared" si="347"/>
        <v>500000</v>
      </c>
      <c r="J279" s="13">
        <f t="shared" si="329"/>
        <v>72.903999999999996</v>
      </c>
      <c r="K279" s="5">
        <f t="shared" si="330"/>
        <v>153.89699999999999</v>
      </c>
      <c r="L279" s="21">
        <f t="shared" si="331"/>
        <v>36452</v>
      </c>
      <c r="M279">
        <f t="shared" si="332"/>
        <v>76948.5</v>
      </c>
      <c r="N279">
        <f t="shared" si="348"/>
        <v>3.3084051E-3</v>
      </c>
      <c r="O279">
        <f t="shared" si="349"/>
        <v>0.9999820493181657</v>
      </c>
      <c r="P279">
        <f t="shared" si="333"/>
        <v>3.308345711872671E-6</v>
      </c>
      <c r="Q279">
        <f t="shared" si="326"/>
        <v>0.99997874097245387</v>
      </c>
      <c r="R279">
        <f t="shared" si="350"/>
        <v>69800.747006506601</v>
      </c>
      <c r="S279">
        <f t="shared" si="351"/>
        <v>4999.9102465908281</v>
      </c>
      <c r="T279">
        <f t="shared" si="334"/>
        <v>76946.864149718866</v>
      </c>
      <c r="U279" s="22">
        <f t="shared" si="327"/>
        <v>4999.8937048622693</v>
      </c>
      <c r="V279" s="1">
        <f t="shared" si="335"/>
        <v>0</v>
      </c>
      <c r="W279" s="1">
        <f t="shared" si="336"/>
        <v>0</v>
      </c>
      <c r="X279" s="1">
        <f t="shared" si="337"/>
        <v>-196.19647807622414</v>
      </c>
      <c r="Y279" s="1">
        <f t="shared" si="352"/>
        <v>-1.6541728559363356</v>
      </c>
      <c r="Z279" s="1">
        <f t="shared" si="338"/>
        <v>-197.85065093216048</v>
      </c>
      <c r="AA279" s="1">
        <f t="shared" si="339"/>
        <v>-7146.1171432122646</v>
      </c>
      <c r="AB279" s="1">
        <f t="shared" si="340"/>
        <v>4114.0361489203578</v>
      </c>
      <c r="AC279" s="1">
        <f t="shared" si="341"/>
        <v>-3229.9316452240673</v>
      </c>
      <c r="AD279" s="1">
        <f t="shared" si="342"/>
        <v>1.6541728558877367E-2</v>
      </c>
      <c r="AE279">
        <f t="shared" si="343"/>
        <v>-3229.9151034955084</v>
      </c>
      <c r="AG279" s="19">
        <v>9</v>
      </c>
      <c r="AH279" s="19">
        <f t="shared" ref="AH279:AK279" si="360">AH192</f>
        <v>0.98218870456843377</v>
      </c>
      <c r="AI279" s="19">
        <f t="shared" si="360"/>
        <v>3.2494781193565993E-3</v>
      </c>
      <c r="AJ279" s="19">
        <f t="shared" si="360"/>
        <v>153.89699999999999</v>
      </c>
      <c r="AK279" s="19">
        <f t="shared" si="360"/>
        <v>72.903999999999996</v>
      </c>
    </row>
    <row r="280" spans="5:37">
      <c r="E280">
        <v>10</v>
      </c>
      <c r="F280" s="13"/>
      <c r="G280" s="13">
        <f t="shared" si="345"/>
        <v>0</v>
      </c>
      <c r="H280" s="13">
        <f t="shared" si="346"/>
        <v>196.20000000000002</v>
      </c>
      <c r="I280" s="13">
        <f t="shared" si="347"/>
        <v>500000</v>
      </c>
      <c r="J280" s="13">
        <f t="shared" si="329"/>
        <v>85.085999999999999</v>
      </c>
      <c r="K280" s="5">
        <f t="shared" si="330"/>
        <v>168.53200000000001</v>
      </c>
      <c r="L280" s="21">
        <f t="shared" si="331"/>
        <v>42543</v>
      </c>
      <c r="M280">
        <f t="shared" si="332"/>
        <v>84266</v>
      </c>
      <c r="N280">
        <f t="shared" si="348"/>
        <v>3.6422968400000003E-3</v>
      </c>
      <c r="O280">
        <f t="shared" si="349"/>
        <v>0.99997874097245387</v>
      </c>
      <c r="P280">
        <f t="shared" si="333"/>
        <v>3.6422194083111475E-6</v>
      </c>
      <c r="Q280">
        <f t="shared" si="326"/>
        <v>0.99997509875304558</v>
      </c>
      <c r="R280">
        <f t="shared" si="350"/>
        <v>76946.864149718866</v>
      </c>
      <c r="S280">
        <f t="shared" si="351"/>
        <v>4999.8937048622693</v>
      </c>
      <c r="T280">
        <f t="shared" si="334"/>
        <v>84263.901671524145</v>
      </c>
      <c r="U280" s="22">
        <f t="shared" si="327"/>
        <v>4999.8754937652275</v>
      </c>
      <c r="V280" s="1">
        <f t="shared" si="335"/>
        <v>0</v>
      </c>
      <c r="W280" s="1">
        <f t="shared" si="336"/>
        <v>0</v>
      </c>
      <c r="X280" s="1">
        <f t="shared" si="337"/>
        <v>-196.19582897879548</v>
      </c>
      <c r="Y280" s="1">
        <f t="shared" si="352"/>
        <v>-1.8211097041555737</v>
      </c>
      <c r="Z280" s="1">
        <f t="shared" si="338"/>
        <v>-198.01693868295104</v>
      </c>
      <c r="AA280" s="1">
        <f t="shared" si="339"/>
        <v>-7317.0375218052795</v>
      </c>
      <c r="AB280" s="1">
        <f t="shared" si="340"/>
        <v>4507.0716820019625</v>
      </c>
      <c r="AC280" s="1">
        <f t="shared" si="341"/>
        <v>-3007.9827784862682</v>
      </c>
      <c r="AD280" s="1">
        <f t="shared" si="342"/>
        <v>1.8211097041785251E-2</v>
      </c>
      <c r="AE280">
        <f t="shared" si="343"/>
        <v>-3007.9645673892264</v>
      </c>
      <c r="AG280" s="19">
        <v>10</v>
      </c>
      <c r="AH280" s="19">
        <f t="shared" ref="AH280:AK280" si="361">AH193</f>
        <v>0.97893922644907716</v>
      </c>
      <c r="AI280" s="19">
        <f t="shared" si="361"/>
        <v>3.5655872510475185E-3</v>
      </c>
      <c r="AJ280" s="19">
        <f t="shared" si="361"/>
        <v>168.53200000000001</v>
      </c>
      <c r="AK280" s="19">
        <f t="shared" si="361"/>
        <v>85.085999999999999</v>
      </c>
    </row>
    <row r="281" spans="5:37">
      <c r="E281">
        <v>11</v>
      </c>
      <c r="F281" s="13"/>
      <c r="G281" s="13">
        <f t="shared" si="345"/>
        <v>0</v>
      </c>
      <c r="H281" s="13">
        <f t="shared" si="346"/>
        <v>196.20000000000002</v>
      </c>
      <c r="I281" s="13">
        <f t="shared" si="347"/>
        <v>500000</v>
      </c>
      <c r="J281" s="13">
        <f t="shared" si="329"/>
        <v>97.701999999999998</v>
      </c>
      <c r="K281" s="5">
        <f t="shared" si="330"/>
        <v>183.49700000000001</v>
      </c>
      <c r="L281" s="21">
        <f t="shared" si="331"/>
        <v>48851</v>
      </c>
      <c r="M281">
        <f t="shared" si="332"/>
        <v>91748.5</v>
      </c>
      <c r="N281">
        <f t="shared" si="348"/>
        <v>4.0215211399999996E-3</v>
      </c>
      <c r="O281">
        <f t="shared" si="349"/>
        <v>0.99997509875304558</v>
      </c>
      <c r="P281">
        <f t="shared" si="333"/>
        <v>4.0214209991089604E-6</v>
      </c>
      <c r="Q281">
        <f t="shared" si="326"/>
        <v>0.99997107733204649</v>
      </c>
      <c r="R281">
        <f t="shared" si="350"/>
        <v>84263.901671524145</v>
      </c>
      <c r="S281">
        <f t="shared" si="351"/>
        <v>4999.8754937652275</v>
      </c>
      <c r="T281">
        <f t="shared" si="334"/>
        <v>91745.846388599268</v>
      </c>
      <c r="U281" s="22">
        <f t="shared" si="327"/>
        <v>4999.8553866602324</v>
      </c>
      <c r="V281" s="1">
        <f t="shared" si="335"/>
        <v>0</v>
      </c>
      <c r="W281" s="1">
        <f t="shared" si="336"/>
        <v>0</v>
      </c>
      <c r="X281" s="1">
        <f t="shared" si="337"/>
        <v>-196.19511437534757</v>
      </c>
      <c r="Y281" s="1">
        <f t="shared" si="352"/>
        <v>-2.01071049955448</v>
      </c>
      <c r="Z281" s="1">
        <f t="shared" si="338"/>
        <v>-198.20582487490205</v>
      </c>
      <c r="AA281" s="1">
        <f t="shared" si="339"/>
        <v>-7481.9447170751228</v>
      </c>
      <c r="AB281" s="1">
        <f t="shared" si="340"/>
        <v>4909.5077440909154</v>
      </c>
      <c r="AC281" s="1">
        <f t="shared" si="341"/>
        <v>-2770.6427978591091</v>
      </c>
      <c r="AD281" s="1">
        <f t="shared" si="342"/>
        <v>2.0107104995076952E-2</v>
      </c>
      <c r="AE281">
        <f t="shared" si="343"/>
        <v>-2770.622690754114</v>
      </c>
      <c r="AG281" s="19">
        <v>11</v>
      </c>
      <c r="AH281" s="19">
        <f t="shared" ref="AH281:AK281" si="362">AH194</f>
        <v>0.97537363919802966</v>
      </c>
      <c r="AI281" s="19">
        <f t="shared" si="362"/>
        <v>3.9224857094336089E-3</v>
      </c>
      <c r="AJ281" s="19">
        <f t="shared" si="362"/>
        <v>183.49700000000001</v>
      </c>
      <c r="AK281" s="19">
        <f t="shared" si="362"/>
        <v>97.701999999999998</v>
      </c>
    </row>
    <row r="282" spans="5:37">
      <c r="E282">
        <v>12</v>
      </c>
      <c r="F282" s="13"/>
      <c r="G282" s="13">
        <f t="shared" si="345"/>
        <v>0</v>
      </c>
      <c r="H282" s="13">
        <f t="shared" si="346"/>
        <v>196.20000000000002</v>
      </c>
      <c r="I282" s="13">
        <f t="shared" si="347"/>
        <v>500000</v>
      </c>
      <c r="J282" s="13">
        <f t="shared" si="329"/>
        <v>110.746</v>
      </c>
      <c r="K282" s="5">
        <f t="shared" si="330"/>
        <v>198.77799999999999</v>
      </c>
      <c r="L282" s="21">
        <f t="shared" si="331"/>
        <v>55373</v>
      </c>
      <c r="M282">
        <f t="shared" si="332"/>
        <v>99389</v>
      </c>
      <c r="N282">
        <f t="shared" si="348"/>
        <v>4.4513086800000001E-3</v>
      </c>
      <c r="O282">
        <f t="shared" si="349"/>
        <v>0.99997107733204649</v>
      </c>
      <c r="P282">
        <f t="shared" si="333"/>
        <v>4.4511799362770898E-6</v>
      </c>
      <c r="Q282">
        <f t="shared" si="326"/>
        <v>0.99996662615211018</v>
      </c>
      <c r="R282">
        <f t="shared" si="350"/>
        <v>91745.846388599268</v>
      </c>
      <c r="S282">
        <f t="shared" si="351"/>
        <v>4999.8553866602324</v>
      </c>
      <c r="T282">
        <f t="shared" si="334"/>
        <v>99385.683006632084</v>
      </c>
      <c r="U282" s="22">
        <f t="shared" si="327"/>
        <v>4999.8331307605513</v>
      </c>
      <c r="V282" s="1">
        <f t="shared" si="335"/>
        <v>0</v>
      </c>
      <c r="W282" s="1">
        <f t="shared" si="336"/>
        <v>0</v>
      </c>
      <c r="X282" s="1">
        <f t="shared" si="337"/>
        <v>-196.19432537254752</v>
      </c>
      <c r="Y282" s="1">
        <f t="shared" si="352"/>
        <v>-2.2255899681385447</v>
      </c>
      <c r="Z282" s="1">
        <f t="shared" si="338"/>
        <v>-198.41991534068606</v>
      </c>
      <c r="AA282" s="1">
        <f t="shared" si="339"/>
        <v>-7639.8366180328157</v>
      </c>
      <c r="AB282" s="1">
        <f t="shared" si="340"/>
        <v>5321.0135976392721</v>
      </c>
      <c r="AC282" s="1">
        <f t="shared" si="341"/>
        <v>-2517.2429357342298</v>
      </c>
      <c r="AD282" s="1">
        <f t="shared" si="342"/>
        <v>2.2255899681113078E-2</v>
      </c>
      <c r="AE282">
        <f t="shared" si="343"/>
        <v>-2517.2206798345487</v>
      </c>
      <c r="AG282" s="19">
        <v>12</v>
      </c>
      <c r="AH282" s="19">
        <f t="shared" ref="AH282:AK282" si="363">AH195</f>
        <v>0.97145115348859601</v>
      </c>
      <c r="AI282" s="19">
        <f t="shared" si="363"/>
        <v>4.3242289517197996E-3</v>
      </c>
      <c r="AJ282" s="19">
        <f t="shared" si="363"/>
        <v>198.77799999999999</v>
      </c>
      <c r="AK282" s="19">
        <f t="shared" si="363"/>
        <v>110.746</v>
      </c>
    </row>
    <row r="283" spans="5:37">
      <c r="E283">
        <v>13</v>
      </c>
      <c r="F283" s="13"/>
      <c r="G283" s="13">
        <f t="shared" si="345"/>
        <v>0</v>
      </c>
      <c r="H283" s="13">
        <f t="shared" si="346"/>
        <v>196.20000000000002</v>
      </c>
      <c r="I283" s="13">
        <f t="shared" si="347"/>
        <v>500000</v>
      </c>
      <c r="J283" s="13">
        <f t="shared" si="329"/>
        <v>124.24</v>
      </c>
      <c r="K283" s="5">
        <f t="shared" si="330"/>
        <v>214.38800000000001</v>
      </c>
      <c r="L283" s="21">
        <f t="shared" si="331"/>
        <v>62120</v>
      </c>
      <c r="M283">
        <f t="shared" si="332"/>
        <v>107194</v>
      </c>
      <c r="N283">
        <f t="shared" si="348"/>
        <v>4.8994036000000003E-3</v>
      </c>
      <c r="O283">
        <f t="shared" si="349"/>
        <v>0.99996662615211018</v>
      </c>
      <c r="P283">
        <f t="shared" si="333"/>
        <v>4.8992400880495033E-6</v>
      </c>
      <c r="Q283">
        <f t="shared" si="326"/>
        <v>0.99996172691202212</v>
      </c>
      <c r="R283">
        <f t="shared" si="350"/>
        <v>99385.683006632084</v>
      </c>
      <c r="S283">
        <f t="shared" si="351"/>
        <v>4999.8331307605513</v>
      </c>
      <c r="T283">
        <f t="shared" si="334"/>
        <v>107189.8973546073</v>
      </c>
      <c r="U283" s="22">
        <f t="shared" si="327"/>
        <v>4999.8086345601105</v>
      </c>
      <c r="V283" s="1">
        <f t="shared" si="335"/>
        <v>0</v>
      </c>
      <c r="W283" s="1">
        <f t="shared" si="336"/>
        <v>0</v>
      </c>
      <c r="X283" s="1">
        <f t="shared" si="337"/>
        <v>-196.19345205104403</v>
      </c>
      <c r="Y283" s="1">
        <f t="shared" si="352"/>
        <v>-2.4496200440247518</v>
      </c>
      <c r="Z283" s="1">
        <f t="shared" si="338"/>
        <v>-198.64307209506879</v>
      </c>
      <c r="AA283" s="1">
        <f t="shared" si="339"/>
        <v>-7804.2143479752121</v>
      </c>
      <c r="AB283" s="1">
        <f t="shared" si="340"/>
        <v>5741.2033875565949</v>
      </c>
      <c r="AC283" s="1">
        <f t="shared" si="341"/>
        <v>-2261.6540325136857</v>
      </c>
      <c r="AD283" s="1">
        <f t="shared" si="342"/>
        <v>2.4496200440808025E-2</v>
      </c>
      <c r="AE283">
        <f t="shared" si="343"/>
        <v>-2261.6295363132449</v>
      </c>
      <c r="AG283" s="19">
        <v>13</v>
      </c>
      <c r="AH283" s="19">
        <f t="shared" ref="AH283:AK283" si="364">AH196</f>
        <v>0.96712692453687621</v>
      </c>
      <c r="AI283" s="19">
        <f t="shared" si="364"/>
        <v>4.7383451357329003E-3</v>
      </c>
      <c r="AJ283" s="19">
        <f t="shared" si="364"/>
        <v>214.38800000000001</v>
      </c>
      <c r="AK283" s="19">
        <f t="shared" si="364"/>
        <v>124.24</v>
      </c>
    </row>
    <row r="284" spans="5:37">
      <c r="E284">
        <v>14</v>
      </c>
      <c r="F284" s="13"/>
      <c r="G284" s="13">
        <f t="shared" si="345"/>
        <v>0</v>
      </c>
      <c r="H284" s="13">
        <f t="shared" si="346"/>
        <v>196.20000000000002</v>
      </c>
      <c r="I284" s="13">
        <f t="shared" si="347"/>
        <v>500000</v>
      </c>
      <c r="J284" s="13">
        <f t="shared" si="329"/>
        <v>138.19900000000001</v>
      </c>
      <c r="K284" s="5">
        <f t="shared" si="330"/>
        <v>230.33099999999999</v>
      </c>
      <c r="L284" s="21">
        <f t="shared" si="331"/>
        <v>69099.5</v>
      </c>
      <c r="M284">
        <f t="shared" si="332"/>
        <v>115165.5</v>
      </c>
      <c r="N284">
        <f t="shared" si="348"/>
        <v>5.3788826E-3</v>
      </c>
      <c r="O284">
        <f t="shared" si="349"/>
        <v>0.99996172691202212</v>
      </c>
      <c r="P284">
        <f t="shared" si="333"/>
        <v>5.378676733553027E-6</v>
      </c>
      <c r="Q284">
        <f t="shared" si="326"/>
        <v>0.99995634823528856</v>
      </c>
      <c r="R284">
        <f t="shared" si="350"/>
        <v>107189.8973546073</v>
      </c>
      <c r="S284">
        <f t="shared" si="351"/>
        <v>4999.8086345601105</v>
      </c>
      <c r="T284">
        <f t="shared" si="334"/>
        <v>115160.47282269112</v>
      </c>
      <c r="U284" s="22">
        <f t="shared" si="327"/>
        <v>4999.7817411764427</v>
      </c>
      <c r="V284" s="1">
        <f t="shared" si="335"/>
        <v>0</v>
      </c>
      <c r="W284" s="1">
        <f t="shared" si="336"/>
        <v>0</v>
      </c>
      <c r="X284" s="1">
        <f t="shared" si="337"/>
        <v>-196.19249082013874</v>
      </c>
      <c r="Y284" s="1">
        <f t="shared" si="352"/>
        <v>-2.6893383667765134</v>
      </c>
      <c r="Z284" s="1">
        <f t="shared" si="338"/>
        <v>-198.88182918691527</v>
      </c>
      <c r="AA284" s="1">
        <f t="shared" si="339"/>
        <v>-7970.575468083829</v>
      </c>
      <c r="AB284" s="1">
        <f t="shared" si="340"/>
        <v>6170.4338294042072</v>
      </c>
      <c r="AC284" s="1">
        <f t="shared" si="341"/>
        <v>-1999.0234678665374</v>
      </c>
      <c r="AD284" s="1">
        <f t="shared" si="342"/>
        <v>2.6893383667811577E-2</v>
      </c>
      <c r="AE284">
        <f t="shared" si="343"/>
        <v>-1998.9965744828696</v>
      </c>
      <c r="AG284" s="19">
        <v>14</v>
      </c>
      <c r="AH284" s="19">
        <f t="shared" ref="AH284:AK284" si="365">AH197</f>
        <v>0.96238857940114331</v>
      </c>
      <c r="AI284" s="19">
        <f t="shared" si="365"/>
        <v>5.1765751841795285E-3</v>
      </c>
      <c r="AJ284" s="19">
        <f t="shared" si="365"/>
        <v>230.33099999999999</v>
      </c>
      <c r="AK284" s="19">
        <f t="shared" si="365"/>
        <v>138.19900000000001</v>
      </c>
    </row>
    <row r="285" spans="5:37">
      <c r="E285">
        <v>15</v>
      </c>
      <c r="F285" s="13"/>
      <c r="G285" s="13">
        <f t="shared" si="345"/>
        <v>0</v>
      </c>
      <c r="H285" s="13">
        <f t="shared" si="346"/>
        <v>196.20000000000002</v>
      </c>
      <c r="I285" s="13">
        <f t="shared" si="347"/>
        <v>500000</v>
      </c>
      <c r="J285" s="13">
        <f t="shared" si="329"/>
        <v>152.625</v>
      </c>
      <c r="K285" s="5">
        <f t="shared" si="330"/>
        <v>246.602</v>
      </c>
      <c r="L285" s="21">
        <f t="shared" si="331"/>
        <v>76312.5</v>
      </c>
      <c r="M285">
        <f t="shared" si="332"/>
        <v>123301</v>
      </c>
      <c r="N285">
        <f t="shared" si="348"/>
        <v>5.9071812799999998E-3</v>
      </c>
      <c r="O285">
        <f t="shared" si="349"/>
        <v>0.99995634823528856</v>
      </c>
      <c r="P285">
        <f t="shared" si="333"/>
        <v>5.9069234211126574E-6</v>
      </c>
      <c r="Q285">
        <f t="shared" si="326"/>
        <v>0.9999504413118675</v>
      </c>
      <c r="R285">
        <f t="shared" si="350"/>
        <v>115160.47282269112</v>
      </c>
      <c r="S285">
        <f t="shared" si="351"/>
        <v>4999.7817411764427</v>
      </c>
      <c r="T285">
        <f t="shared" si="334"/>
        <v>123294.88936419458</v>
      </c>
      <c r="U285" s="22">
        <f t="shared" si="327"/>
        <v>4999.7522065593375</v>
      </c>
      <c r="V285" s="1">
        <f t="shared" si="335"/>
        <v>0</v>
      </c>
      <c r="W285" s="1">
        <f t="shared" si="336"/>
        <v>0</v>
      </c>
      <c r="X285" s="1">
        <f t="shared" si="337"/>
        <v>-196.19143552376363</v>
      </c>
      <c r="Y285" s="1">
        <f t="shared" si="352"/>
        <v>-2.9534617105563288</v>
      </c>
      <c r="Z285" s="1">
        <f t="shared" si="338"/>
        <v>-199.14489723431996</v>
      </c>
      <c r="AA285" s="1">
        <f t="shared" si="339"/>
        <v>-8134.4165415034513</v>
      </c>
      <c r="AB285" s="1">
        <f t="shared" si="340"/>
        <v>6608.8140010127163</v>
      </c>
      <c r="AC285" s="1">
        <f t="shared" si="341"/>
        <v>-1724.7474377250555</v>
      </c>
      <c r="AD285" s="1">
        <f t="shared" si="342"/>
        <v>2.9534617105127836E-2</v>
      </c>
      <c r="AE285">
        <f t="shared" si="343"/>
        <v>-1724.7179031079504</v>
      </c>
      <c r="AG285" s="19">
        <v>15</v>
      </c>
      <c r="AH285" s="19">
        <f t="shared" ref="AH285:AK285" si="366">AH198</f>
        <v>0.95721200421696373</v>
      </c>
      <c r="AI285" s="19">
        <f t="shared" si="366"/>
        <v>5.6544248323017292E-3</v>
      </c>
      <c r="AJ285" s="19">
        <f t="shared" si="366"/>
        <v>246.602</v>
      </c>
      <c r="AK285" s="19">
        <f t="shared" si="366"/>
        <v>152.625</v>
      </c>
    </row>
    <row r="286" spans="5:37">
      <c r="E286">
        <v>16</v>
      </c>
      <c r="F286" s="13"/>
      <c r="G286" s="13">
        <f t="shared" si="345"/>
        <v>0</v>
      </c>
      <c r="H286" s="13">
        <f t="shared" si="346"/>
        <v>196.20000000000002</v>
      </c>
      <c r="I286" s="13">
        <f t="shared" si="347"/>
        <v>500000</v>
      </c>
      <c r="J286" s="13">
        <f t="shared" si="329"/>
        <v>167.47900000000001</v>
      </c>
      <c r="K286" s="5">
        <f t="shared" si="330"/>
        <v>263.15499999999997</v>
      </c>
      <c r="L286" s="21">
        <f t="shared" si="331"/>
        <v>83739.5</v>
      </c>
      <c r="M286">
        <f t="shared" si="332"/>
        <v>131577.49999999997</v>
      </c>
      <c r="N286">
        <f t="shared" si="348"/>
        <v>6.5392217799999999E-3</v>
      </c>
      <c r="O286">
        <f t="shared" si="349"/>
        <v>0.9999504413118675</v>
      </c>
      <c r="P286">
        <f t="shared" si="333"/>
        <v>6.5388977047471757E-6</v>
      </c>
      <c r="Q286">
        <f t="shared" si="326"/>
        <v>0.99994390241416276</v>
      </c>
      <c r="R286">
        <f t="shared" si="350"/>
        <v>123294.88936419458</v>
      </c>
      <c r="S286">
        <f t="shared" si="351"/>
        <v>4999.7522065593375</v>
      </c>
      <c r="T286">
        <f t="shared" si="334"/>
        <v>131570.11881989948</v>
      </c>
      <c r="U286" s="22">
        <f t="shared" si="327"/>
        <v>4999.7195120708138</v>
      </c>
      <c r="V286" s="1">
        <f t="shared" si="335"/>
        <v>0</v>
      </c>
      <c r="W286" s="1">
        <f t="shared" si="336"/>
        <v>0</v>
      </c>
      <c r="X286" s="1">
        <f t="shared" si="337"/>
        <v>-196.19027658538843</v>
      </c>
      <c r="Y286" s="1">
        <f t="shared" si="352"/>
        <v>-3.2694488523735878</v>
      </c>
      <c r="Z286" s="1">
        <f t="shared" si="338"/>
        <v>-199.45972543776202</v>
      </c>
      <c r="AA286" s="1">
        <f t="shared" si="339"/>
        <v>-8275.2294557049026</v>
      </c>
      <c r="AB286" s="1">
        <f t="shared" si="340"/>
        <v>7056.2052863914651</v>
      </c>
      <c r="AC286" s="1">
        <f t="shared" si="341"/>
        <v>-1418.4838947511998</v>
      </c>
      <c r="AD286" s="1">
        <f t="shared" si="342"/>
        <v>3.2694488523702603E-2</v>
      </c>
      <c r="AE286">
        <f t="shared" si="343"/>
        <v>-1418.4512002626761</v>
      </c>
      <c r="AG286" s="19">
        <v>16</v>
      </c>
      <c r="AH286" s="19">
        <f t="shared" ref="AH286:AK286" si="367">AH199</f>
        <v>0.95155757938466201</v>
      </c>
      <c r="AI286" s="19">
        <f t="shared" si="367"/>
        <v>6.2224460480362611E-3</v>
      </c>
      <c r="AJ286" s="19">
        <f t="shared" si="367"/>
        <v>263.15499999999997</v>
      </c>
      <c r="AK286" s="19">
        <f t="shared" si="367"/>
        <v>167.47900000000001</v>
      </c>
    </row>
    <row r="287" spans="5:37">
      <c r="E287">
        <v>17</v>
      </c>
      <c r="F287" s="13"/>
      <c r="G287" s="13">
        <f t="shared" si="345"/>
        <v>0</v>
      </c>
      <c r="H287" s="13">
        <f t="shared" si="346"/>
        <v>196.20000000000002</v>
      </c>
      <c r="I287" s="13">
        <f t="shared" si="347"/>
        <v>500000</v>
      </c>
      <c r="J287" s="13">
        <f t="shared" si="329"/>
        <v>182.773</v>
      </c>
      <c r="K287" s="5">
        <f t="shared" si="330"/>
        <v>279.995</v>
      </c>
      <c r="L287" s="21">
        <f t="shared" si="331"/>
        <v>91386.5</v>
      </c>
      <c r="M287">
        <f t="shared" si="332"/>
        <v>139997.5</v>
      </c>
      <c r="N287">
        <f t="shared" si="348"/>
        <v>7.2131077200000004E-3</v>
      </c>
      <c r="O287">
        <f t="shared" si="349"/>
        <v>0.99994390241416276</v>
      </c>
      <c r="P287">
        <f t="shared" si="333"/>
        <v>7.2127030820705252E-6</v>
      </c>
      <c r="Q287">
        <f t="shared" si="326"/>
        <v>0.99993668971108074</v>
      </c>
      <c r="R287">
        <f t="shared" si="350"/>
        <v>131570.11881989948</v>
      </c>
      <c r="S287">
        <f t="shared" si="351"/>
        <v>4999.7195120708138</v>
      </c>
      <c r="T287">
        <f t="shared" si="334"/>
        <v>139988.63671782703</v>
      </c>
      <c r="U287" s="22">
        <f t="shared" si="327"/>
        <v>4999.6834485554036</v>
      </c>
      <c r="V287" s="1">
        <f t="shared" si="335"/>
        <v>0</v>
      </c>
      <c r="W287" s="1">
        <f t="shared" si="336"/>
        <v>0</v>
      </c>
      <c r="X287" s="1">
        <f t="shared" si="337"/>
        <v>-196.18899365365874</v>
      </c>
      <c r="Y287" s="1">
        <f t="shared" si="352"/>
        <v>-3.6063515410352625</v>
      </c>
      <c r="Z287" s="1">
        <f t="shared" si="338"/>
        <v>-199.79534519469399</v>
      </c>
      <c r="AA287" s="1">
        <f t="shared" si="339"/>
        <v>-8418.5178979275515</v>
      </c>
      <c r="AB287" s="1">
        <f t="shared" si="340"/>
        <v>7511.3411082583661</v>
      </c>
      <c r="AC287" s="1">
        <f t="shared" si="341"/>
        <v>-1106.9721348638795</v>
      </c>
      <c r="AD287" s="1">
        <f t="shared" si="342"/>
        <v>3.6063515410205582E-2</v>
      </c>
      <c r="AE287">
        <f t="shared" si="343"/>
        <v>-1106.9360713484693</v>
      </c>
      <c r="AG287" s="19">
        <v>17</v>
      </c>
      <c r="AH287" s="19">
        <f t="shared" ref="AH287:AK287" si="368">AH200</f>
        <v>0.94533513333662578</v>
      </c>
      <c r="AI287" s="19">
        <f t="shared" si="368"/>
        <v>6.8188041482576452E-3</v>
      </c>
      <c r="AJ287" s="19">
        <f t="shared" si="368"/>
        <v>279.995</v>
      </c>
      <c r="AK287" s="19">
        <f t="shared" si="368"/>
        <v>182.773</v>
      </c>
    </row>
    <row r="288" spans="5:37">
      <c r="E288">
        <v>18</v>
      </c>
      <c r="F288" s="13"/>
      <c r="G288" s="13">
        <f t="shared" si="345"/>
        <v>0</v>
      </c>
      <c r="H288" s="13">
        <f t="shared" si="346"/>
        <v>196.20000000000002</v>
      </c>
      <c r="I288" s="13">
        <f t="shared" si="347"/>
        <v>500000</v>
      </c>
      <c r="J288" s="13">
        <f t="shared" si="329"/>
        <v>198.56</v>
      </c>
      <c r="K288" s="5">
        <f t="shared" si="330"/>
        <v>297.161</v>
      </c>
      <c r="L288" s="21">
        <f t="shared" si="331"/>
        <v>99280</v>
      </c>
      <c r="M288">
        <f t="shared" si="332"/>
        <v>148580.5</v>
      </c>
      <c r="N288">
        <f t="shared" si="348"/>
        <v>7.8843783199999996E-3</v>
      </c>
      <c r="O288">
        <f t="shared" si="349"/>
        <v>0.99993668971108074</v>
      </c>
      <c r="P288">
        <f t="shared" si="333"/>
        <v>7.8838791577306114E-6</v>
      </c>
      <c r="Q288">
        <f t="shared" si="326"/>
        <v>0.99992880583192301</v>
      </c>
      <c r="R288">
        <f t="shared" si="350"/>
        <v>139988.63671782703</v>
      </c>
      <c r="S288">
        <f t="shared" si="351"/>
        <v>4999.6834485554036</v>
      </c>
      <c r="T288">
        <f t="shared" si="334"/>
        <v>148569.92193491003</v>
      </c>
      <c r="U288" s="22">
        <f t="shared" si="327"/>
        <v>4999.6440291596155</v>
      </c>
      <c r="V288" s="1">
        <f t="shared" si="335"/>
        <v>0</v>
      </c>
      <c r="W288" s="1">
        <f t="shared" si="336"/>
        <v>0</v>
      </c>
      <c r="X288" s="1">
        <f t="shared" si="337"/>
        <v>-196.18757852131407</v>
      </c>
      <c r="Y288" s="1">
        <f t="shared" si="352"/>
        <v>-3.9419395788653055</v>
      </c>
      <c r="Z288" s="1">
        <f t="shared" si="338"/>
        <v>-200.12951810017938</v>
      </c>
      <c r="AA288" s="1">
        <f t="shared" si="339"/>
        <v>-8581.285217083001</v>
      </c>
      <c r="AB288" s="1">
        <f t="shared" si="340"/>
        <v>7974.357609151034</v>
      </c>
      <c r="AC288" s="1">
        <f t="shared" si="341"/>
        <v>-807.05712603214579</v>
      </c>
      <c r="AD288" s="1">
        <f t="shared" si="342"/>
        <v>3.9419395788172551E-2</v>
      </c>
      <c r="AE288">
        <f t="shared" si="343"/>
        <v>-807.01770663635762</v>
      </c>
      <c r="AG288" s="19">
        <v>18</v>
      </c>
      <c r="AH288" s="19">
        <f t="shared" ref="AH288:AK288" si="369">AH201</f>
        <v>0.93851632918836814</v>
      </c>
      <c r="AI288" s="19">
        <f t="shared" si="369"/>
        <v>7.3996177988187523E-3</v>
      </c>
      <c r="AJ288" s="19">
        <f t="shared" si="369"/>
        <v>297.161</v>
      </c>
      <c r="AK288" s="19">
        <f t="shared" si="369"/>
        <v>198.56</v>
      </c>
    </row>
    <row r="289" spans="5:37">
      <c r="E289">
        <v>19</v>
      </c>
      <c r="F289" s="13"/>
      <c r="G289" s="13">
        <f t="shared" si="345"/>
        <v>0</v>
      </c>
      <c r="H289" s="13">
        <f t="shared" si="346"/>
        <v>196.20000000000002</v>
      </c>
      <c r="I289" s="13">
        <f t="shared" si="347"/>
        <v>500000</v>
      </c>
      <c r="J289" s="13">
        <f t="shared" si="329"/>
        <v>214.84399999999999</v>
      </c>
      <c r="K289" s="5">
        <f t="shared" si="330"/>
        <v>314.64499999999998</v>
      </c>
      <c r="L289" s="21">
        <f t="shared" si="331"/>
        <v>107422</v>
      </c>
      <c r="M289">
        <f t="shared" si="332"/>
        <v>157322.5</v>
      </c>
      <c r="N289">
        <f t="shared" si="348"/>
        <v>8.6227759800000005E-3</v>
      </c>
      <c r="O289">
        <f t="shared" si="349"/>
        <v>0.99992880583192301</v>
      </c>
      <c r="P289">
        <f t="shared" si="333"/>
        <v>8.6221620886375896E-6</v>
      </c>
      <c r="Q289">
        <f t="shared" si="326"/>
        <v>0.99992018366983437</v>
      </c>
      <c r="R289">
        <f t="shared" si="350"/>
        <v>148569.92193491003</v>
      </c>
      <c r="S289">
        <f t="shared" si="351"/>
        <v>4999.6440291596155</v>
      </c>
      <c r="T289">
        <f t="shared" si="334"/>
        <v>157309.94309539752</v>
      </c>
      <c r="U289" s="22">
        <f t="shared" si="327"/>
        <v>4999.6009183491715</v>
      </c>
      <c r="V289" s="1">
        <f t="shared" si="335"/>
        <v>0</v>
      </c>
      <c r="W289" s="1">
        <f t="shared" si="336"/>
        <v>0</v>
      </c>
      <c r="X289" s="1">
        <f t="shared" si="337"/>
        <v>-196.18603170422332</v>
      </c>
      <c r="Y289" s="1">
        <f t="shared" si="352"/>
        <v>-4.3110810443187946</v>
      </c>
      <c r="Z289" s="1">
        <f t="shared" si="338"/>
        <v>-200.49711274854212</v>
      </c>
      <c r="AA289" s="1">
        <f t="shared" si="339"/>
        <v>-8740.021160487493</v>
      </c>
      <c r="AB289" s="1">
        <f t="shared" si="340"/>
        <v>8446.3261280238312</v>
      </c>
      <c r="AC289" s="1">
        <f t="shared" si="341"/>
        <v>-494.1921452122042</v>
      </c>
      <c r="AD289" s="1">
        <f t="shared" si="342"/>
        <v>4.3110810443977243E-2</v>
      </c>
      <c r="AE289">
        <f t="shared" si="343"/>
        <v>-494.14903440176022</v>
      </c>
      <c r="AG289" s="19">
        <v>19</v>
      </c>
      <c r="AH289" s="19">
        <f t="shared" ref="AH289:AK289" si="370">AH202</f>
        <v>0.93111671138954943</v>
      </c>
      <c r="AI289" s="19">
        <f t="shared" si="370"/>
        <v>8.0288108135463995E-3</v>
      </c>
      <c r="AJ289" s="19">
        <f t="shared" si="370"/>
        <v>314.64499999999998</v>
      </c>
      <c r="AK289" s="19">
        <f t="shared" si="370"/>
        <v>214.84399999999999</v>
      </c>
    </row>
    <row r="290" spans="5:37">
      <c r="E290">
        <v>20</v>
      </c>
      <c r="F290" s="13"/>
      <c r="G290" s="13">
        <f t="shared" si="345"/>
        <v>0</v>
      </c>
      <c r="H290" s="13">
        <f t="shared" si="346"/>
        <v>196.20000000000002</v>
      </c>
      <c r="I290" s="13">
        <f t="shared" si="347"/>
        <v>500000</v>
      </c>
      <c r="J290" s="13">
        <f t="shared" si="329"/>
        <v>231.64500000000001</v>
      </c>
      <c r="K290" s="5">
        <f t="shared" si="330"/>
        <v>332.459</v>
      </c>
      <c r="L290" s="21">
        <f t="shared" si="331"/>
        <v>115822.5</v>
      </c>
      <c r="M290">
        <f t="shared" si="332"/>
        <v>166229.5</v>
      </c>
      <c r="N290">
        <f t="shared" si="348"/>
        <v>9.4082497599999992E-3</v>
      </c>
      <c r="O290">
        <f t="shared" si="349"/>
        <v>0.99992018366983437</v>
      </c>
      <c r="P290">
        <f t="shared" si="333"/>
        <v>9.4074988280308749E-6</v>
      </c>
      <c r="Q290">
        <f t="shared" si="326"/>
        <v>0.99991077617100632</v>
      </c>
      <c r="R290">
        <f t="shared" si="350"/>
        <v>157309.94309539752</v>
      </c>
      <c r="S290">
        <f t="shared" si="351"/>
        <v>4999.6009183491715</v>
      </c>
      <c r="T290">
        <f t="shared" si="334"/>
        <v>166214.66836751829</v>
      </c>
      <c r="U290" s="22">
        <f t="shared" si="327"/>
        <v>4999.5538808550318</v>
      </c>
      <c r="V290" s="1">
        <f t="shared" si="335"/>
        <v>0</v>
      </c>
      <c r="W290" s="1">
        <f t="shared" si="336"/>
        <v>0</v>
      </c>
      <c r="X290" s="1">
        <f t="shared" si="337"/>
        <v>-196.18434003602152</v>
      </c>
      <c r="Y290" s="1">
        <f t="shared" si="352"/>
        <v>-4.7037494140154372</v>
      </c>
      <c r="Z290" s="1">
        <f t="shared" si="338"/>
        <v>-200.88808945003697</v>
      </c>
      <c r="AA290" s="1">
        <f t="shared" si="339"/>
        <v>-8904.7252721207624</v>
      </c>
      <c r="AB290" s="1">
        <f t="shared" si="340"/>
        <v>8927.0249207560682</v>
      </c>
      <c r="AC290" s="1">
        <f t="shared" si="341"/>
        <v>-178.58844081473035</v>
      </c>
      <c r="AD290" s="1">
        <f t="shared" si="342"/>
        <v>4.703749413965852E-2</v>
      </c>
      <c r="AE290">
        <f t="shared" si="343"/>
        <v>-178.54140332059069</v>
      </c>
      <c r="AG290" s="19">
        <v>20</v>
      </c>
      <c r="AH290" s="19">
        <f t="shared" ref="AH290:AK290" si="371">AH203</f>
        <v>0.92308790057600298</v>
      </c>
      <c r="AI290" s="19">
        <f t="shared" si="371"/>
        <v>8.6846415190530834E-3</v>
      </c>
      <c r="AJ290" s="19">
        <f t="shared" si="371"/>
        <v>332.459</v>
      </c>
      <c r="AK290" s="19">
        <f t="shared" si="371"/>
        <v>231.64500000000001</v>
      </c>
    </row>
    <row r="291" spans="5:37">
      <c r="E291">
        <v>21</v>
      </c>
      <c r="F291" s="13"/>
      <c r="G291" s="13">
        <f t="shared" si="345"/>
        <v>0</v>
      </c>
      <c r="H291" s="13">
        <f t="shared" si="346"/>
        <v>196.20000000000002</v>
      </c>
      <c r="I291" s="13">
        <f t="shared" si="347"/>
        <v>500000</v>
      </c>
      <c r="J291" s="13">
        <f t="shared" si="329"/>
        <v>248.96100000000001</v>
      </c>
      <c r="K291" s="5">
        <f t="shared" si="330"/>
        <v>350.58699999999999</v>
      </c>
      <c r="L291" s="21">
        <f t="shared" si="331"/>
        <v>124480.5</v>
      </c>
      <c r="M291">
        <f t="shared" si="332"/>
        <v>175293.5</v>
      </c>
      <c r="N291">
        <f t="shared" si="348"/>
        <v>1.02826451E-2</v>
      </c>
      <c r="O291">
        <f t="shared" si="349"/>
        <v>0.99991077617100632</v>
      </c>
      <c r="P291">
        <f t="shared" ref="P291:P345" si="372">N291*O291/1000</f>
        <v>1.0281727643031995E-5</v>
      </c>
      <c r="Q291">
        <f t="shared" ref="Q291:Q345" si="373">O291-SUM(P291:P291)</f>
        <v>0.99990049444336326</v>
      </c>
      <c r="R291">
        <f t="shared" si="350"/>
        <v>166214.66836751829</v>
      </c>
      <c r="S291">
        <f t="shared" si="351"/>
        <v>4999.5538808550318</v>
      </c>
      <c r="T291">
        <f t="shared" si="334"/>
        <v>175276.0573227077</v>
      </c>
      <c r="U291" s="22">
        <f t="shared" si="327"/>
        <v>4999.5024722168164</v>
      </c>
      <c r="V291" s="1">
        <f t="shared" si="335"/>
        <v>0</v>
      </c>
      <c r="W291" s="1">
        <f t="shared" si="336"/>
        <v>0</v>
      </c>
      <c r="X291" s="1">
        <f t="shared" si="337"/>
        <v>-196.18249428475147</v>
      </c>
      <c r="Y291" s="1">
        <f t="shared" si="352"/>
        <v>-5.140863821515997</v>
      </c>
      <c r="Z291" s="1">
        <f t="shared" si="338"/>
        <v>-201.32335810626748</v>
      </c>
      <c r="AA291" s="1">
        <f t="shared" si="339"/>
        <v>-9061.3889551894099</v>
      </c>
      <c r="AB291" s="1">
        <f t="shared" si="340"/>
        <v>9416.7822236605334</v>
      </c>
      <c r="AC291" s="1">
        <f t="shared" si="341"/>
        <v>154.0699103648567</v>
      </c>
      <c r="AD291" s="1">
        <f t="shared" si="342"/>
        <v>5.1408638215434621E-2</v>
      </c>
      <c r="AE291">
        <f t="shared" si="343"/>
        <v>154.12131900307213</v>
      </c>
      <c r="AG291" s="19">
        <v>21</v>
      </c>
      <c r="AH291" s="19">
        <f t="shared" ref="AH291:AK291" si="374">AH204</f>
        <v>0.91440325905694986</v>
      </c>
      <c r="AI291" s="19">
        <f t="shared" si="374"/>
        <v>9.4024841911659763E-3</v>
      </c>
      <c r="AJ291" s="19">
        <f t="shared" si="374"/>
        <v>350.58699999999999</v>
      </c>
      <c r="AK291" s="19">
        <f t="shared" si="374"/>
        <v>248.96100000000001</v>
      </c>
    </row>
    <row r="292" spans="5:37">
      <c r="E292">
        <v>22</v>
      </c>
      <c r="F292" s="13"/>
      <c r="G292" s="13">
        <f t="shared" si="345"/>
        <v>0</v>
      </c>
      <c r="H292" s="13">
        <f t="shared" si="346"/>
        <v>196.20000000000002</v>
      </c>
      <c r="I292" s="13">
        <f t="shared" si="347"/>
        <v>500000</v>
      </c>
      <c r="J292" s="13">
        <f t="shared" si="329"/>
        <v>266.76</v>
      </c>
      <c r="K292" s="5">
        <f t="shared" si="330"/>
        <v>368.99299999999999</v>
      </c>
      <c r="L292" s="21">
        <f t="shared" si="331"/>
        <v>133380</v>
      </c>
      <c r="M292">
        <f t="shared" si="332"/>
        <v>184496.5</v>
      </c>
      <c r="N292">
        <f t="shared" si="348"/>
        <v>1.129129456E-2</v>
      </c>
      <c r="O292">
        <f t="shared" si="349"/>
        <v>0.99990049444336326</v>
      </c>
      <c r="P292">
        <f t="shared" si="372"/>
        <v>1.1290171013449658E-5</v>
      </c>
      <c r="Q292">
        <f t="shared" si="373"/>
        <v>0.99988920427234984</v>
      </c>
      <c r="R292">
        <f t="shared" si="350"/>
        <v>175276.0573227077</v>
      </c>
      <c r="S292">
        <f t="shared" si="351"/>
        <v>4999.5024722168164</v>
      </c>
      <c r="T292">
        <f t="shared" si="334"/>
        <v>184476.0585760336</v>
      </c>
      <c r="U292" s="22">
        <f t="shared" si="327"/>
        <v>4999.4460213617494</v>
      </c>
      <c r="V292" s="1">
        <f t="shared" si="335"/>
        <v>0</v>
      </c>
      <c r="W292" s="1">
        <f t="shared" si="336"/>
        <v>0</v>
      </c>
      <c r="X292" s="1">
        <f t="shared" si="337"/>
        <v>-196.18047700978789</v>
      </c>
      <c r="Y292" s="1">
        <f t="shared" si="352"/>
        <v>-5.6450855067248291</v>
      </c>
      <c r="Z292" s="1">
        <f t="shared" si="338"/>
        <v>-201.82556251651272</v>
      </c>
      <c r="AA292" s="1">
        <f t="shared" si="339"/>
        <v>-9200.0012533258996</v>
      </c>
      <c r="AB292" s="1">
        <f t="shared" si="340"/>
        <v>9915.1557887208492</v>
      </c>
      <c r="AC292" s="1">
        <f t="shared" si="341"/>
        <v>513.32897287843662</v>
      </c>
      <c r="AD292" s="1">
        <f t="shared" si="342"/>
        <v>5.6450855066941585E-2</v>
      </c>
      <c r="AE292">
        <f t="shared" si="343"/>
        <v>513.38542373350356</v>
      </c>
      <c r="AG292" s="19">
        <v>22</v>
      </c>
      <c r="AH292" s="19">
        <f t="shared" ref="AH292:AK292" si="375">AH205</f>
        <v>0.9050007748657839</v>
      </c>
      <c r="AI292" s="19">
        <f t="shared" si="375"/>
        <v>1.0218630326037811E-2</v>
      </c>
      <c r="AJ292" s="19">
        <f t="shared" si="375"/>
        <v>368.99299999999999</v>
      </c>
      <c r="AK292" s="19">
        <f t="shared" si="375"/>
        <v>266.76</v>
      </c>
    </row>
    <row r="293" spans="5:37">
      <c r="E293">
        <v>23</v>
      </c>
      <c r="F293" s="13"/>
      <c r="G293" s="13">
        <f t="shared" si="345"/>
        <v>0</v>
      </c>
      <c r="H293" s="13">
        <f t="shared" si="346"/>
        <v>196.20000000000002</v>
      </c>
      <c r="I293" s="13">
        <f t="shared" si="347"/>
        <v>500000</v>
      </c>
      <c r="J293" s="13">
        <f t="shared" si="329"/>
        <v>285.06200000000001</v>
      </c>
      <c r="K293" s="5">
        <f t="shared" si="330"/>
        <v>387.68599999999998</v>
      </c>
      <c r="L293" s="21">
        <f t="shared" si="331"/>
        <v>142531</v>
      </c>
      <c r="M293">
        <f t="shared" si="332"/>
        <v>193843</v>
      </c>
      <c r="N293">
        <f t="shared" si="348"/>
        <v>1.236968642E-2</v>
      </c>
      <c r="O293">
        <f t="shared" si="349"/>
        <v>0.99988920427234984</v>
      </c>
      <c r="P293">
        <f t="shared" si="372"/>
        <v>1.236831591159229E-5</v>
      </c>
      <c r="Q293">
        <f t="shared" si="373"/>
        <v>0.99987683595643828</v>
      </c>
      <c r="R293">
        <f t="shared" si="350"/>
        <v>184476.0585760336</v>
      </c>
      <c r="S293">
        <f t="shared" si="351"/>
        <v>4999.4460213617494</v>
      </c>
      <c r="T293">
        <f t="shared" si="334"/>
        <v>193819.12551230387</v>
      </c>
      <c r="U293" s="22">
        <f t="shared" si="327"/>
        <v>4999.3841797821915</v>
      </c>
      <c r="V293" s="1">
        <f t="shared" si="335"/>
        <v>0</v>
      </c>
      <c r="W293" s="1">
        <f t="shared" si="336"/>
        <v>0</v>
      </c>
      <c r="X293" s="1">
        <f t="shared" si="337"/>
        <v>-196.17826187823505</v>
      </c>
      <c r="Y293" s="1">
        <f t="shared" si="352"/>
        <v>-6.1841579557961452</v>
      </c>
      <c r="Z293" s="1">
        <f t="shared" si="338"/>
        <v>-202.36241983403119</v>
      </c>
      <c r="AA293" s="1">
        <f t="shared" si="339"/>
        <v>-9343.0669362702756</v>
      </c>
      <c r="AB293" s="1">
        <f t="shared" si="340"/>
        <v>10421.152752856744</v>
      </c>
      <c r="AC293" s="1">
        <f t="shared" si="341"/>
        <v>875.72339675243711</v>
      </c>
      <c r="AD293" s="1">
        <f t="shared" si="342"/>
        <v>6.1841579557949444E-2</v>
      </c>
      <c r="AE293">
        <f t="shared" si="343"/>
        <v>875.78523833199506</v>
      </c>
      <c r="AG293" s="19">
        <v>23</v>
      </c>
      <c r="AH293" s="19">
        <f t="shared" ref="AH293:AK293" si="376">AH206</f>
        <v>0.89478214453974614</v>
      </c>
      <c r="AI293" s="19">
        <f t="shared" si="376"/>
        <v>1.1068174542171775E-2</v>
      </c>
      <c r="AJ293" s="19">
        <f t="shared" si="376"/>
        <v>387.68599999999998</v>
      </c>
      <c r="AK293" s="19">
        <f t="shared" si="376"/>
        <v>285.06200000000001</v>
      </c>
    </row>
    <row r="294" spans="5:37">
      <c r="E294">
        <v>24</v>
      </c>
      <c r="F294" s="13"/>
      <c r="G294" s="13">
        <f t="shared" si="345"/>
        <v>0</v>
      </c>
      <c r="H294" s="13">
        <f t="shared" si="346"/>
        <v>196.20000000000002</v>
      </c>
      <c r="I294" s="13">
        <f t="shared" si="347"/>
        <v>500000</v>
      </c>
      <c r="J294" s="13">
        <f t="shared" si="329"/>
        <v>303.89800000000002</v>
      </c>
      <c r="K294" s="5">
        <f t="shared" si="330"/>
        <v>406.68200000000002</v>
      </c>
      <c r="L294" s="21">
        <f t="shared" si="331"/>
        <v>151949</v>
      </c>
      <c r="M294">
        <f t="shared" si="332"/>
        <v>203341</v>
      </c>
      <c r="N294">
        <f t="shared" si="348"/>
        <v>1.3515205339999999E-2</v>
      </c>
      <c r="O294">
        <f t="shared" si="349"/>
        <v>0.99987683595643828</v>
      </c>
      <c r="P294">
        <f t="shared" si="372"/>
        <v>1.3513540752660758E-5</v>
      </c>
      <c r="Q294">
        <f t="shared" si="373"/>
        <v>0.99986332241568565</v>
      </c>
      <c r="R294">
        <f t="shared" si="350"/>
        <v>193819.12551230387</v>
      </c>
      <c r="S294">
        <f t="shared" si="351"/>
        <v>4999.3841797821915</v>
      </c>
      <c r="T294">
        <f t="shared" si="334"/>
        <v>203313.20784332792</v>
      </c>
      <c r="U294" s="22">
        <f t="shared" si="327"/>
        <v>4999.3166120784281</v>
      </c>
      <c r="V294" s="1">
        <f t="shared" si="335"/>
        <v>0</v>
      </c>
      <c r="W294" s="1">
        <f t="shared" si="336"/>
        <v>0</v>
      </c>
      <c r="X294" s="1">
        <f t="shared" si="337"/>
        <v>-196.1758352146532</v>
      </c>
      <c r="Y294" s="1">
        <f t="shared" si="352"/>
        <v>-6.7567703763303788</v>
      </c>
      <c r="Z294" s="1">
        <f t="shared" si="338"/>
        <v>-202.93260559098357</v>
      </c>
      <c r="AA294" s="1">
        <f t="shared" si="339"/>
        <v>-9494.0823310240521</v>
      </c>
      <c r="AB294" s="1">
        <f t="shared" si="340"/>
        <v>10935.018033064733</v>
      </c>
      <c r="AC294" s="1">
        <f t="shared" si="341"/>
        <v>1238.0030964496964</v>
      </c>
      <c r="AD294" s="1">
        <f t="shared" si="342"/>
        <v>6.7567703763415921E-2</v>
      </c>
      <c r="AE294">
        <f t="shared" si="343"/>
        <v>1238.0706641534598</v>
      </c>
      <c r="AG294" s="19">
        <v>24</v>
      </c>
      <c r="AH294" s="19">
        <f t="shared" ref="AH294:AK294" si="377">AH207</f>
        <v>0.88371396999757434</v>
      </c>
      <c r="AI294" s="19">
        <f t="shared" si="377"/>
        <v>1.1943575766343816E-2</v>
      </c>
      <c r="AJ294" s="19">
        <f t="shared" si="377"/>
        <v>406.68200000000002</v>
      </c>
      <c r="AK294" s="19">
        <f t="shared" si="377"/>
        <v>303.89800000000002</v>
      </c>
    </row>
    <row r="295" spans="5:37">
      <c r="E295">
        <v>25</v>
      </c>
      <c r="F295" s="13"/>
      <c r="G295" s="13">
        <f t="shared" si="345"/>
        <v>0</v>
      </c>
      <c r="H295" s="13">
        <f t="shared" si="346"/>
        <v>196.20000000000002</v>
      </c>
      <c r="I295" s="13">
        <f t="shared" si="347"/>
        <v>500000</v>
      </c>
      <c r="J295" s="13">
        <f t="shared" si="329"/>
        <v>323.25200000000001</v>
      </c>
      <c r="K295" s="5">
        <f t="shared" si="330"/>
        <v>425.95800000000003</v>
      </c>
      <c r="L295" s="21">
        <f t="shared" si="331"/>
        <v>161626</v>
      </c>
      <c r="M295">
        <f t="shared" si="332"/>
        <v>212979</v>
      </c>
      <c r="N295">
        <f t="shared" si="348"/>
        <v>1.4805439740000001E-2</v>
      </c>
      <c r="O295">
        <f t="shared" si="349"/>
        <v>0.99986332241568565</v>
      </c>
      <c r="P295">
        <f t="shared" si="372"/>
        <v>1.4803416168261625E-5</v>
      </c>
      <c r="Q295">
        <f t="shared" si="373"/>
        <v>0.99984851899951743</v>
      </c>
      <c r="R295">
        <f t="shared" si="350"/>
        <v>203313.20784332792</v>
      </c>
      <c r="S295">
        <f t="shared" si="351"/>
        <v>4999.3166120784281</v>
      </c>
      <c r="T295">
        <f t="shared" si="334"/>
        <v>212946.73772799823</v>
      </c>
      <c r="U295" s="22">
        <f t="shared" si="327"/>
        <v>4999.2425949975868</v>
      </c>
      <c r="V295" s="1">
        <f t="shared" si="335"/>
        <v>0</v>
      </c>
      <c r="W295" s="1">
        <f t="shared" si="336"/>
        <v>0</v>
      </c>
      <c r="X295" s="1">
        <f t="shared" si="337"/>
        <v>-196.17318385795755</v>
      </c>
      <c r="Y295" s="1">
        <f t="shared" si="352"/>
        <v>-7.4017080841308127</v>
      </c>
      <c r="Z295" s="1">
        <f t="shared" si="338"/>
        <v>-203.57489194208836</v>
      </c>
      <c r="AA295" s="1">
        <f t="shared" si="339"/>
        <v>-9633.5298846703081</v>
      </c>
      <c r="AB295" s="1">
        <f t="shared" si="340"/>
        <v>11457.188845047349</v>
      </c>
      <c r="AC295" s="1">
        <f t="shared" si="341"/>
        <v>1620.0840684349532</v>
      </c>
      <c r="AD295" s="1">
        <f t="shared" si="342"/>
        <v>7.4017080841258576E-2</v>
      </c>
      <c r="AE295">
        <f t="shared" si="343"/>
        <v>1620.1580855157945</v>
      </c>
      <c r="AG295" s="19">
        <v>25</v>
      </c>
      <c r="AH295" s="19">
        <f t="shared" ref="AH295:AK295" si="378">AH208</f>
        <v>0.87177039423123048</v>
      </c>
      <c r="AI295" s="19">
        <f t="shared" si="378"/>
        <v>1.2906944038906527E-2</v>
      </c>
      <c r="AJ295" s="19">
        <f t="shared" si="378"/>
        <v>425.95800000000003</v>
      </c>
      <c r="AK295" s="19">
        <f t="shared" si="378"/>
        <v>323.25200000000001</v>
      </c>
    </row>
    <row r="296" spans="5:37">
      <c r="E296">
        <v>26</v>
      </c>
      <c r="F296" s="13"/>
      <c r="G296" s="13">
        <f t="shared" si="345"/>
        <v>0</v>
      </c>
      <c r="H296" s="13">
        <f t="shared" si="346"/>
        <v>196.20000000000002</v>
      </c>
      <c r="I296" s="13">
        <f t="shared" si="347"/>
        <v>500000</v>
      </c>
      <c r="J296" s="13">
        <f t="shared" si="329"/>
        <v>343.10500000000002</v>
      </c>
      <c r="K296" s="5">
        <f t="shared" si="330"/>
        <v>445.488</v>
      </c>
      <c r="L296" s="21">
        <f t="shared" si="331"/>
        <v>171552.5</v>
      </c>
      <c r="M296">
        <f t="shared" si="332"/>
        <v>222744</v>
      </c>
      <c r="N296">
        <f t="shared" si="348"/>
        <v>1.6260440559999999E-2</v>
      </c>
      <c r="O296">
        <f t="shared" si="349"/>
        <v>0.99984851899951743</v>
      </c>
      <c r="P296">
        <f t="shared" si="372"/>
        <v>1.6257977412195685E-5</v>
      </c>
      <c r="Q296">
        <f t="shared" si="373"/>
        <v>0.99983226102210521</v>
      </c>
      <c r="R296">
        <f t="shared" si="350"/>
        <v>212946.73772799823</v>
      </c>
      <c r="S296">
        <f t="shared" si="351"/>
        <v>4999.2425949975868</v>
      </c>
      <c r="T296">
        <f t="shared" si="334"/>
        <v>222706.63714910779</v>
      </c>
      <c r="U296" s="22">
        <f t="shared" si="327"/>
        <v>4999.161305110526</v>
      </c>
      <c r="V296" s="1">
        <f t="shared" si="335"/>
        <v>0</v>
      </c>
      <c r="W296" s="1">
        <f t="shared" si="336"/>
        <v>0</v>
      </c>
      <c r="X296" s="1">
        <f t="shared" si="337"/>
        <v>-196.17027942770534</v>
      </c>
      <c r="Y296" s="1">
        <f t="shared" si="352"/>
        <v>-8.128988706097843</v>
      </c>
      <c r="Z296" s="1">
        <f t="shared" si="338"/>
        <v>-204.2992681338032</v>
      </c>
      <c r="AA296" s="1">
        <f t="shared" si="339"/>
        <v>-9759.899421109556</v>
      </c>
      <c r="AB296" s="1">
        <f t="shared" si="340"/>
        <v>11987.02891776477</v>
      </c>
      <c r="AC296" s="1">
        <f t="shared" si="341"/>
        <v>2022.8302285214104</v>
      </c>
      <c r="AD296" s="1">
        <f t="shared" si="342"/>
        <v>8.1289887060847832E-2</v>
      </c>
      <c r="AE296">
        <f t="shared" si="343"/>
        <v>2022.9115184084712</v>
      </c>
      <c r="AG296" s="19">
        <v>26</v>
      </c>
      <c r="AH296" s="19">
        <f t="shared" ref="AH296:AK296" si="379">AH209</f>
        <v>0.85886345019232391</v>
      </c>
      <c r="AI296" s="19">
        <f t="shared" si="379"/>
        <v>1.3965498081008802E-2</v>
      </c>
      <c r="AJ296" s="19">
        <f t="shared" si="379"/>
        <v>445.488</v>
      </c>
      <c r="AK296" s="19">
        <f t="shared" si="379"/>
        <v>343.10500000000002</v>
      </c>
    </row>
    <row r="297" spans="5:37">
      <c r="E297">
        <v>27</v>
      </c>
      <c r="F297" s="13"/>
      <c r="G297" s="13">
        <f t="shared" si="345"/>
        <v>0</v>
      </c>
      <c r="H297" s="13">
        <f t="shared" si="346"/>
        <v>196.20000000000002</v>
      </c>
      <c r="I297" s="13">
        <f t="shared" si="347"/>
        <v>500000</v>
      </c>
      <c r="J297" s="13">
        <f t="shared" si="329"/>
        <v>363.42099999999999</v>
      </c>
      <c r="K297" s="5">
        <f t="shared" si="330"/>
        <v>465.22899999999998</v>
      </c>
      <c r="L297" s="21">
        <f t="shared" si="331"/>
        <v>181710.5</v>
      </c>
      <c r="M297">
        <f t="shared" si="332"/>
        <v>232614.5</v>
      </c>
      <c r="N297">
        <f t="shared" si="348"/>
        <v>1.7925540359999999E-2</v>
      </c>
      <c r="O297">
        <f t="shared" si="349"/>
        <v>0.99983226102210521</v>
      </c>
      <c r="P297">
        <f t="shared" si="372"/>
        <v>1.79225335481818E-5</v>
      </c>
      <c r="Q297">
        <f t="shared" si="373"/>
        <v>0.99981433848855705</v>
      </c>
      <c r="R297">
        <f t="shared" si="350"/>
        <v>222706.63714910779</v>
      </c>
      <c r="S297">
        <f t="shared" si="351"/>
        <v>4999.161305110526</v>
      </c>
      <c r="T297">
        <f t="shared" si="334"/>
        <v>232571.31244034646</v>
      </c>
      <c r="U297" s="22">
        <f t="shared" si="327"/>
        <v>4999.0716924427852</v>
      </c>
      <c r="V297" s="1">
        <f t="shared" si="335"/>
        <v>0</v>
      </c>
      <c r="W297" s="1">
        <f t="shared" si="336"/>
        <v>0</v>
      </c>
      <c r="X297" s="1">
        <f t="shared" si="337"/>
        <v>-196.16708961253707</v>
      </c>
      <c r="Y297" s="1">
        <f t="shared" si="352"/>
        <v>-8.9612667740909</v>
      </c>
      <c r="Z297" s="1">
        <f t="shared" si="338"/>
        <v>-205.12835638662796</v>
      </c>
      <c r="AA297" s="1">
        <f t="shared" si="339"/>
        <v>-9864.6752912386728</v>
      </c>
      <c r="AB297" s="1">
        <f t="shared" si="340"/>
        <v>12523.818914982006</v>
      </c>
      <c r="AC297" s="1">
        <f t="shared" si="341"/>
        <v>2454.0152673567063</v>
      </c>
      <c r="AD297" s="1">
        <f t="shared" si="342"/>
        <v>8.9612667740766483E-2</v>
      </c>
      <c r="AE297">
        <f t="shared" si="343"/>
        <v>2454.1048800244471</v>
      </c>
      <c r="AG297" s="19">
        <v>27</v>
      </c>
      <c r="AH297" s="19">
        <f t="shared" ref="AH297:AK297" si="380">AH210</f>
        <v>0.84489795211131513</v>
      </c>
      <c r="AI297" s="19">
        <f t="shared" si="380"/>
        <v>1.5145252340652726E-2</v>
      </c>
      <c r="AJ297" s="19">
        <f t="shared" si="380"/>
        <v>465.22899999999998</v>
      </c>
      <c r="AK297" s="19">
        <f t="shared" si="380"/>
        <v>363.42099999999999</v>
      </c>
    </row>
    <row r="298" spans="5:37">
      <c r="E298">
        <v>28</v>
      </c>
      <c r="F298" s="13"/>
      <c r="G298" s="13">
        <f t="shared" si="345"/>
        <v>0</v>
      </c>
      <c r="H298" s="13">
        <f t="shared" si="346"/>
        <v>196.20000000000002</v>
      </c>
      <c r="I298" s="13">
        <f t="shared" si="347"/>
        <v>500000</v>
      </c>
      <c r="J298" s="13">
        <f t="shared" si="329"/>
        <v>384.14299999999997</v>
      </c>
      <c r="K298" s="5">
        <f t="shared" si="330"/>
        <v>485.12700000000001</v>
      </c>
      <c r="L298" s="21">
        <f t="shared" si="331"/>
        <v>192071.5</v>
      </c>
      <c r="M298">
        <f t="shared" si="332"/>
        <v>242563.5</v>
      </c>
      <c r="N298">
        <f t="shared" si="348"/>
        <v>1.984694348E-2</v>
      </c>
      <c r="O298">
        <f t="shared" si="349"/>
        <v>0.99981433848855705</v>
      </c>
      <c r="P298">
        <f t="shared" si="372"/>
        <v>1.9843258666475981E-5</v>
      </c>
      <c r="Q298">
        <f t="shared" si="373"/>
        <v>0.99979449522989061</v>
      </c>
      <c r="R298">
        <f t="shared" si="350"/>
        <v>232571.31244034646</v>
      </c>
      <c r="S298">
        <f t="shared" si="351"/>
        <v>4999.0716924427852</v>
      </c>
      <c r="T298">
        <f t="shared" si="334"/>
        <v>242513.65204369556</v>
      </c>
      <c r="U298" s="22">
        <f t="shared" si="327"/>
        <v>4998.9724761494526</v>
      </c>
      <c r="V298" s="1">
        <f t="shared" si="335"/>
        <v>0</v>
      </c>
      <c r="W298" s="1">
        <f t="shared" si="336"/>
        <v>0</v>
      </c>
      <c r="X298" s="1">
        <f t="shared" si="337"/>
        <v>-196.16357321145492</v>
      </c>
      <c r="Y298" s="1">
        <f t="shared" si="352"/>
        <v>-9.9216293332379912</v>
      </c>
      <c r="Z298" s="1">
        <f t="shared" si="338"/>
        <v>-206.08520254469292</v>
      </c>
      <c r="AA298" s="1">
        <f t="shared" si="339"/>
        <v>-9942.3396033491008</v>
      </c>
      <c r="AB298" s="1">
        <f t="shared" si="340"/>
        <v>13066.371127303408</v>
      </c>
      <c r="AC298" s="1">
        <f t="shared" si="341"/>
        <v>2917.946321409614</v>
      </c>
      <c r="AD298" s="1">
        <f t="shared" si="342"/>
        <v>9.9216293332574423E-2</v>
      </c>
      <c r="AE298">
        <f t="shared" si="343"/>
        <v>2918.0455377029466</v>
      </c>
      <c r="AG298" s="19">
        <v>28</v>
      </c>
      <c r="AH298" s="19">
        <f t="shared" ref="AH298:AK298" si="381">AH211</f>
        <v>0.82975269977066235</v>
      </c>
      <c r="AI298" s="19">
        <f t="shared" si="381"/>
        <v>1.6468054934725744E-2</v>
      </c>
      <c r="AJ298" s="19">
        <f t="shared" si="381"/>
        <v>485.12700000000001</v>
      </c>
      <c r="AK298" s="19">
        <f t="shared" si="381"/>
        <v>384.14299999999997</v>
      </c>
    </row>
    <row r="299" spans="5:37">
      <c r="E299">
        <v>29</v>
      </c>
      <c r="F299" s="13"/>
      <c r="G299" s="13">
        <f t="shared" si="345"/>
        <v>0</v>
      </c>
      <c r="H299" s="13">
        <f t="shared" si="346"/>
        <v>196.20000000000002</v>
      </c>
      <c r="I299" s="13">
        <f t="shared" si="347"/>
        <v>500000</v>
      </c>
      <c r="J299" s="13">
        <f t="shared" si="329"/>
        <v>405.209</v>
      </c>
      <c r="K299" s="5">
        <f t="shared" si="330"/>
        <v>505.12099999999998</v>
      </c>
      <c r="L299" s="21">
        <f t="shared" si="331"/>
        <v>202604.5</v>
      </c>
      <c r="M299">
        <f t="shared" si="332"/>
        <v>252560.5</v>
      </c>
      <c r="N299">
        <f t="shared" si="348"/>
        <v>2.2062136459999999E-2</v>
      </c>
      <c r="O299">
        <f t="shared" si="349"/>
        <v>0.99979449522989061</v>
      </c>
      <c r="P299">
        <f t="shared" si="372"/>
        <v>2.2057602585718664E-5</v>
      </c>
      <c r="Q299">
        <f t="shared" si="373"/>
        <v>0.99977243762730494</v>
      </c>
      <c r="R299">
        <f t="shared" si="350"/>
        <v>242513.65204369556</v>
      </c>
      <c r="S299">
        <f t="shared" si="351"/>
        <v>4998.9724761494526</v>
      </c>
      <c r="T299">
        <f t="shared" si="334"/>
        <v>252503.02673337096</v>
      </c>
      <c r="U299" s="22">
        <f t="shared" si="327"/>
        <v>4998.8621881365243</v>
      </c>
      <c r="V299" s="1">
        <f t="shared" si="335"/>
        <v>0</v>
      </c>
      <c r="W299" s="1">
        <f t="shared" si="336"/>
        <v>0</v>
      </c>
      <c r="X299" s="1">
        <f t="shared" si="337"/>
        <v>-196.15967996410455</v>
      </c>
      <c r="Y299" s="1">
        <f t="shared" si="352"/>
        <v>-11.028801292859333</v>
      </c>
      <c r="Z299" s="1">
        <f t="shared" si="338"/>
        <v>-207.18848125696388</v>
      </c>
      <c r="AA299" s="1">
        <f t="shared" si="339"/>
        <v>-9989.3746896754019</v>
      </c>
      <c r="AB299" s="1">
        <f t="shared" si="340"/>
        <v>13613.194348591476</v>
      </c>
      <c r="AC299" s="1">
        <f t="shared" si="341"/>
        <v>3416.6311776591101</v>
      </c>
      <c r="AD299" s="1">
        <f t="shared" si="342"/>
        <v>0.11028801292832213</v>
      </c>
      <c r="AE299">
        <f t="shared" si="343"/>
        <v>3416.7414656720384</v>
      </c>
      <c r="AG299" s="19">
        <v>29</v>
      </c>
      <c r="AH299" s="19">
        <f t="shared" ref="AH299:AK299" si="382">AH212</f>
        <v>0.81328464483593665</v>
      </c>
      <c r="AI299" s="19">
        <f t="shared" si="382"/>
        <v>1.794279681519307E-2</v>
      </c>
      <c r="AJ299" s="19">
        <f t="shared" si="382"/>
        <v>505.12099999999998</v>
      </c>
      <c r="AK299" s="19">
        <f t="shared" si="382"/>
        <v>405.209</v>
      </c>
    </row>
    <row r="300" spans="5:37">
      <c r="E300">
        <v>30</v>
      </c>
      <c r="F300" s="13"/>
      <c r="G300" s="13">
        <f t="shared" si="345"/>
        <v>0</v>
      </c>
      <c r="H300" s="13">
        <f t="shared" si="346"/>
        <v>196.20000000000002</v>
      </c>
      <c r="I300" s="13">
        <f t="shared" si="347"/>
        <v>500000</v>
      </c>
      <c r="J300" s="13">
        <f t="shared" si="329"/>
        <v>426.49599999999998</v>
      </c>
      <c r="K300" s="5">
        <f t="shared" si="330"/>
        <v>525.10299999999995</v>
      </c>
      <c r="L300" s="21">
        <f t="shared" si="331"/>
        <v>213248</v>
      </c>
      <c r="M300">
        <f t="shared" si="332"/>
        <v>262551.49999999994</v>
      </c>
      <c r="N300">
        <f t="shared" si="348"/>
        <v>2.4701014520000002E-2</v>
      </c>
      <c r="O300">
        <f t="shared" si="349"/>
        <v>0.99977243762730494</v>
      </c>
      <c r="P300">
        <f t="shared" si="372"/>
        <v>2.4695393498527853E-5</v>
      </c>
      <c r="Q300">
        <f t="shared" si="373"/>
        <v>0.99974774223380647</v>
      </c>
      <c r="R300">
        <f t="shared" si="350"/>
        <v>252503.02673337096</v>
      </c>
      <c r="S300">
        <f t="shared" si="351"/>
        <v>4998.8621881365243</v>
      </c>
      <c r="T300">
        <f t="shared" si="334"/>
        <v>262485.26934509916</v>
      </c>
      <c r="U300" s="22">
        <f t="shared" si="327"/>
        <v>4998.7387111690323</v>
      </c>
      <c r="V300" s="1">
        <f t="shared" si="335"/>
        <v>0</v>
      </c>
      <c r="W300" s="1">
        <f t="shared" si="336"/>
        <v>0</v>
      </c>
      <c r="X300" s="1">
        <f t="shared" si="337"/>
        <v>-196.15535226247724</v>
      </c>
      <c r="Y300" s="1">
        <f t="shared" si="352"/>
        <v>-12.347696749263926</v>
      </c>
      <c r="Z300" s="1">
        <f t="shared" si="338"/>
        <v>-208.50304901174115</v>
      </c>
      <c r="AA300" s="1">
        <f t="shared" si="339"/>
        <v>-9982.2426117282012</v>
      </c>
      <c r="AB300" s="1">
        <f t="shared" si="340"/>
        <v>14162.603890682913</v>
      </c>
      <c r="AC300" s="1">
        <f t="shared" si="341"/>
        <v>3971.8582299429709</v>
      </c>
      <c r="AD300" s="1">
        <f t="shared" si="342"/>
        <v>0.12347696749202441</v>
      </c>
      <c r="AE300">
        <f t="shared" si="343"/>
        <v>3971.9817069104629</v>
      </c>
      <c r="AG300" s="19">
        <v>30</v>
      </c>
      <c r="AH300" s="19">
        <f t="shared" ref="AH300:AK300" si="383">AH213</f>
        <v>0.79534184802074359</v>
      </c>
      <c r="AI300" s="19">
        <f t="shared" si="383"/>
        <v>1.9645750536324023E-2</v>
      </c>
      <c r="AJ300" s="19">
        <f t="shared" si="383"/>
        <v>525.10299999999995</v>
      </c>
      <c r="AK300" s="19">
        <f t="shared" si="383"/>
        <v>426.49599999999998</v>
      </c>
    </row>
    <row r="301" spans="5:37">
      <c r="E301">
        <v>31</v>
      </c>
      <c r="F301" s="13"/>
      <c r="G301" s="13">
        <f t="shared" si="345"/>
        <v>0</v>
      </c>
      <c r="H301" s="13">
        <f t="shared" si="346"/>
        <v>196.20000000000002</v>
      </c>
      <c r="I301" s="13">
        <f t="shared" si="347"/>
        <v>500000</v>
      </c>
      <c r="J301" s="13">
        <f t="shared" si="329"/>
        <v>447.90800000000002</v>
      </c>
      <c r="K301" s="5">
        <f t="shared" si="330"/>
        <v>544.99099999999999</v>
      </c>
      <c r="L301" s="21">
        <f t="shared" si="331"/>
        <v>223954</v>
      </c>
      <c r="M301">
        <f t="shared" si="332"/>
        <v>272495.5</v>
      </c>
      <c r="N301">
        <f t="shared" si="348"/>
        <v>2.77443985E-2</v>
      </c>
      <c r="O301">
        <f t="shared" si="349"/>
        <v>0.99974774223380647</v>
      </c>
      <c r="P301">
        <f t="shared" si="372"/>
        <v>2.7737399760010006E-5</v>
      </c>
      <c r="Q301">
        <f t="shared" si="373"/>
        <v>0.99972000483404644</v>
      </c>
      <c r="R301">
        <f t="shared" si="350"/>
        <v>262485.26934509916</v>
      </c>
      <c r="S301">
        <f t="shared" si="351"/>
        <v>4998.7387111690323</v>
      </c>
      <c r="T301">
        <f t="shared" si="334"/>
        <v>272419.2025772559</v>
      </c>
      <c r="U301" s="22">
        <f t="shared" si="327"/>
        <v>4998.6000241702322</v>
      </c>
      <c r="V301" s="1">
        <f t="shared" si="335"/>
        <v>0</v>
      </c>
      <c r="W301" s="1">
        <f t="shared" si="336"/>
        <v>0</v>
      </c>
      <c r="X301" s="1">
        <f t="shared" si="337"/>
        <v>-196.15050702627283</v>
      </c>
      <c r="Y301" s="1">
        <f t="shared" si="352"/>
        <v>-13.868699880005003</v>
      </c>
      <c r="Z301" s="1">
        <f t="shared" si="338"/>
        <v>-210.01920690627784</v>
      </c>
      <c r="AA301" s="1">
        <f t="shared" si="339"/>
        <v>-9933.9332321567344</v>
      </c>
      <c r="AB301" s="1">
        <f t="shared" si="340"/>
        <v>14711.620443094751</v>
      </c>
      <c r="AC301" s="1">
        <f t="shared" si="341"/>
        <v>4567.6680040317387</v>
      </c>
      <c r="AD301" s="1">
        <f t="shared" si="342"/>
        <v>0.13868699880003987</v>
      </c>
      <c r="AE301">
        <f t="shared" si="343"/>
        <v>4567.8066910305388</v>
      </c>
      <c r="AG301" s="19">
        <v>31</v>
      </c>
      <c r="AH301" s="19">
        <f t="shared" ref="AH301:AK301" si="384">AH214</f>
        <v>0.77569609748441959</v>
      </c>
      <c r="AI301" s="19">
        <f t="shared" si="384"/>
        <v>2.1521221643502585E-2</v>
      </c>
      <c r="AJ301" s="19">
        <f t="shared" si="384"/>
        <v>544.99099999999999</v>
      </c>
      <c r="AK301" s="19">
        <f t="shared" si="384"/>
        <v>447.90800000000002</v>
      </c>
    </row>
    <row r="302" spans="5:37">
      <c r="E302">
        <v>32</v>
      </c>
      <c r="F302" s="13"/>
      <c r="G302" s="13">
        <f t="shared" si="345"/>
        <v>0</v>
      </c>
      <c r="H302" s="13">
        <f t="shared" si="346"/>
        <v>196.20000000000002</v>
      </c>
      <c r="I302" s="13">
        <f t="shared" si="347"/>
        <v>500000</v>
      </c>
      <c r="J302" s="13">
        <f t="shared" si="329"/>
        <v>469.34500000000003</v>
      </c>
      <c r="K302" s="5">
        <f t="shared" si="330"/>
        <v>564.70000000000005</v>
      </c>
      <c r="L302" s="21">
        <f t="shared" si="331"/>
        <v>234672.5</v>
      </c>
      <c r="M302">
        <f t="shared" si="332"/>
        <v>282350</v>
      </c>
      <c r="N302">
        <f t="shared" si="348"/>
        <v>3.1239364519999997E-2</v>
      </c>
      <c r="O302">
        <f t="shared" si="349"/>
        <v>0.99972000483404644</v>
      </c>
      <c r="P302">
        <f t="shared" si="372"/>
        <v>3.1230617648946939E-5</v>
      </c>
      <c r="Q302">
        <f t="shared" si="373"/>
        <v>0.99968877421639746</v>
      </c>
      <c r="R302">
        <f t="shared" si="350"/>
        <v>272419.2025772559</v>
      </c>
      <c r="S302">
        <f t="shared" si="351"/>
        <v>4998.6000241702322</v>
      </c>
      <c r="T302">
        <f t="shared" si="334"/>
        <v>282262.12539999984</v>
      </c>
      <c r="U302" s="22">
        <f t="shared" ref="U302:U333" si="385">$B$11*I302*Q302</f>
        <v>4998.4438710819877</v>
      </c>
      <c r="V302" s="1">
        <f t="shared" si="335"/>
        <v>0</v>
      </c>
      <c r="W302" s="1">
        <f t="shared" si="336"/>
        <v>0</v>
      </c>
      <c r="X302" s="1">
        <f t="shared" si="337"/>
        <v>-196.14506494843994</v>
      </c>
      <c r="Y302" s="1">
        <f t="shared" si="352"/>
        <v>-15.61530882447347</v>
      </c>
      <c r="Z302" s="1">
        <f t="shared" si="338"/>
        <v>-211.7603737729134</v>
      </c>
      <c r="AA302" s="1">
        <f t="shared" si="339"/>
        <v>-9842.9228227439453</v>
      </c>
      <c r="AB302" s="1">
        <f t="shared" si="340"/>
        <v>15257.979143078437</v>
      </c>
      <c r="AC302" s="1">
        <f t="shared" si="341"/>
        <v>5203.2959465615786</v>
      </c>
      <c r="AD302" s="1">
        <f t="shared" si="342"/>
        <v>0.15615308824453678</v>
      </c>
      <c r="AE302">
        <f t="shared" si="343"/>
        <v>5203.4520996498231</v>
      </c>
      <c r="AG302" s="19">
        <v>32</v>
      </c>
      <c r="AH302" s="19">
        <f t="shared" ref="AH302:AK302" si="386">AH215</f>
        <v>0.75417487584091703</v>
      </c>
      <c r="AI302" s="19">
        <f t="shared" si="386"/>
        <v>2.3559943858220148E-2</v>
      </c>
      <c r="AJ302" s="19">
        <f t="shared" si="386"/>
        <v>564.70000000000005</v>
      </c>
      <c r="AK302" s="19">
        <f t="shared" si="386"/>
        <v>469.34500000000003</v>
      </c>
    </row>
    <row r="303" spans="5:37">
      <c r="E303">
        <v>33</v>
      </c>
      <c r="F303" s="13"/>
      <c r="G303" s="13">
        <f t="shared" si="345"/>
        <v>0</v>
      </c>
      <c r="H303" s="13">
        <f t="shared" si="346"/>
        <v>196.20000000000002</v>
      </c>
      <c r="I303" s="13">
        <f t="shared" si="347"/>
        <v>500000</v>
      </c>
      <c r="J303" s="13">
        <f t="shared" si="329"/>
        <v>490.67899999999997</v>
      </c>
      <c r="K303" s="5">
        <f t="shared" si="330"/>
        <v>584.125</v>
      </c>
      <c r="L303" s="21">
        <f t="shared" si="331"/>
        <v>245339.5</v>
      </c>
      <c r="M303">
        <f t="shared" si="332"/>
        <v>292062.5</v>
      </c>
      <c r="N303">
        <f t="shared" si="348"/>
        <v>3.5276577699999999E-2</v>
      </c>
      <c r="O303">
        <f t="shared" si="349"/>
        <v>0.99968877421639746</v>
      </c>
      <c r="P303">
        <f t="shared" si="372"/>
        <v>3.5265598719462499E-5</v>
      </c>
      <c r="Q303">
        <f t="shared" si="373"/>
        <v>0.99965350861767799</v>
      </c>
      <c r="R303">
        <f t="shared" si="350"/>
        <v>282262.12539999984</v>
      </c>
      <c r="S303">
        <f t="shared" si="351"/>
        <v>4998.4438710819877</v>
      </c>
      <c r="T303">
        <f t="shared" si="334"/>
        <v>291961.30286065058</v>
      </c>
      <c r="U303" s="22">
        <f t="shared" si="385"/>
        <v>4998.2675430883901</v>
      </c>
      <c r="V303" s="1">
        <f t="shared" si="335"/>
        <v>0</v>
      </c>
      <c r="W303" s="1">
        <f t="shared" si="336"/>
        <v>0</v>
      </c>
      <c r="X303" s="1">
        <f t="shared" si="337"/>
        <v>-196.1389375012572</v>
      </c>
      <c r="Y303" s="1">
        <f t="shared" si="352"/>
        <v>-17.632799359731248</v>
      </c>
      <c r="Z303" s="1">
        <f t="shared" si="338"/>
        <v>-213.77173686098845</v>
      </c>
      <c r="AA303" s="1">
        <f t="shared" si="339"/>
        <v>-9699.1774606507388</v>
      </c>
      <c r="AB303" s="1">
        <f t="shared" ref="AB303:AB334" si="387">$B$12*SUM(R303:S303,V303:W303)</f>
        <v>15799.331309909501</v>
      </c>
      <c r="AC303" s="1">
        <f t="shared" si="341"/>
        <v>5886.3821123977741</v>
      </c>
      <c r="AD303" s="1">
        <f t="shared" si="342"/>
        <v>0.1763279935976243</v>
      </c>
      <c r="AE303">
        <f t="shared" si="343"/>
        <v>5886.5584403913717</v>
      </c>
      <c r="AG303" s="19">
        <v>33</v>
      </c>
      <c r="AH303" s="19">
        <f t="shared" ref="AH303:AK303" si="388">AH216</f>
        <v>0.73061493198269689</v>
      </c>
      <c r="AI303" s="19">
        <f t="shared" si="388"/>
        <v>2.5773594416867822E-2</v>
      </c>
      <c r="AJ303" s="19">
        <f t="shared" si="388"/>
        <v>584.125</v>
      </c>
      <c r="AK303" s="19">
        <f t="shared" si="388"/>
        <v>490.67899999999997</v>
      </c>
    </row>
    <row r="304" spans="5:37">
      <c r="E304">
        <v>34</v>
      </c>
      <c r="F304" s="13"/>
      <c r="G304" s="13">
        <f t="shared" ref="G304:G335" si="389">F304*$B$15</f>
        <v>0</v>
      </c>
      <c r="H304" s="13">
        <f t="shared" ref="H304:H335" si="390">$B$17</f>
        <v>196.20000000000002</v>
      </c>
      <c r="I304" s="13">
        <f t="shared" si="347"/>
        <v>500000</v>
      </c>
      <c r="J304" s="13">
        <f t="shared" si="329"/>
        <v>511.83499999999998</v>
      </c>
      <c r="K304" s="5">
        <f t="shared" si="330"/>
        <v>603.20899999999995</v>
      </c>
      <c r="L304" s="21">
        <f t="shared" si="331"/>
        <v>255917.5</v>
      </c>
      <c r="M304">
        <f t="shared" si="332"/>
        <v>301604.5</v>
      </c>
      <c r="N304">
        <f t="shared" si="348"/>
        <v>3.9790654540000005E-2</v>
      </c>
      <c r="O304">
        <f t="shared" si="349"/>
        <v>0.99965350861767799</v>
      </c>
      <c r="P304">
        <f t="shared" si="372"/>
        <v>3.9776867421104942E-5</v>
      </c>
      <c r="Q304">
        <f t="shared" si="373"/>
        <v>0.99961373175025692</v>
      </c>
      <c r="R304">
        <f t="shared" si="350"/>
        <v>291961.30286065058</v>
      </c>
      <c r="S304">
        <f t="shared" si="351"/>
        <v>4998.2675430883901</v>
      </c>
      <c r="T304">
        <f t="shared" si="334"/>
        <v>301487.99975767039</v>
      </c>
      <c r="U304" s="22">
        <f t="shared" si="385"/>
        <v>4998.0686587512846</v>
      </c>
      <c r="V304" s="1">
        <f t="shared" si="335"/>
        <v>0</v>
      </c>
      <c r="W304" s="1">
        <f t="shared" si="336"/>
        <v>0</v>
      </c>
      <c r="X304" s="1">
        <f t="shared" si="337"/>
        <v>-196.13201839078843</v>
      </c>
      <c r="Y304" s="1">
        <f t="shared" si="352"/>
        <v>-19.888433710552469</v>
      </c>
      <c r="Z304" s="1">
        <f t="shared" si="338"/>
        <v>-216.02045210134091</v>
      </c>
      <c r="AA304" s="1">
        <f t="shared" si="339"/>
        <v>-9526.6968970198068</v>
      </c>
      <c r="AB304" s="1">
        <f t="shared" si="387"/>
        <v>16332.776372205644</v>
      </c>
      <c r="AC304" s="1">
        <f t="shared" si="341"/>
        <v>6590.0590230844973</v>
      </c>
      <c r="AD304" s="1">
        <f t="shared" si="342"/>
        <v>0.1988843371054827</v>
      </c>
      <c r="AE304">
        <f t="shared" si="343"/>
        <v>6590.2579074216028</v>
      </c>
      <c r="AG304" s="19">
        <v>34</v>
      </c>
      <c r="AH304" s="19">
        <f t="shared" ref="AH304:AK304" si="391">AH217</f>
        <v>0.70484133756582912</v>
      </c>
      <c r="AI304" s="19">
        <f t="shared" si="391"/>
        <v>2.8046098168593433E-2</v>
      </c>
      <c r="AJ304" s="19">
        <f t="shared" si="391"/>
        <v>603.20899999999995</v>
      </c>
      <c r="AK304" s="19">
        <f t="shared" si="391"/>
        <v>511.83499999999998</v>
      </c>
    </row>
    <row r="305" spans="5:37">
      <c r="E305">
        <v>35</v>
      </c>
      <c r="F305" s="13"/>
      <c r="G305" s="13">
        <f t="shared" si="389"/>
        <v>0</v>
      </c>
      <c r="H305" s="13">
        <f t="shared" si="390"/>
        <v>196.20000000000002</v>
      </c>
      <c r="I305" s="13">
        <f t="shared" si="347"/>
        <v>500000</v>
      </c>
      <c r="J305" s="13">
        <f t="shared" si="329"/>
        <v>532.745</v>
      </c>
      <c r="K305" s="5">
        <f t="shared" si="330"/>
        <v>621.9</v>
      </c>
      <c r="L305" s="21">
        <f t="shared" si="331"/>
        <v>266372.5</v>
      </c>
      <c r="M305">
        <f t="shared" si="332"/>
        <v>310950</v>
      </c>
      <c r="N305">
        <f t="shared" si="348"/>
        <v>4.4814722680000002E-2</v>
      </c>
      <c r="O305">
        <f t="shared" si="349"/>
        <v>0.99961373175025692</v>
      </c>
      <c r="P305">
        <f t="shared" si="372"/>
        <v>4.4797412175507678E-5</v>
      </c>
      <c r="Q305">
        <f t="shared" si="373"/>
        <v>0.99956893433808136</v>
      </c>
      <c r="R305">
        <f t="shared" si="350"/>
        <v>301487.99975767039</v>
      </c>
      <c r="S305">
        <f t="shared" si="351"/>
        <v>4998.0686587512846</v>
      </c>
      <c r="T305">
        <f t="shared" si="334"/>
        <v>310815.96013242641</v>
      </c>
      <c r="U305" s="22">
        <f t="shared" si="385"/>
        <v>4997.8446716904064</v>
      </c>
      <c r="V305" s="1">
        <f t="shared" si="335"/>
        <v>0</v>
      </c>
      <c r="W305" s="1">
        <f t="shared" si="336"/>
        <v>0</v>
      </c>
      <c r="X305" s="1">
        <f t="shared" si="337"/>
        <v>-196.12421416940043</v>
      </c>
      <c r="Y305" s="1">
        <f t="shared" si="352"/>
        <v>-22.39870608775384</v>
      </c>
      <c r="Z305" s="1">
        <f t="shared" si="338"/>
        <v>-218.52292025715428</v>
      </c>
      <c r="AA305" s="1">
        <f t="shared" si="339"/>
        <v>-9327.9603747560177</v>
      </c>
      <c r="AB305" s="1">
        <f t="shared" si="387"/>
        <v>16856.73376290319</v>
      </c>
      <c r="AC305" s="1">
        <f t="shared" si="341"/>
        <v>7310.2504678900186</v>
      </c>
      <c r="AD305" s="1">
        <f t="shared" si="342"/>
        <v>0.22398706087824394</v>
      </c>
      <c r="AE305">
        <f t="shared" si="343"/>
        <v>7310.4744549508969</v>
      </c>
      <c r="AG305" s="19">
        <v>35</v>
      </c>
      <c r="AH305" s="19">
        <f t="shared" ref="AH305:AK305" si="392">AH218</f>
        <v>0.67679523939723574</v>
      </c>
      <c r="AI305" s="19">
        <f t="shared" si="392"/>
        <v>3.0330390964731332E-2</v>
      </c>
      <c r="AJ305" s="19">
        <f t="shared" si="392"/>
        <v>621.9</v>
      </c>
      <c r="AK305" s="19">
        <f t="shared" si="392"/>
        <v>532.745</v>
      </c>
    </row>
    <row r="306" spans="5:37">
      <c r="E306">
        <v>36</v>
      </c>
      <c r="F306" s="13"/>
      <c r="G306" s="13">
        <f t="shared" si="389"/>
        <v>0</v>
      </c>
      <c r="H306" s="13">
        <f t="shared" si="390"/>
        <v>196.20000000000002</v>
      </c>
      <c r="I306" s="13">
        <f t="shared" si="347"/>
        <v>500000</v>
      </c>
      <c r="J306" s="13">
        <f t="shared" si="329"/>
        <v>553.38599999999997</v>
      </c>
      <c r="K306" s="5">
        <f t="shared" si="330"/>
        <v>640.18600000000004</v>
      </c>
      <c r="L306" s="21">
        <f t="shared" si="331"/>
        <v>276693</v>
      </c>
      <c r="M306">
        <f t="shared" si="332"/>
        <v>320093</v>
      </c>
      <c r="N306">
        <f t="shared" si="348"/>
        <v>5.0298218879999995E-2</v>
      </c>
      <c r="O306">
        <f t="shared" si="349"/>
        <v>0.99956893433808136</v>
      </c>
      <c r="P306">
        <f t="shared" si="372"/>
        <v>5.0276537044985161E-5</v>
      </c>
      <c r="Q306">
        <f t="shared" si="373"/>
        <v>0.99951865780103633</v>
      </c>
      <c r="R306">
        <f t="shared" si="350"/>
        <v>310815.96013242641</v>
      </c>
      <c r="S306">
        <f t="shared" si="351"/>
        <v>4997.8446716904064</v>
      </c>
      <c r="T306">
        <f t="shared" si="334"/>
        <v>319938.92573150713</v>
      </c>
      <c r="U306" s="22">
        <f t="shared" si="385"/>
        <v>4997.5932890051818</v>
      </c>
      <c r="V306" s="1">
        <f t="shared" si="335"/>
        <v>0</v>
      </c>
      <c r="W306" s="1">
        <f t="shared" si="336"/>
        <v>0</v>
      </c>
      <c r="X306" s="1">
        <f t="shared" si="337"/>
        <v>-196.11542491713158</v>
      </c>
      <c r="Y306" s="1">
        <f t="shared" si="352"/>
        <v>-25.138268522492581</v>
      </c>
      <c r="Z306" s="1">
        <f t="shared" si="338"/>
        <v>-221.25369343962416</v>
      </c>
      <c r="AA306" s="1">
        <f t="shared" si="339"/>
        <v>-9122.9655990807223</v>
      </c>
      <c r="AB306" s="1">
        <f t="shared" si="387"/>
        <v>17369.759264226424</v>
      </c>
      <c r="AC306" s="1">
        <f t="shared" si="341"/>
        <v>8025.5399717060773</v>
      </c>
      <c r="AD306" s="1">
        <f t="shared" si="342"/>
        <v>0.25138268522459839</v>
      </c>
      <c r="AE306">
        <f t="shared" si="343"/>
        <v>8025.7913543913019</v>
      </c>
      <c r="AG306" s="19">
        <v>36</v>
      </c>
      <c r="AH306" s="19">
        <f t="shared" ref="AH306:AK306" si="393">AH219</f>
        <v>0.6464648484325044</v>
      </c>
      <c r="AI306" s="19">
        <f t="shared" si="393"/>
        <v>3.2516030444684131E-2</v>
      </c>
      <c r="AJ306" s="19">
        <f t="shared" si="393"/>
        <v>640.18600000000004</v>
      </c>
      <c r="AK306" s="19">
        <f t="shared" si="393"/>
        <v>553.38599999999997</v>
      </c>
    </row>
    <row r="307" spans="5:37">
      <c r="E307">
        <v>37</v>
      </c>
      <c r="F307" s="13"/>
      <c r="G307" s="13">
        <f t="shared" si="389"/>
        <v>0</v>
      </c>
      <c r="H307" s="13">
        <f t="shared" si="390"/>
        <v>196.20000000000002</v>
      </c>
      <c r="I307" s="13">
        <f t="shared" si="347"/>
        <v>500000</v>
      </c>
      <c r="J307" s="13">
        <f t="shared" si="329"/>
        <v>573.71799999999996</v>
      </c>
      <c r="K307" s="5">
        <f t="shared" si="330"/>
        <v>658.04</v>
      </c>
      <c r="L307" s="21">
        <f t="shared" si="331"/>
        <v>286859</v>
      </c>
      <c r="M307">
        <f t="shared" si="332"/>
        <v>329020</v>
      </c>
      <c r="N307">
        <f t="shared" si="348"/>
        <v>5.63257058E-2</v>
      </c>
      <c r="O307">
        <f t="shared" si="349"/>
        <v>0.99951865780103633</v>
      </c>
      <c r="P307">
        <f t="shared" si="372"/>
        <v>5.6298593860912054E-5</v>
      </c>
      <c r="Q307">
        <f t="shared" si="373"/>
        <v>0.99946235920717541</v>
      </c>
      <c r="R307">
        <f t="shared" si="350"/>
        <v>319938.92573150713</v>
      </c>
      <c r="S307">
        <f t="shared" si="351"/>
        <v>4997.5932890051818</v>
      </c>
      <c r="T307">
        <f t="shared" si="334"/>
        <v>328843.10542634485</v>
      </c>
      <c r="U307" s="22">
        <f t="shared" si="385"/>
        <v>4997.3117960358768</v>
      </c>
      <c r="V307" s="1">
        <f t="shared" si="335"/>
        <v>0</v>
      </c>
      <c r="W307" s="1">
        <f t="shared" si="336"/>
        <v>0</v>
      </c>
      <c r="X307" s="1">
        <f t="shared" si="337"/>
        <v>-196.10556066056336</v>
      </c>
      <c r="Y307" s="1">
        <f t="shared" si="352"/>
        <v>-28.149296930456028</v>
      </c>
      <c r="Z307" s="1">
        <f t="shared" si="338"/>
        <v>-224.25485759101937</v>
      </c>
      <c r="AA307" s="1">
        <f t="shared" si="339"/>
        <v>-8904.1796948377159</v>
      </c>
      <c r="AB307" s="1">
        <f t="shared" si="387"/>
        <v>17871.508546128178</v>
      </c>
      <c r="AC307" s="1">
        <f t="shared" si="341"/>
        <v>8743.0739936994432</v>
      </c>
      <c r="AD307" s="1">
        <f t="shared" si="342"/>
        <v>0.28149296930496348</v>
      </c>
      <c r="AE307">
        <f t="shared" si="343"/>
        <v>8743.3554866687482</v>
      </c>
      <c r="AG307" s="19">
        <v>37</v>
      </c>
      <c r="AH307" s="19">
        <f t="shared" ref="AH307:AK307" si="394">AH220</f>
        <v>0.61394881798782031</v>
      </c>
      <c r="AI307" s="19">
        <f t="shared" si="394"/>
        <v>3.4581100498239717E-2</v>
      </c>
      <c r="AJ307" s="19">
        <f t="shared" si="394"/>
        <v>658.04</v>
      </c>
      <c r="AK307" s="19">
        <f t="shared" si="394"/>
        <v>573.71799999999996</v>
      </c>
    </row>
    <row r="308" spans="5:37">
      <c r="E308">
        <v>38</v>
      </c>
      <c r="F308" s="13"/>
      <c r="G308" s="13">
        <f t="shared" si="389"/>
        <v>0</v>
      </c>
      <c r="H308" s="13">
        <f t="shared" si="390"/>
        <v>196.20000000000002</v>
      </c>
      <c r="I308" s="13">
        <f t="shared" si="347"/>
        <v>500000</v>
      </c>
      <c r="J308" s="13">
        <f t="shared" si="329"/>
        <v>593.63699999999994</v>
      </c>
      <c r="K308" s="5">
        <f t="shared" si="330"/>
        <v>675.38400000000001</v>
      </c>
      <c r="L308" s="21">
        <f t="shared" si="331"/>
        <v>296818.5</v>
      </c>
      <c r="M308">
        <f t="shared" si="332"/>
        <v>337692</v>
      </c>
      <c r="N308">
        <f t="shared" si="348"/>
        <v>6.3106410639999999E-2</v>
      </c>
      <c r="O308">
        <f t="shared" si="349"/>
        <v>0.99946235920717541</v>
      </c>
      <c r="P308">
        <f t="shared" si="372"/>
        <v>6.3072482059351186E-5</v>
      </c>
      <c r="Q308">
        <f t="shared" si="373"/>
        <v>0.99939928672511602</v>
      </c>
      <c r="R308">
        <f t="shared" si="350"/>
        <v>328843.10542634485</v>
      </c>
      <c r="S308">
        <f t="shared" si="351"/>
        <v>4997.3117960358768</v>
      </c>
      <c r="T308">
        <f t="shared" si="334"/>
        <v>337489.14393277786</v>
      </c>
      <c r="U308" s="22">
        <f t="shared" si="385"/>
        <v>4996.9964336255798</v>
      </c>
      <c r="V308" s="1">
        <f t="shared" si="335"/>
        <v>0</v>
      </c>
      <c r="W308" s="1">
        <f t="shared" si="336"/>
        <v>0</v>
      </c>
      <c r="X308" s="1">
        <f t="shared" si="337"/>
        <v>-196.09451487644785</v>
      </c>
      <c r="Y308" s="1">
        <f t="shared" si="352"/>
        <v>-31.536241029675594</v>
      </c>
      <c r="Z308" s="1">
        <f t="shared" si="338"/>
        <v>-227.63075590612345</v>
      </c>
      <c r="AA308" s="1">
        <f t="shared" si="339"/>
        <v>-8646.0385064330185</v>
      </c>
      <c r="AB308" s="1">
        <f t="shared" si="387"/>
        <v>18361.222947230937</v>
      </c>
      <c r="AC308" s="1">
        <f t="shared" si="341"/>
        <v>9487.5536848917945</v>
      </c>
      <c r="AD308" s="1">
        <f t="shared" si="342"/>
        <v>0.31536241029698431</v>
      </c>
      <c r="AE308">
        <f t="shared" si="343"/>
        <v>9487.8690473020906</v>
      </c>
      <c r="AG308" s="19">
        <v>38</v>
      </c>
      <c r="AH308" s="19">
        <f t="shared" ref="AH308:AK308" si="395">AH221</f>
        <v>0.5793677174895806</v>
      </c>
      <c r="AI308" s="19">
        <f t="shared" si="395"/>
        <v>3.6561817091456984E-2</v>
      </c>
      <c r="AJ308" s="19">
        <f t="shared" si="395"/>
        <v>675.38400000000001</v>
      </c>
      <c r="AK308" s="19">
        <f t="shared" si="395"/>
        <v>593.63699999999994</v>
      </c>
    </row>
    <row r="309" spans="5:37">
      <c r="E309">
        <v>39</v>
      </c>
      <c r="F309" s="13"/>
      <c r="G309" s="13">
        <f t="shared" si="389"/>
        <v>0</v>
      </c>
      <c r="H309" s="13">
        <f t="shared" si="390"/>
        <v>196.20000000000002</v>
      </c>
      <c r="I309" s="13">
        <f t="shared" si="347"/>
        <v>500000</v>
      </c>
      <c r="J309" s="13">
        <f t="shared" si="329"/>
        <v>613.02599999999995</v>
      </c>
      <c r="K309" s="5">
        <f t="shared" si="330"/>
        <v>692.13199999999995</v>
      </c>
      <c r="L309" s="21">
        <f t="shared" si="331"/>
        <v>306513</v>
      </c>
      <c r="M309">
        <f t="shared" si="332"/>
        <v>346066</v>
      </c>
      <c r="N309">
        <f t="shared" si="348"/>
        <v>7.0726639620000004E-2</v>
      </c>
      <c r="O309">
        <f t="shared" si="349"/>
        <v>0.99939928672511602</v>
      </c>
      <c r="P309">
        <f t="shared" si="372"/>
        <v>7.0684153188692338E-5</v>
      </c>
      <c r="Q309">
        <f t="shared" si="373"/>
        <v>0.99932860257192735</v>
      </c>
      <c r="R309">
        <f t="shared" si="350"/>
        <v>337489.14393277786</v>
      </c>
      <c r="S309">
        <f t="shared" si="351"/>
        <v>4996.9964336255798</v>
      </c>
      <c r="T309">
        <f t="shared" si="334"/>
        <v>345833.65217765659</v>
      </c>
      <c r="U309" s="22">
        <f t="shared" si="385"/>
        <v>4996.6430128596367</v>
      </c>
      <c r="V309" s="1">
        <f t="shared" si="335"/>
        <v>0</v>
      </c>
      <c r="W309" s="1">
        <f t="shared" si="336"/>
        <v>0</v>
      </c>
      <c r="X309" s="1">
        <f t="shared" si="337"/>
        <v>-196.08214005546779</v>
      </c>
      <c r="Y309" s="1">
        <f t="shared" si="352"/>
        <v>-35.342076594346167</v>
      </c>
      <c r="Z309" s="1">
        <f t="shared" si="338"/>
        <v>-231.42421664981396</v>
      </c>
      <c r="AA309" s="1">
        <f t="shared" si="339"/>
        <v>-8344.5082448787289</v>
      </c>
      <c r="AB309" s="1">
        <f t="shared" si="387"/>
        <v>18836.737720152189</v>
      </c>
      <c r="AC309" s="1">
        <f t="shared" si="341"/>
        <v>10260.805258623646</v>
      </c>
      <c r="AD309" s="1">
        <f t="shared" si="342"/>
        <v>0.35342076594315586</v>
      </c>
      <c r="AE309">
        <f t="shared" si="343"/>
        <v>10261.158679389589</v>
      </c>
      <c r="AG309" s="19">
        <v>39</v>
      </c>
      <c r="AH309" s="19">
        <f t="shared" ref="AH309:AK309" si="396">AH222</f>
        <v>0.5428059003981236</v>
      </c>
      <c r="AI309" s="19">
        <f t="shared" si="396"/>
        <v>3.8390837301067703E-2</v>
      </c>
      <c r="AJ309" s="19">
        <f t="shared" si="396"/>
        <v>692.13199999999995</v>
      </c>
      <c r="AK309" s="19">
        <f t="shared" si="396"/>
        <v>613.02599999999995</v>
      </c>
    </row>
    <row r="310" spans="5:37">
      <c r="E310">
        <v>40</v>
      </c>
      <c r="F310" s="13"/>
      <c r="G310" s="13">
        <f t="shared" si="389"/>
        <v>0</v>
      </c>
      <c r="H310" s="13">
        <f t="shared" si="390"/>
        <v>196.20000000000002</v>
      </c>
      <c r="I310" s="13">
        <f t="shared" si="347"/>
        <v>500000</v>
      </c>
      <c r="J310" s="13">
        <f t="shared" si="329"/>
        <v>631.73699999999997</v>
      </c>
      <c r="K310" s="5">
        <f t="shared" si="330"/>
        <v>708.17700000000002</v>
      </c>
      <c r="L310" s="21">
        <f t="shared" si="331"/>
        <v>315868.5</v>
      </c>
      <c r="M310">
        <f t="shared" si="332"/>
        <v>354088.5</v>
      </c>
      <c r="N310">
        <f t="shared" si="348"/>
        <v>7.9320646859999996E-2</v>
      </c>
      <c r="O310">
        <f t="shared" si="349"/>
        <v>0.99932860257192735</v>
      </c>
      <c r="P310">
        <f t="shared" si="372"/>
        <v>7.9267391181705123E-5</v>
      </c>
      <c r="Q310">
        <f t="shared" si="373"/>
        <v>0.99924933518074566</v>
      </c>
      <c r="R310">
        <f t="shared" si="350"/>
        <v>345833.65217765659</v>
      </c>
      <c r="S310">
        <f t="shared" si="351"/>
        <v>4996.6430128596367</v>
      </c>
      <c r="T310">
        <f t="shared" si="334"/>
        <v>353822.69822014746</v>
      </c>
      <c r="U310" s="22">
        <f t="shared" si="385"/>
        <v>4996.2466759037279</v>
      </c>
      <c r="V310" s="1">
        <f t="shared" si="335"/>
        <v>0</v>
      </c>
      <c r="W310" s="1">
        <f t="shared" si="336"/>
        <v>0</v>
      </c>
      <c r="X310" s="1">
        <f t="shared" si="337"/>
        <v>-196.06827182461217</v>
      </c>
      <c r="Y310" s="1">
        <f t="shared" si="352"/>
        <v>-39.633695590852561</v>
      </c>
      <c r="Z310" s="1">
        <f t="shared" si="338"/>
        <v>-235.70196741546474</v>
      </c>
      <c r="AA310" s="1">
        <f t="shared" si="339"/>
        <v>-7989.046042490867</v>
      </c>
      <c r="AB310" s="1">
        <f t="shared" si="387"/>
        <v>19295.666235478391</v>
      </c>
      <c r="AC310" s="1">
        <f t="shared" si="341"/>
        <v>11070.918225572059</v>
      </c>
      <c r="AD310" s="1">
        <f t="shared" si="342"/>
        <v>0.39633695590873685</v>
      </c>
      <c r="AE310">
        <f t="shared" si="343"/>
        <v>11071.314562527969</v>
      </c>
      <c r="AG310" s="19">
        <v>40</v>
      </c>
      <c r="AH310" s="19">
        <f t="shared" ref="AH310:AK310" si="397">AH223</f>
        <v>0.50441506309705586</v>
      </c>
      <c r="AI310" s="19">
        <f t="shared" si="397"/>
        <v>4.0010529090786187E-2</v>
      </c>
      <c r="AJ310" s="19">
        <f t="shared" si="397"/>
        <v>708.17700000000002</v>
      </c>
      <c r="AK310" s="19">
        <f t="shared" si="397"/>
        <v>631.73699999999997</v>
      </c>
    </row>
    <row r="311" spans="5:37">
      <c r="E311">
        <v>41</v>
      </c>
      <c r="F311" s="13"/>
      <c r="G311" s="13">
        <f t="shared" si="389"/>
        <v>0</v>
      </c>
      <c r="H311" s="13">
        <f t="shared" si="390"/>
        <v>196.20000000000002</v>
      </c>
      <c r="I311" s="13">
        <f t="shared" si="347"/>
        <v>500000</v>
      </c>
      <c r="J311" s="13">
        <f t="shared" si="329"/>
        <v>649.74699999999996</v>
      </c>
      <c r="K311" s="5">
        <f t="shared" si="330"/>
        <v>723.51400000000001</v>
      </c>
      <c r="L311" s="21">
        <f t="shared" si="331"/>
        <v>324873.5</v>
      </c>
      <c r="M311">
        <f t="shared" si="332"/>
        <v>361757</v>
      </c>
      <c r="N311">
        <f t="shared" si="348"/>
        <v>8.8604232079999998E-2</v>
      </c>
      <c r="O311">
        <f t="shared" si="349"/>
        <v>0.99924933518074566</v>
      </c>
      <c r="P311">
        <f t="shared" si="372"/>
        <v>8.8537720000140505E-5</v>
      </c>
      <c r="Q311">
        <f t="shared" si="373"/>
        <v>0.99916079746074549</v>
      </c>
      <c r="R311">
        <f t="shared" si="350"/>
        <v>353822.69822014746</v>
      </c>
      <c r="S311">
        <f t="shared" si="351"/>
        <v>4996.2466759037279</v>
      </c>
      <c r="T311">
        <f t="shared" si="334"/>
        <v>361453.4126070069</v>
      </c>
      <c r="U311" s="22">
        <f t="shared" si="385"/>
        <v>4995.8039873037278</v>
      </c>
      <c r="V311" s="1">
        <f t="shared" si="335"/>
        <v>0</v>
      </c>
      <c r="W311" s="1">
        <f t="shared" si="336"/>
        <v>0</v>
      </c>
      <c r="X311" s="1">
        <f t="shared" si="337"/>
        <v>-196.05271956246233</v>
      </c>
      <c r="Y311" s="1">
        <f t="shared" si="352"/>
        <v>-44.268860000070255</v>
      </c>
      <c r="Z311" s="1">
        <f t="shared" si="338"/>
        <v>-240.32157956253258</v>
      </c>
      <c r="AA311" s="1">
        <f t="shared" si="339"/>
        <v>-7630.714386859443</v>
      </c>
      <c r="AB311" s="1">
        <f t="shared" si="387"/>
        <v>19735.041969282815</v>
      </c>
      <c r="AC311" s="1">
        <f t="shared" si="341"/>
        <v>11864.006002860839</v>
      </c>
      <c r="AD311" s="1">
        <f t="shared" si="342"/>
        <v>0.44268860000011045</v>
      </c>
      <c r="AE311">
        <f t="shared" si="343"/>
        <v>11864.448691460839</v>
      </c>
      <c r="AG311" s="19">
        <v>41</v>
      </c>
      <c r="AH311" s="19">
        <f t="shared" ref="AH311:AK311" si="398">AH224</f>
        <v>0.46440453400626969</v>
      </c>
      <c r="AI311" s="19">
        <f t="shared" si="398"/>
        <v>4.1148207110095772E-2</v>
      </c>
      <c r="AJ311" s="19">
        <f t="shared" si="398"/>
        <v>723.51400000000001</v>
      </c>
      <c r="AK311" s="19">
        <f t="shared" si="398"/>
        <v>649.74699999999996</v>
      </c>
    </row>
    <row r="312" spans="5:37">
      <c r="E312">
        <v>42</v>
      </c>
      <c r="F312" s="13"/>
      <c r="G312" s="13">
        <f t="shared" si="389"/>
        <v>0</v>
      </c>
      <c r="H312" s="13">
        <f t="shared" si="390"/>
        <v>196.20000000000002</v>
      </c>
      <c r="I312" s="13">
        <f t="shared" si="347"/>
        <v>500000</v>
      </c>
      <c r="J312" s="13">
        <f t="shared" si="329"/>
        <v>667.15099999999995</v>
      </c>
      <c r="K312" s="5">
        <f t="shared" si="330"/>
        <v>738.22900000000004</v>
      </c>
      <c r="L312" s="21">
        <f t="shared" si="331"/>
        <v>333575.5</v>
      </c>
      <c r="M312">
        <f t="shared" si="332"/>
        <v>369114.5</v>
      </c>
      <c r="N312">
        <f t="shared" si="348"/>
        <v>9.830452814E-2</v>
      </c>
      <c r="O312">
        <f t="shared" si="349"/>
        <v>0.99916079746074549</v>
      </c>
      <c r="P312">
        <f t="shared" si="372"/>
        <v>9.82220307303647E-5</v>
      </c>
      <c r="Q312">
        <f t="shared" si="373"/>
        <v>0.99906257543001509</v>
      </c>
      <c r="R312">
        <f t="shared" si="350"/>
        <v>361453.4126070069</v>
      </c>
      <c r="S312">
        <f t="shared" si="351"/>
        <v>4995.8039873037278</v>
      </c>
      <c r="T312">
        <f t="shared" si="334"/>
        <v>368768.48299856228</v>
      </c>
      <c r="U312" s="22">
        <f t="shared" si="385"/>
        <v>4995.3128771500751</v>
      </c>
      <c r="V312" s="1">
        <f t="shared" si="335"/>
        <v>0</v>
      </c>
      <c r="W312" s="1">
        <f t="shared" si="336"/>
        <v>0</v>
      </c>
      <c r="X312" s="1">
        <f t="shared" si="337"/>
        <v>-196.03534846179829</v>
      </c>
      <c r="Y312" s="1">
        <f t="shared" si="352"/>
        <v>-49.111015365182354</v>
      </c>
      <c r="Z312" s="1">
        <f t="shared" si="338"/>
        <v>-245.14636382698063</v>
      </c>
      <c r="AA312" s="1">
        <f t="shared" si="339"/>
        <v>-7315.070391555375</v>
      </c>
      <c r="AB312" s="1">
        <f t="shared" si="387"/>
        <v>20154.706912687085</v>
      </c>
      <c r="AC312" s="1">
        <f t="shared" si="341"/>
        <v>12594.490157304728</v>
      </c>
      <c r="AD312" s="1">
        <f t="shared" si="342"/>
        <v>0.4911101536526985</v>
      </c>
      <c r="AE312">
        <f t="shared" si="343"/>
        <v>12594.981267458381</v>
      </c>
      <c r="AG312" s="19">
        <v>42</v>
      </c>
      <c r="AH312" s="19">
        <f t="shared" ref="AH312:AK312" si="399">AH225</f>
        <v>0.42325632689617393</v>
      </c>
      <c r="AI312" s="19">
        <f t="shared" si="399"/>
        <v>4.1608013497797969E-2</v>
      </c>
      <c r="AJ312" s="19">
        <f t="shared" si="399"/>
        <v>738.22900000000004</v>
      </c>
      <c r="AK312" s="19">
        <f t="shared" si="399"/>
        <v>667.15099999999995</v>
      </c>
    </row>
    <row r="313" spans="5:37">
      <c r="E313">
        <v>43</v>
      </c>
      <c r="F313" s="13"/>
      <c r="G313" s="13">
        <f t="shared" si="389"/>
        <v>0</v>
      </c>
      <c r="H313" s="13">
        <f t="shared" si="390"/>
        <v>196.20000000000002</v>
      </c>
      <c r="I313" s="13">
        <f t="shared" si="347"/>
        <v>500000</v>
      </c>
      <c r="J313" s="13">
        <f t="shared" si="329"/>
        <v>683.899</v>
      </c>
      <c r="K313" s="5">
        <f t="shared" si="330"/>
        <v>752.29200000000003</v>
      </c>
      <c r="L313" s="21">
        <f t="shared" si="331"/>
        <v>341949.5</v>
      </c>
      <c r="M313">
        <f t="shared" si="332"/>
        <v>376146</v>
      </c>
      <c r="N313">
        <f t="shared" si="348"/>
        <v>0.10889403979999999</v>
      </c>
      <c r="O313">
        <f t="shared" si="349"/>
        <v>0.99906257543001509</v>
      </c>
      <c r="P313">
        <f t="shared" si="372"/>
        <v>1.0879195985156656E-4</v>
      </c>
      <c r="Q313">
        <f t="shared" si="373"/>
        <v>0.9989537834701635</v>
      </c>
      <c r="R313">
        <f t="shared" si="350"/>
        <v>368768.48299856228</v>
      </c>
      <c r="S313">
        <f t="shared" si="351"/>
        <v>4995.3128771500751</v>
      </c>
      <c r="T313">
        <f t="shared" si="334"/>
        <v>375752.46983716812</v>
      </c>
      <c r="U313" s="22">
        <f t="shared" si="385"/>
        <v>4994.7689173508179</v>
      </c>
      <c r="V313" s="1">
        <f t="shared" si="335"/>
        <v>0</v>
      </c>
      <c r="W313" s="1">
        <f t="shared" si="336"/>
        <v>0</v>
      </c>
      <c r="X313" s="1">
        <f t="shared" si="337"/>
        <v>-196.01607729936899</v>
      </c>
      <c r="Y313" s="1">
        <f t="shared" si="352"/>
        <v>-54.39597992578328</v>
      </c>
      <c r="Z313" s="1">
        <f t="shared" si="338"/>
        <v>-250.41205722515227</v>
      </c>
      <c r="AA313" s="1">
        <f t="shared" si="339"/>
        <v>-6983.986838605837</v>
      </c>
      <c r="AB313" s="1">
        <f t="shared" si="387"/>
        <v>20557.00877316418</v>
      </c>
      <c r="AC313" s="1">
        <f t="shared" si="341"/>
        <v>13322.609877333191</v>
      </c>
      <c r="AD313" s="1">
        <f t="shared" si="342"/>
        <v>0.54395979925720894</v>
      </c>
      <c r="AE313">
        <f t="shared" si="343"/>
        <v>13323.153837132448</v>
      </c>
      <c r="AG313" s="19">
        <v>43</v>
      </c>
      <c r="AH313" s="19">
        <f t="shared" ref="AH313:AK313" si="400">AH226</f>
        <v>0.38164831339837596</v>
      </c>
      <c r="AI313" s="19">
        <f t="shared" si="400"/>
        <v>4.1559226628805623E-2</v>
      </c>
      <c r="AJ313" s="19">
        <f t="shared" si="400"/>
        <v>752.29200000000003</v>
      </c>
      <c r="AK313" s="19">
        <f t="shared" si="400"/>
        <v>683.899</v>
      </c>
    </row>
    <row r="314" spans="5:37">
      <c r="E314">
        <v>44</v>
      </c>
      <c r="F314" s="13"/>
      <c r="G314" s="13">
        <f t="shared" si="389"/>
        <v>0</v>
      </c>
      <c r="H314" s="13">
        <f t="shared" si="390"/>
        <v>196.20000000000002</v>
      </c>
      <c r="I314" s="13">
        <f t="shared" si="347"/>
        <v>500000</v>
      </c>
      <c r="J314" s="13">
        <f t="shared" si="329"/>
        <v>699.96900000000005</v>
      </c>
      <c r="K314" s="5">
        <f t="shared" si="330"/>
        <v>765.697</v>
      </c>
      <c r="L314" s="21">
        <f t="shared" si="331"/>
        <v>349984.5</v>
      </c>
      <c r="M314">
        <f t="shared" si="332"/>
        <v>382848.5</v>
      </c>
      <c r="N314">
        <f t="shared" si="348"/>
        <v>0.12033266517999999</v>
      </c>
      <c r="O314">
        <f t="shared" si="349"/>
        <v>0.9989537834701635</v>
      </c>
      <c r="P314">
        <f t="shared" si="372"/>
        <v>1.202067711566094E-4</v>
      </c>
      <c r="Q314">
        <f t="shared" si="373"/>
        <v>0.99883357669900685</v>
      </c>
      <c r="R314">
        <f t="shared" si="350"/>
        <v>375752.46983716812</v>
      </c>
      <c r="S314">
        <f t="shared" si="351"/>
        <v>4994.7689173508179</v>
      </c>
      <c r="T314">
        <f t="shared" si="334"/>
        <v>382401.9365888497</v>
      </c>
      <c r="U314" s="22">
        <f t="shared" si="385"/>
        <v>4994.1678834950344</v>
      </c>
      <c r="V314" s="1">
        <f t="shared" si="335"/>
        <v>0</v>
      </c>
      <c r="W314" s="1">
        <f t="shared" si="336"/>
        <v>0</v>
      </c>
      <c r="X314" s="1">
        <f t="shared" si="337"/>
        <v>-195.9947323168461</v>
      </c>
      <c r="Y314" s="1">
        <f t="shared" si="352"/>
        <v>-60.103385578304703</v>
      </c>
      <c r="Z314" s="1">
        <f t="shared" si="338"/>
        <v>-256.09811789515078</v>
      </c>
      <c r="AA314" s="1">
        <f t="shared" si="339"/>
        <v>-6649.4667516815825</v>
      </c>
      <c r="AB314" s="1">
        <f t="shared" si="387"/>
        <v>20941.09813149854</v>
      </c>
      <c r="AC314" s="1">
        <f t="shared" si="341"/>
        <v>14035.533261921806</v>
      </c>
      <c r="AD314" s="1">
        <f t="shared" si="342"/>
        <v>0.60103385578349844</v>
      </c>
      <c r="AE314">
        <f t="shared" si="343"/>
        <v>14036.134295777589</v>
      </c>
      <c r="AG314" s="19">
        <v>44</v>
      </c>
      <c r="AH314" s="19">
        <f t="shared" ref="AH314:AK314" si="401">AH227</f>
        <v>0.34008908676957034</v>
      </c>
      <c r="AI314" s="19">
        <f t="shared" si="401"/>
        <v>4.0923826209614669E-2</v>
      </c>
      <c r="AJ314" s="19">
        <f t="shared" si="401"/>
        <v>765.697</v>
      </c>
      <c r="AK314" s="19">
        <f t="shared" si="401"/>
        <v>699.96900000000005</v>
      </c>
    </row>
    <row r="315" spans="5:37">
      <c r="E315">
        <v>45</v>
      </c>
      <c r="F315" s="13"/>
      <c r="G315" s="13">
        <f t="shared" si="389"/>
        <v>0</v>
      </c>
      <c r="H315" s="13">
        <f t="shared" si="390"/>
        <v>196.20000000000002</v>
      </c>
      <c r="I315" s="13">
        <f t="shared" si="347"/>
        <v>500000</v>
      </c>
      <c r="J315" s="13">
        <f t="shared" si="329"/>
        <v>715.25400000000002</v>
      </c>
      <c r="K315" s="5">
        <f t="shared" si="330"/>
        <v>778.37</v>
      </c>
      <c r="L315" s="21">
        <f t="shared" si="331"/>
        <v>357627</v>
      </c>
      <c r="M315">
        <f t="shared" si="332"/>
        <v>389185</v>
      </c>
      <c r="N315">
        <f t="shared" si="348"/>
        <v>0.13293686042000002</v>
      </c>
      <c r="O315">
        <f t="shared" si="349"/>
        <v>0.99883357669900685</v>
      </c>
      <c r="P315">
        <f t="shared" si="372"/>
        <v>1.3278179976844526E-4</v>
      </c>
      <c r="Q315">
        <f t="shared" si="373"/>
        <v>0.99870079489923835</v>
      </c>
      <c r="R315">
        <f t="shared" si="350"/>
        <v>382401.9365888497</v>
      </c>
      <c r="S315">
        <f t="shared" si="351"/>
        <v>4994.1678834950344</v>
      </c>
      <c r="T315">
        <f t="shared" si="334"/>
        <v>388679.36886286008</v>
      </c>
      <c r="U315" s="22">
        <f t="shared" si="385"/>
        <v>4993.5039744961914</v>
      </c>
      <c r="V315" s="1">
        <f t="shared" si="335"/>
        <v>0</v>
      </c>
      <c r="W315" s="1">
        <f t="shared" si="336"/>
        <v>0</v>
      </c>
      <c r="X315" s="1">
        <f t="shared" si="337"/>
        <v>-195.97114774834517</v>
      </c>
      <c r="Y315" s="1">
        <f t="shared" si="352"/>
        <v>-66.390899884222634</v>
      </c>
      <c r="Z315" s="1">
        <f t="shared" si="338"/>
        <v>-262.36204763256779</v>
      </c>
      <c r="AA315" s="1">
        <f t="shared" si="339"/>
        <v>-6277.4322740103817</v>
      </c>
      <c r="AB315" s="1">
        <f t="shared" si="387"/>
        <v>21306.785745978959</v>
      </c>
      <c r="AC315" s="1">
        <f t="shared" si="341"/>
        <v>14766.991424336011</v>
      </c>
      <c r="AD315" s="1">
        <f t="shared" si="342"/>
        <v>0.6639089988429987</v>
      </c>
      <c r="AE315">
        <f t="shared" si="343"/>
        <v>14767.655333334853</v>
      </c>
      <c r="AG315" s="19">
        <v>45</v>
      </c>
      <c r="AH315" s="19">
        <f t="shared" ref="AH315:AK315" si="402">AH228</f>
        <v>0.29916526055995568</v>
      </c>
      <c r="AI315" s="19">
        <f t="shared" si="402"/>
        <v>3.9770090485571764E-2</v>
      </c>
      <c r="AJ315" s="19">
        <f t="shared" si="402"/>
        <v>778.37</v>
      </c>
      <c r="AK315" s="19">
        <f t="shared" si="402"/>
        <v>715.25400000000002</v>
      </c>
    </row>
    <row r="316" spans="5:37">
      <c r="E316">
        <v>46</v>
      </c>
      <c r="F316" s="13"/>
      <c r="G316" s="13">
        <f t="shared" si="389"/>
        <v>0</v>
      </c>
      <c r="H316" s="13">
        <f t="shared" si="390"/>
        <v>196.20000000000002</v>
      </c>
      <c r="I316" s="13">
        <f t="shared" si="347"/>
        <v>500000</v>
      </c>
      <c r="J316" s="13">
        <f t="shared" si="329"/>
        <v>729.59299999999996</v>
      </c>
      <c r="K316" s="5">
        <f t="shared" si="330"/>
        <v>790.197</v>
      </c>
      <c r="L316" s="21">
        <f t="shared" si="331"/>
        <v>364796.5</v>
      </c>
      <c r="M316">
        <f t="shared" si="332"/>
        <v>395098.5</v>
      </c>
      <c r="N316">
        <f t="shared" si="348"/>
        <v>0.14687575083999999</v>
      </c>
      <c r="O316">
        <f t="shared" si="349"/>
        <v>0.99870079489923835</v>
      </c>
      <c r="P316">
        <f t="shared" si="372"/>
        <v>1.4668492911533047E-4</v>
      </c>
      <c r="Q316">
        <f t="shared" si="373"/>
        <v>0.99855410997012306</v>
      </c>
      <c r="R316">
        <f t="shared" si="350"/>
        <v>388679.36886286008</v>
      </c>
      <c r="S316">
        <f t="shared" si="351"/>
        <v>4993.5039744961914</v>
      </c>
      <c r="T316">
        <f t="shared" si="334"/>
        <v>394527.23101803067</v>
      </c>
      <c r="U316" s="22">
        <f t="shared" si="385"/>
        <v>4992.7705498506157</v>
      </c>
      <c r="V316" s="1">
        <f t="shared" si="335"/>
        <v>0</v>
      </c>
      <c r="W316" s="1">
        <f t="shared" si="336"/>
        <v>0</v>
      </c>
      <c r="X316" s="1">
        <f t="shared" si="337"/>
        <v>-195.94509595923057</v>
      </c>
      <c r="Y316" s="1">
        <f t="shared" si="352"/>
        <v>-73.342464557665238</v>
      </c>
      <c r="Z316" s="1">
        <f t="shared" si="338"/>
        <v>-269.28756051689584</v>
      </c>
      <c r="AA316" s="1">
        <f t="shared" si="339"/>
        <v>-5847.8621551705874</v>
      </c>
      <c r="AB316" s="1">
        <f t="shared" si="387"/>
        <v>21652.008006054595</v>
      </c>
      <c r="AC316" s="1">
        <f t="shared" si="341"/>
        <v>15534.858290367112</v>
      </c>
      <c r="AD316" s="1">
        <f t="shared" si="342"/>
        <v>0.73342464557572384</v>
      </c>
      <c r="AE316">
        <f t="shared" si="343"/>
        <v>15535.591715012688</v>
      </c>
      <c r="AG316" s="19">
        <v>46</v>
      </c>
      <c r="AH316" s="19">
        <f t="shared" ref="AH316:AK316" si="403">AH229</f>
        <v>0.2593951700743839</v>
      </c>
      <c r="AI316" s="19">
        <f t="shared" si="403"/>
        <v>3.809886036894463E-2</v>
      </c>
      <c r="AJ316" s="19">
        <f t="shared" si="403"/>
        <v>790.197</v>
      </c>
      <c r="AK316" s="19">
        <f t="shared" si="403"/>
        <v>729.59299999999996</v>
      </c>
    </row>
    <row r="317" spans="5:37">
      <c r="E317">
        <v>47</v>
      </c>
      <c r="F317" s="13"/>
      <c r="G317" s="13">
        <f t="shared" si="389"/>
        <v>0</v>
      </c>
      <c r="H317" s="13">
        <f t="shared" si="390"/>
        <v>196.20000000000002</v>
      </c>
      <c r="I317" s="13">
        <f t="shared" si="347"/>
        <v>500000</v>
      </c>
      <c r="J317" s="13">
        <f t="shared" si="329"/>
        <v>743.24300000000005</v>
      </c>
      <c r="K317" s="5">
        <f t="shared" si="330"/>
        <v>801.39300000000003</v>
      </c>
      <c r="L317" s="21">
        <f t="shared" si="331"/>
        <v>371621.5</v>
      </c>
      <c r="M317">
        <f t="shared" si="332"/>
        <v>400696.5</v>
      </c>
      <c r="N317">
        <f t="shared" si="348"/>
        <v>0.16071961724</v>
      </c>
      <c r="O317">
        <f t="shared" si="349"/>
        <v>0.99855410997012306</v>
      </c>
      <c r="P317">
        <f t="shared" si="372"/>
        <v>1.6048723434782704E-4</v>
      </c>
      <c r="Q317">
        <f t="shared" si="373"/>
        <v>0.99839362273577525</v>
      </c>
      <c r="R317">
        <f t="shared" si="350"/>
        <v>394527.23101803067</v>
      </c>
      <c r="S317">
        <f t="shared" si="351"/>
        <v>4992.7705498506157</v>
      </c>
      <c r="T317">
        <f t="shared" si="334"/>
        <v>400052.83025254559</v>
      </c>
      <c r="U317" s="22">
        <f t="shared" si="385"/>
        <v>4991.9681136788759</v>
      </c>
      <c r="V317" s="1">
        <f t="shared" si="335"/>
        <v>0</v>
      </c>
      <c r="W317" s="1">
        <f t="shared" si="336"/>
        <v>0</v>
      </c>
      <c r="X317" s="1">
        <f t="shared" si="337"/>
        <v>-195.91631637613816</v>
      </c>
      <c r="Y317" s="1">
        <f t="shared" si="352"/>
        <v>-80.24361717391352</v>
      </c>
      <c r="Z317" s="1">
        <f t="shared" si="338"/>
        <v>-276.15993355005168</v>
      </c>
      <c r="AA317" s="1">
        <f t="shared" si="339"/>
        <v>-5525.599234514928</v>
      </c>
      <c r="AB317" s="1">
        <f t="shared" si="387"/>
        <v>21973.600086233469</v>
      </c>
      <c r="AC317" s="1">
        <f t="shared" si="341"/>
        <v>16171.840918168491</v>
      </c>
      <c r="AD317" s="1">
        <f t="shared" si="342"/>
        <v>0.80243617173982784</v>
      </c>
      <c r="AE317">
        <f t="shared" si="343"/>
        <v>16172.643354340231</v>
      </c>
      <c r="AG317" s="19">
        <v>47</v>
      </c>
      <c r="AH317" s="19">
        <f t="shared" ref="AH317:AK317" si="404">AH230</f>
        <v>0.22129630970543926</v>
      </c>
      <c r="AI317" s="19">
        <f t="shared" si="404"/>
        <v>3.5566658192482697E-2</v>
      </c>
      <c r="AJ317" s="19">
        <f t="shared" si="404"/>
        <v>801.39300000000003</v>
      </c>
      <c r="AK317" s="19">
        <f t="shared" si="404"/>
        <v>743.24300000000005</v>
      </c>
    </row>
    <row r="318" spans="5:37">
      <c r="E318">
        <v>48</v>
      </c>
      <c r="F318" s="13"/>
      <c r="G318" s="13">
        <f t="shared" si="389"/>
        <v>0</v>
      </c>
      <c r="H318" s="13">
        <f t="shared" si="390"/>
        <v>196.20000000000002</v>
      </c>
      <c r="I318" s="13">
        <f t="shared" si="347"/>
        <v>500000</v>
      </c>
      <c r="J318" s="13">
        <f t="shared" si="329"/>
        <v>756.13800000000003</v>
      </c>
      <c r="K318" s="5">
        <f t="shared" si="330"/>
        <v>811.91499999999996</v>
      </c>
      <c r="L318" s="21">
        <f t="shared" si="331"/>
        <v>378069</v>
      </c>
      <c r="M318">
        <f t="shared" si="332"/>
        <v>405957.5</v>
      </c>
      <c r="N318">
        <f t="shared" si="348"/>
        <v>0.17567064424000001</v>
      </c>
      <c r="O318">
        <f t="shared" si="349"/>
        <v>0.99839362273577525</v>
      </c>
      <c r="P318">
        <f t="shared" si="372"/>
        <v>1.7538845091110116E-4</v>
      </c>
      <c r="Q318">
        <f t="shared" si="373"/>
        <v>0.99821823428486411</v>
      </c>
      <c r="R318">
        <f t="shared" si="350"/>
        <v>400052.83025254559</v>
      </c>
      <c r="S318">
        <f t="shared" si="351"/>
        <v>4991.9681136788759</v>
      </c>
      <c r="T318">
        <f t="shared" si="334"/>
        <v>405234.17884469772</v>
      </c>
      <c r="U318" s="22">
        <f t="shared" si="385"/>
        <v>4991.0911714243202</v>
      </c>
      <c r="V318" s="1">
        <f t="shared" si="335"/>
        <v>0</v>
      </c>
      <c r="W318" s="1">
        <f t="shared" si="336"/>
        <v>0</v>
      </c>
      <c r="X318" s="1">
        <f t="shared" si="337"/>
        <v>-195.88482878075914</v>
      </c>
      <c r="Y318" s="1">
        <f t="shared" si="352"/>
        <v>-87.69422545555058</v>
      </c>
      <c r="Z318" s="1">
        <f t="shared" si="338"/>
        <v>-283.57905423630973</v>
      </c>
      <c r="AA318" s="1">
        <f t="shared" si="339"/>
        <v>-5181.3485921521205</v>
      </c>
      <c r="AB318" s="1">
        <f t="shared" si="387"/>
        <v>22277.463910142345</v>
      </c>
      <c r="AC318" s="1">
        <f t="shared" si="341"/>
        <v>16812.536263753915</v>
      </c>
      <c r="AD318" s="1">
        <f t="shared" si="342"/>
        <v>0.87694225455561536</v>
      </c>
      <c r="AE318">
        <f t="shared" si="343"/>
        <v>16813.41320600847</v>
      </c>
      <c r="AG318" s="19">
        <v>48</v>
      </c>
      <c r="AH318" s="19">
        <f t="shared" ref="AH318:AK318" si="405">AH231</f>
        <v>0.18572965151295656</v>
      </c>
      <c r="AI318" s="19">
        <f t="shared" si="405"/>
        <v>3.2627247535751774E-2</v>
      </c>
      <c r="AJ318" s="19">
        <f t="shared" si="405"/>
        <v>811.91499999999996</v>
      </c>
      <c r="AK318" s="19">
        <f t="shared" si="405"/>
        <v>756.13800000000003</v>
      </c>
    </row>
    <row r="319" spans="5:37">
      <c r="E319">
        <v>49</v>
      </c>
      <c r="F319" s="13"/>
      <c r="G319" s="13">
        <f t="shared" si="389"/>
        <v>0</v>
      </c>
      <c r="H319" s="13">
        <f t="shared" si="390"/>
        <v>196.20000000000002</v>
      </c>
      <c r="I319" s="13">
        <f t="shared" si="347"/>
        <v>500000</v>
      </c>
      <c r="J319" s="13">
        <f t="shared" si="329"/>
        <v>768.31600000000003</v>
      </c>
      <c r="K319" s="5">
        <f t="shared" si="330"/>
        <v>821.80399999999997</v>
      </c>
      <c r="L319" s="21">
        <f t="shared" si="331"/>
        <v>384158</v>
      </c>
      <c r="M319">
        <f t="shared" si="332"/>
        <v>410902</v>
      </c>
      <c r="N319">
        <f t="shared" si="348"/>
        <v>0.19133653084000002</v>
      </c>
      <c r="O319">
        <f t="shared" si="349"/>
        <v>0.99821823428486411</v>
      </c>
      <c r="P319">
        <f t="shared" si="372"/>
        <v>1.9099561396929626E-4</v>
      </c>
      <c r="Q319">
        <f t="shared" si="373"/>
        <v>0.99802723867089482</v>
      </c>
      <c r="R319">
        <f t="shared" si="350"/>
        <v>405234.17884469772</v>
      </c>
      <c r="S319">
        <f t="shared" si="351"/>
        <v>4991.0911714243202</v>
      </c>
      <c r="T319">
        <f t="shared" si="334"/>
        <v>410091.38842434803</v>
      </c>
      <c r="U319" s="22">
        <f t="shared" si="385"/>
        <v>4990.136193354474</v>
      </c>
      <c r="V319" s="1">
        <f t="shared" si="335"/>
        <v>0</v>
      </c>
      <c r="W319" s="1">
        <f t="shared" si="336"/>
        <v>0</v>
      </c>
      <c r="X319" s="1">
        <f t="shared" si="337"/>
        <v>-195.85041756669037</v>
      </c>
      <c r="Y319" s="1">
        <f t="shared" si="352"/>
        <v>-95.497806984648136</v>
      </c>
      <c r="Z319" s="1">
        <f t="shared" si="338"/>
        <v>-291.34822455133849</v>
      </c>
      <c r="AA319" s="1">
        <f t="shared" si="339"/>
        <v>-4857.2095796503127</v>
      </c>
      <c r="AB319" s="1">
        <f t="shared" si="387"/>
        <v>22562.389850886713</v>
      </c>
      <c r="AC319" s="1">
        <f t="shared" si="341"/>
        <v>17413.832046685064</v>
      </c>
      <c r="AD319" s="1">
        <f t="shared" si="342"/>
        <v>0.95497806984622002</v>
      </c>
      <c r="AE319">
        <f t="shared" si="343"/>
        <v>17414.787024754911</v>
      </c>
      <c r="AG319" s="19">
        <v>49</v>
      </c>
      <c r="AH319" s="19">
        <f t="shared" ref="AH319:AK319" si="406">AH232</f>
        <v>0.15310240397720479</v>
      </c>
      <c r="AI319" s="19">
        <f t="shared" si="406"/>
        <v>2.9294082840262584E-2</v>
      </c>
      <c r="AJ319" s="19">
        <f t="shared" si="406"/>
        <v>821.80399999999997</v>
      </c>
      <c r="AK319" s="19">
        <f t="shared" si="406"/>
        <v>768.31600000000003</v>
      </c>
    </row>
    <row r="320" spans="5:37">
      <c r="E320">
        <v>50</v>
      </c>
      <c r="F320" s="13"/>
      <c r="G320" s="13">
        <f t="shared" si="389"/>
        <v>0</v>
      </c>
      <c r="H320" s="13">
        <f t="shared" si="390"/>
        <v>196.20000000000002</v>
      </c>
      <c r="I320" s="13">
        <f t="shared" si="347"/>
        <v>500000</v>
      </c>
      <c r="J320" s="13">
        <f t="shared" si="329"/>
        <v>779.87400000000002</v>
      </c>
      <c r="K320" s="5">
        <f t="shared" si="330"/>
        <v>831.14099999999996</v>
      </c>
      <c r="L320" s="21">
        <f t="shared" si="331"/>
        <v>389937</v>
      </c>
      <c r="M320">
        <f t="shared" si="332"/>
        <v>415570.5</v>
      </c>
      <c r="N320">
        <f t="shared" si="348"/>
        <v>0.20752287010000001</v>
      </c>
      <c r="O320">
        <f t="shared" si="349"/>
        <v>0.99802723867089482</v>
      </c>
      <c r="P320">
        <f t="shared" si="372"/>
        <v>2.0711347700696182E-4</v>
      </c>
      <c r="Q320">
        <f t="shared" si="373"/>
        <v>0.99782012519388785</v>
      </c>
      <c r="R320">
        <f t="shared" si="350"/>
        <v>410091.38842434803</v>
      </c>
      <c r="S320">
        <f t="shared" si="351"/>
        <v>4990.136193354474</v>
      </c>
      <c r="T320">
        <f t="shared" si="334"/>
        <v>414664.60833688657</v>
      </c>
      <c r="U320" s="22">
        <f t="shared" si="385"/>
        <v>4989.1006259694395</v>
      </c>
      <c r="V320" s="1">
        <f t="shared" si="335"/>
        <v>0</v>
      </c>
      <c r="W320" s="1">
        <f t="shared" si="336"/>
        <v>0</v>
      </c>
      <c r="X320" s="1">
        <f t="shared" si="337"/>
        <v>-195.81294422722959</v>
      </c>
      <c r="Y320" s="1">
        <f t="shared" si="352"/>
        <v>-103.55673850348091</v>
      </c>
      <c r="Z320" s="1">
        <f t="shared" si="338"/>
        <v>-299.36968273071051</v>
      </c>
      <c r="AA320" s="1">
        <f t="shared" si="339"/>
        <v>-4573.2199125385378</v>
      </c>
      <c r="AB320" s="1">
        <f t="shared" si="387"/>
        <v>22829.483853973637</v>
      </c>
      <c r="AC320" s="1">
        <f t="shared" si="341"/>
        <v>17956.894258704389</v>
      </c>
      <c r="AD320" s="1">
        <f t="shared" si="342"/>
        <v>1.0355673850344829</v>
      </c>
      <c r="AE320">
        <f t="shared" si="343"/>
        <v>17957.929826089425</v>
      </c>
      <c r="AG320" s="19">
        <v>50</v>
      </c>
      <c r="AH320" s="19">
        <f t="shared" ref="AH320:AK320" si="407">AH233</f>
        <v>0.12380832113694221</v>
      </c>
      <c r="AI320" s="19">
        <f t="shared" si="407"/>
        <v>2.5693058144600742E-2</v>
      </c>
      <c r="AJ320" s="19">
        <f t="shared" si="407"/>
        <v>831.14099999999996</v>
      </c>
      <c r="AK320" s="19">
        <f t="shared" si="407"/>
        <v>779.87400000000002</v>
      </c>
    </row>
    <row r="321" spans="5:37">
      <c r="E321">
        <v>51</v>
      </c>
      <c r="F321" s="13"/>
      <c r="G321" s="13">
        <f t="shared" si="389"/>
        <v>0</v>
      </c>
      <c r="H321" s="13">
        <f t="shared" si="390"/>
        <v>196.20000000000002</v>
      </c>
      <c r="I321" s="13">
        <f t="shared" si="347"/>
        <v>500000</v>
      </c>
      <c r="J321" s="13">
        <f t="shared" si="329"/>
        <v>790.74800000000005</v>
      </c>
      <c r="K321" s="5">
        <f t="shared" si="330"/>
        <v>839.88699999999994</v>
      </c>
      <c r="L321" s="21">
        <f t="shared" si="331"/>
        <v>395374</v>
      </c>
      <c r="M321">
        <f t="shared" si="332"/>
        <v>419943.5</v>
      </c>
      <c r="N321">
        <f t="shared" si="348"/>
        <v>0.22489047126</v>
      </c>
      <c r="O321">
        <f t="shared" si="349"/>
        <v>0.99782012519388785</v>
      </c>
      <c r="P321">
        <f t="shared" si="372"/>
        <v>2.2440023818756562E-4</v>
      </c>
      <c r="Q321">
        <f t="shared" si="373"/>
        <v>0.99759572495570026</v>
      </c>
      <c r="R321">
        <f t="shared" si="350"/>
        <v>414664.60833688657</v>
      </c>
      <c r="S321">
        <f t="shared" si="351"/>
        <v>4989.1006259694395</v>
      </c>
      <c r="T321">
        <f t="shared" si="334"/>
        <v>418933.84032293409</v>
      </c>
      <c r="U321" s="22">
        <f t="shared" si="385"/>
        <v>4987.9786247785014</v>
      </c>
      <c r="V321" s="1">
        <f t="shared" si="335"/>
        <v>0</v>
      </c>
      <c r="W321" s="1">
        <f t="shared" si="336"/>
        <v>0</v>
      </c>
      <c r="X321" s="1">
        <f t="shared" si="337"/>
        <v>-195.77230856304081</v>
      </c>
      <c r="Y321" s="1">
        <f t="shared" si="352"/>
        <v>-112.20011909378282</v>
      </c>
      <c r="Z321" s="1">
        <f t="shared" si="338"/>
        <v>-307.97242765682364</v>
      </c>
      <c r="AA321" s="1">
        <f t="shared" si="339"/>
        <v>-4269.2319860475254</v>
      </c>
      <c r="AB321" s="1">
        <f t="shared" si="387"/>
        <v>23080.953992957078</v>
      </c>
      <c r="AC321" s="1">
        <f t="shared" si="341"/>
        <v>18503.74957925273</v>
      </c>
      <c r="AD321" s="1">
        <f t="shared" si="342"/>
        <v>1.1220011909381356</v>
      </c>
      <c r="AE321">
        <f t="shared" si="343"/>
        <v>18504.871580443669</v>
      </c>
      <c r="AG321" s="19">
        <v>51</v>
      </c>
      <c r="AH321" s="19">
        <f t="shared" ref="AH321:AK321" si="408">AH234</f>
        <v>9.8115262992341468E-2</v>
      </c>
      <c r="AI321" s="19">
        <f t="shared" si="408"/>
        <v>2.206518773214651E-2</v>
      </c>
      <c r="AJ321" s="19">
        <f t="shared" si="408"/>
        <v>839.88699999999994</v>
      </c>
      <c r="AK321" s="19">
        <f t="shared" si="408"/>
        <v>790.74800000000005</v>
      </c>
    </row>
    <row r="322" spans="5:37">
      <c r="E322">
        <v>52</v>
      </c>
      <c r="F322" s="13"/>
      <c r="G322" s="13">
        <f t="shared" si="389"/>
        <v>0</v>
      </c>
      <c r="H322" s="13">
        <f t="shared" si="390"/>
        <v>196.20000000000002</v>
      </c>
      <c r="I322" s="13">
        <f t="shared" si="347"/>
        <v>500000</v>
      </c>
      <c r="J322" s="13">
        <f t="shared" si="329"/>
        <v>801.03300000000002</v>
      </c>
      <c r="K322" s="5">
        <f t="shared" si="330"/>
        <v>848.12099999999998</v>
      </c>
      <c r="L322" s="21">
        <f t="shared" si="331"/>
        <v>400516.5</v>
      </c>
      <c r="M322">
        <f t="shared" si="332"/>
        <v>424060.5</v>
      </c>
      <c r="N322">
        <f t="shared" si="348"/>
        <v>0.2427514999</v>
      </c>
      <c r="O322">
        <f t="shared" si="349"/>
        <v>0.99759572495570026</v>
      </c>
      <c r="P322">
        <f t="shared" si="372"/>
        <v>2.421678585268241E-4</v>
      </c>
      <c r="Q322">
        <f t="shared" si="373"/>
        <v>0.99735355709717344</v>
      </c>
      <c r="R322">
        <f t="shared" si="350"/>
        <v>418933.84032293409</v>
      </c>
      <c r="S322">
        <f t="shared" si="351"/>
        <v>4987.9786247785014</v>
      </c>
      <c r="T322">
        <f t="shared" si="334"/>
        <v>422938.2480994059</v>
      </c>
      <c r="U322" s="22">
        <f t="shared" si="385"/>
        <v>4986.7677854858675</v>
      </c>
      <c r="V322" s="1">
        <f t="shared" si="335"/>
        <v>0</v>
      </c>
      <c r="W322" s="1">
        <f t="shared" si="336"/>
        <v>0</v>
      </c>
      <c r="X322" s="1">
        <f t="shared" si="337"/>
        <v>-195.72828123630842</v>
      </c>
      <c r="Y322" s="1">
        <f t="shared" si="352"/>
        <v>-121.08392926341205</v>
      </c>
      <c r="Z322" s="1">
        <f t="shared" si="338"/>
        <v>-316.81221049972044</v>
      </c>
      <c r="AA322" s="1">
        <f t="shared" si="339"/>
        <v>-4004.4077764718095</v>
      </c>
      <c r="AB322" s="1">
        <f t="shared" si="387"/>
        <v>23315.700042124194</v>
      </c>
      <c r="AC322" s="1">
        <f t="shared" si="341"/>
        <v>18994.480055152664</v>
      </c>
      <c r="AD322" s="1">
        <f t="shared" si="342"/>
        <v>1.2108392926338638</v>
      </c>
      <c r="AE322">
        <f t="shared" si="343"/>
        <v>18995.690894445299</v>
      </c>
      <c r="AG322" s="19">
        <v>52</v>
      </c>
      <c r="AH322" s="19">
        <f t="shared" ref="AH322:AK322" si="409">AH235</f>
        <v>7.6050075260194958E-2</v>
      </c>
      <c r="AI322" s="19">
        <f t="shared" si="409"/>
        <v>1.8461269836920209E-2</v>
      </c>
      <c r="AJ322" s="19">
        <f t="shared" si="409"/>
        <v>848.12099999999998</v>
      </c>
      <c r="AK322" s="19">
        <f t="shared" si="409"/>
        <v>801.03300000000002</v>
      </c>
    </row>
    <row r="323" spans="5:37">
      <c r="E323">
        <v>53</v>
      </c>
      <c r="F323" s="13"/>
      <c r="G323" s="13">
        <f t="shared" si="389"/>
        <v>0</v>
      </c>
      <c r="H323" s="13">
        <f t="shared" si="390"/>
        <v>196.20000000000002</v>
      </c>
      <c r="I323" s="13">
        <f t="shared" si="347"/>
        <v>500000</v>
      </c>
      <c r="J323" s="13">
        <f t="shared" si="329"/>
        <v>810.702</v>
      </c>
      <c r="K323" s="5">
        <f t="shared" si="330"/>
        <v>855.82799999999997</v>
      </c>
      <c r="L323" s="21">
        <f t="shared" si="331"/>
        <v>405351</v>
      </c>
      <c r="M323">
        <f t="shared" si="332"/>
        <v>427914</v>
      </c>
      <c r="N323">
        <f t="shared" si="348"/>
        <v>0.26166912590000002</v>
      </c>
      <c r="O323">
        <f t="shared" si="349"/>
        <v>0.99735355709717344</v>
      </c>
      <c r="P323">
        <f t="shared" si="372"/>
        <v>2.609766334988731E-4</v>
      </c>
      <c r="Q323">
        <f t="shared" si="373"/>
        <v>0.99709258046367455</v>
      </c>
      <c r="R323">
        <f t="shared" si="350"/>
        <v>422938.2480994059</v>
      </c>
      <c r="S323">
        <f t="shared" si="351"/>
        <v>4986.7677854858675</v>
      </c>
      <c r="T323">
        <f t="shared" si="334"/>
        <v>426669.87447653286</v>
      </c>
      <c r="U323" s="22">
        <f t="shared" si="385"/>
        <v>4985.4629023183725</v>
      </c>
      <c r="V323" s="1">
        <f t="shared" si="335"/>
        <v>0</v>
      </c>
      <c r="W323" s="1">
        <f t="shared" si="336"/>
        <v>0</v>
      </c>
      <c r="X323" s="1">
        <f t="shared" si="337"/>
        <v>-195.68076790246545</v>
      </c>
      <c r="Y323" s="1">
        <f t="shared" si="352"/>
        <v>-130.48831674943656</v>
      </c>
      <c r="Z323" s="1">
        <f t="shared" si="338"/>
        <v>-326.16908465190204</v>
      </c>
      <c r="AA323" s="1">
        <f t="shared" si="339"/>
        <v>-3731.6263771269587</v>
      </c>
      <c r="AB323" s="1">
        <f t="shared" si="387"/>
        <v>23535.875873669047</v>
      </c>
      <c r="AC323" s="1">
        <f t="shared" si="341"/>
        <v>19478.080411890187</v>
      </c>
      <c r="AD323" s="1">
        <f t="shared" si="342"/>
        <v>1.3048831674950634</v>
      </c>
      <c r="AE323">
        <f t="shared" si="343"/>
        <v>19479.385295057684</v>
      </c>
      <c r="AG323" s="19">
        <v>53</v>
      </c>
      <c r="AH323" s="19">
        <f t="shared" ref="AH323:AK323" si="410">AH236</f>
        <v>5.7588805423274748E-2</v>
      </c>
      <c r="AI323" s="19">
        <f t="shared" si="410"/>
        <v>1.5069212376733485E-2</v>
      </c>
      <c r="AJ323" s="19">
        <f t="shared" si="410"/>
        <v>855.82799999999997</v>
      </c>
      <c r="AK323" s="19">
        <f t="shared" si="410"/>
        <v>810.702</v>
      </c>
    </row>
    <row r="324" spans="5:37">
      <c r="E324">
        <v>54</v>
      </c>
      <c r="F324" s="13"/>
      <c r="G324" s="13">
        <f t="shared" si="389"/>
        <v>0</v>
      </c>
      <c r="H324" s="13">
        <f t="shared" si="390"/>
        <v>196.20000000000002</v>
      </c>
      <c r="I324" s="13">
        <f t="shared" si="347"/>
        <v>500000</v>
      </c>
      <c r="J324" s="13">
        <f t="shared" si="329"/>
        <v>819.69200000000001</v>
      </c>
      <c r="K324" s="5">
        <f t="shared" si="330"/>
        <v>862.96699999999998</v>
      </c>
      <c r="L324" s="21">
        <f t="shared" si="331"/>
        <v>409846</v>
      </c>
      <c r="M324">
        <f t="shared" si="332"/>
        <v>431483.5</v>
      </c>
      <c r="N324">
        <f t="shared" si="348"/>
        <v>0.28169565606000002</v>
      </c>
      <c r="O324">
        <f t="shared" si="349"/>
        <v>0.99709258046367455</v>
      </c>
      <c r="P324">
        <f t="shared" si="372"/>
        <v>2.8087664860627313E-4</v>
      </c>
      <c r="Q324">
        <f t="shared" si="373"/>
        <v>0.99681170381506823</v>
      </c>
      <c r="R324">
        <f t="shared" si="350"/>
        <v>426669.87447653286</v>
      </c>
      <c r="S324">
        <f t="shared" si="351"/>
        <v>4985.4629023183725</v>
      </c>
      <c r="T324">
        <f t="shared" si="334"/>
        <v>430107.80280308897</v>
      </c>
      <c r="U324" s="22">
        <f t="shared" si="385"/>
        <v>4984.0585190753409</v>
      </c>
      <c r="V324" s="1">
        <f t="shared" si="335"/>
        <v>0</v>
      </c>
      <c r="W324" s="1">
        <f t="shared" si="336"/>
        <v>0</v>
      </c>
      <c r="X324" s="1">
        <f t="shared" si="337"/>
        <v>-195.62956428697296</v>
      </c>
      <c r="Y324" s="1">
        <f t="shared" si="352"/>
        <v>-140.43832430313657</v>
      </c>
      <c r="Z324" s="1">
        <f t="shared" si="338"/>
        <v>-336.06788859010953</v>
      </c>
      <c r="AA324" s="1">
        <f t="shared" si="339"/>
        <v>-3437.9283265561098</v>
      </c>
      <c r="AB324" s="1">
        <f t="shared" si="387"/>
        <v>23741.043555836819</v>
      </c>
      <c r="AC324" s="1">
        <f t="shared" si="341"/>
        <v>19967.047340690599</v>
      </c>
      <c r="AD324" s="1">
        <f t="shared" si="342"/>
        <v>1.4043832430315888</v>
      </c>
      <c r="AE324">
        <f t="shared" si="343"/>
        <v>19968.451723933631</v>
      </c>
      <c r="AG324" s="19">
        <v>54</v>
      </c>
      <c r="AH324" s="19">
        <f t="shared" ref="AH324:AK324" si="411">AH237</f>
        <v>4.2519593046541265E-2</v>
      </c>
      <c r="AI324" s="19">
        <f t="shared" si="411"/>
        <v>1.1977584658649657E-2</v>
      </c>
      <c r="AJ324" s="19">
        <f t="shared" si="411"/>
        <v>862.96699999999998</v>
      </c>
      <c r="AK324" s="19">
        <f t="shared" si="411"/>
        <v>819.69200000000001</v>
      </c>
    </row>
    <row r="325" spans="5:37">
      <c r="E325">
        <v>55</v>
      </c>
      <c r="F325" s="13"/>
      <c r="G325" s="13">
        <f t="shared" si="389"/>
        <v>0</v>
      </c>
      <c r="H325" s="13">
        <f t="shared" si="390"/>
        <v>196.20000000000002</v>
      </c>
      <c r="I325" s="13">
        <f t="shared" si="347"/>
        <v>500000</v>
      </c>
      <c r="J325" s="13">
        <f t="shared" si="329"/>
        <v>828.077</v>
      </c>
      <c r="K325" s="5">
        <f t="shared" si="330"/>
        <v>869.6</v>
      </c>
      <c r="L325" s="21">
        <f t="shared" si="331"/>
        <v>414038.5</v>
      </c>
      <c r="M325">
        <f t="shared" si="332"/>
        <v>434800</v>
      </c>
      <c r="N325">
        <f t="shared" si="348"/>
        <v>0.30209182094000003</v>
      </c>
      <c r="O325">
        <f t="shared" si="349"/>
        <v>0.99681170381506823</v>
      </c>
      <c r="P325">
        <f t="shared" si="372"/>
        <v>3.0112866273979794E-4</v>
      </c>
      <c r="Q325">
        <f t="shared" si="373"/>
        <v>0.99651057515232844</v>
      </c>
      <c r="R325">
        <f t="shared" si="350"/>
        <v>430107.80280308897</v>
      </c>
      <c r="S325">
        <f t="shared" si="351"/>
        <v>4984.0585190753409</v>
      </c>
      <c r="T325">
        <f t="shared" si="334"/>
        <v>433282.79807623243</v>
      </c>
      <c r="U325" s="22">
        <f t="shared" si="385"/>
        <v>4982.5528757616421</v>
      </c>
      <c r="V325" s="1">
        <f t="shared" si="335"/>
        <v>0</v>
      </c>
      <c r="W325" s="1">
        <f t="shared" si="336"/>
        <v>0</v>
      </c>
      <c r="X325" s="1">
        <f t="shared" si="337"/>
        <v>-195.57445628851642</v>
      </c>
      <c r="Y325" s="1">
        <f t="shared" si="352"/>
        <v>-150.56433136989898</v>
      </c>
      <c r="Z325" s="1">
        <f t="shared" si="338"/>
        <v>-346.13878765841537</v>
      </c>
      <c r="AA325" s="1">
        <f t="shared" si="339"/>
        <v>-3174.9952731434605</v>
      </c>
      <c r="AB325" s="1">
        <f t="shared" si="387"/>
        <v>23930.052372719038</v>
      </c>
      <c r="AC325" s="1">
        <f t="shared" si="341"/>
        <v>20408.918311917161</v>
      </c>
      <c r="AD325" s="1">
        <f t="shared" si="342"/>
        <v>1.5056433136987835</v>
      </c>
      <c r="AE325">
        <f t="shared" si="343"/>
        <v>20410.423955230861</v>
      </c>
      <c r="AG325" s="19">
        <v>55</v>
      </c>
      <c r="AH325" s="19">
        <f t="shared" ref="AH325:AK325" si="412">AH238</f>
        <v>3.054200838789161E-2</v>
      </c>
      <c r="AI325" s="19">
        <f t="shared" si="412"/>
        <v>9.2264909290629311E-3</v>
      </c>
      <c r="AJ325" s="19">
        <f t="shared" si="412"/>
        <v>869.6</v>
      </c>
      <c r="AK325" s="19">
        <f t="shared" si="412"/>
        <v>828.077</v>
      </c>
    </row>
    <row r="326" spans="5:37">
      <c r="E326">
        <v>56</v>
      </c>
      <c r="F326" s="13"/>
      <c r="G326" s="13">
        <f t="shared" si="389"/>
        <v>0</v>
      </c>
      <c r="H326" s="13">
        <f t="shared" si="390"/>
        <v>196.20000000000002</v>
      </c>
      <c r="I326" s="13">
        <f t="shared" si="347"/>
        <v>500000</v>
      </c>
      <c r="J326" s="13">
        <f t="shared" si="329"/>
        <v>835.79700000000003</v>
      </c>
      <c r="K326" s="5">
        <f t="shared" si="330"/>
        <v>875.68799999999999</v>
      </c>
      <c r="L326" s="21">
        <f t="shared" si="331"/>
        <v>417898.5</v>
      </c>
      <c r="M326">
        <f t="shared" si="332"/>
        <v>437844</v>
      </c>
      <c r="N326">
        <f t="shared" si="348"/>
        <v>0.32340684194000002</v>
      </c>
      <c r="O326">
        <f t="shared" si="349"/>
        <v>0.99651057515232844</v>
      </c>
      <c r="P326">
        <f t="shared" si="372"/>
        <v>3.2227833806982756E-4</v>
      </c>
      <c r="Q326">
        <f t="shared" si="373"/>
        <v>0.99618829681425858</v>
      </c>
      <c r="R326">
        <f t="shared" si="350"/>
        <v>433282.79807623243</v>
      </c>
      <c r="S326">
        <f t="shared" si="351"/>
        <v>4982.5528757616421</v>
      </c>
      <c r="T326">
        <f t="shared" si="334"/>
        <v>436175.06863034226</v>
      </c>
      <c r="U326" s="22">
        <f t="shared" si="385"/>
        <v>4980.9414840712925</v>
      </c>
      <c r="V326" s="1">
        <f t="shared" si="335"/>
        <v>0</v>
      </c>
      <c r="W326" s="1">
        <f t="shared" si="336"/>
        <v>0</v>
      </c>
      <c r="X326" s="1">
        <f t="shared" si="337"/>
        <v>-195.51537484488685</v>
      </c>
      <c r="Y326" s="1">
        <f t="shared" si="352"/>
        <v>-161.13916903491378</v>
      </c>
      <c r="Z326" s="1">
        <f t="shared" si="338"/>
        <v>-356.6545438798006</v>
      </c>
      <c r="AA326" s="1">
        <f t="shared" si="339"/>
        <v>-2892.2705541098258</v>
      </c>
      <c r="AB326" s="1">
        <f t="shared" si="387"/>
        <v>24104.594302359674</v>
      </c>
      <c r="AC326" s="1">
        <f t="shared" si="341"/>
        <v>20855.669204370046</v>
      </c>
      <c r="AD326" s="1">
        <f t="shared" si="342"/>
        <v>1.611391690349592</v>
      </c>
      <c r="AE326">
        <f t="shared" si="343"/>
        <v>20857.280596060395</v>
      </c>
      <c r="AG326" s="19">
        <v>56</v>
      </c>
      <c r="AH326" s="19">
        <f t="shared" ref="AH326:AK326" si="413">AH239</f>
        <v>2.1315517458828679E-2</v>
      </c>
      <c r="AI326" s="19">
        <f t="shared" si="413"/>
        <v>6.8935841856767174E-3</v>
      </c>
      <c r="AJ326" s="19">
        <f t="shared" si="413"/>
        <v>875.68799999999999</v>
      </c>
      <c r="AK326" s="19">
        <f t="shared" si="413"/>
        <v>835.79700000000003</v>
      </c>
    </row>
    <row r="327" spans="5:37">
      <c r="E327">
        <v>57</v>
      </c>
      <c r="F327" s="13"/>
      <c r="G327" s="13">
        <f t="shared" si="389"/>
        <v>0</v>
      </c>
      <c r="H327" s="13">
        <f t="shared" si="390"/>
        <v>196.20000000000002</v>
      </c>
      <c r="I327" s="13">
        <f t="shared" si="347"/>
        <v>500000</v>
      </c>
      <c r="J327" s="13">
        <f t="shared" si="329"/>
        <v>842.90899999999999</v>
      </c>
      <c r="K327" s="5">
        <f t="shared" si="330"/>
        <v>881.28200000000004</v>
      </c>
      <c r="L327" s="21">
        <f t="shared" si="331"/>
        <v>421454.5</v>
      </c>
      <c r="M327">
        <f t="shared" si="332"/>
        <v>440641</v>
      </c>
      <c r="N327">
        <f t="shared" si="348"/>
        <v>0.34486570663999999</v>
      </c>
      <c r="O327">
        <f t="shared" si="349"/>
        <v>0.99618829681425858</v>
      </c>
      <c r="P327">
        <f t="shared" si="372"/>
        <v>3.4355118092734731E-4</v>
      </c>
      <c r="Q327">
        <f t="shared" si="373"/>
        <v>0.99584474563333125</v>
      </c>
      <c r="R327">
        <f t="shared" si="350"/>
        <v>436175.06863034226</v>
      </c>
      <c r="S327">
        <f t="shared" si="351"/>
        <v>4980.9414840712925</v>
      </c>
      <c r="T327">
        <f t="shared" si="334"/>
        <v>438810.0245606167</v>
      </c>
      <c r="U327" s="22">
        <f t="shared" si="385"/>
        <v>4979.2237281666567</v>
      </c>
      <c r="V327" s="1">
        <f t="shared" si="335"/>
        <v>0</v>
      </c>
      <c r="W327" s="1">
        <f t="shared" si="336"/>
        <v>0</v>
      </c>
      <c r="X327" s="1">
        <f t="shared" si="337"/>
        <v>-195.45214383495755</v>
      </c>
      <c r="Y327" s="1">
        <f t="shared" si="352"/>
        <v>-171.77559046367367</v>
      </c>
      <c r="Z327" s="1">
        <f t="shared" si="338"/>
        <v>-367.22773429863122</v>
      </c>
      <c r="AA327" s="1">
        <f t="shared" si="339"/>
        <v>-2634.9559302744456</v>
      </c>
      <c r="AB327" s="1">
        <f t="shared" si="387"/>
        <v>24263.580556292745</v>
      </c>
      <c r="AC327" s="1">
        <f t="shared" si="341"/>
        <v>21261.396891719669</v>
      </c>
      <c r="AD327" s="1">
        <f t="shared" si="342"/>
        <v>1.717755904635851</v>
      </c>
      <c r="AE327">
        <f t="shared" si="343"/>
        <v>21263.114647624305</v>
      </c>
      <c r="AG327" s="19">
        <v>57</v>
      </c>
      <c r="AH327" s="19">
        <f t="shared" ref="AH327:AK327" si="414">AH240</f>
        <v>1.4421933273151961E-2</v>
      </c>
      <c r="AI327" s="19">
        <f t="shared" si="414"/>
        <v>4.9736302093604792E-3</v>
      </c>
      <c r="AJ327" s="19">
        <f t="shared" si="414"/>
        <v>881.28200000000004</v>
      </c>
      <c r="AK327" s="19">
        <f t="shared" si="414"/>
        <v>842.90899999999999</v>
      </c>
    </row>
    <row r="328" spans="5:37">
      <c r="E328">
        <v>58</v>
      </c>
      <c r="F328" s="13"/>
      <c r="G328" s="13">
        <f t="shared" si="389"/>
        <v>0</v>
      </c>
      <c r="H328" s="13">
        <f t="shared" si="390"/>
        <v>196.20000000000002</v>
      </c>
      <c r="I328" s="13">
        <f t="shared" si="347"/>
        <v>500000</v>
      </c>
      <c r="J328" s="13">
        <f t="shared" si="329"/>
        <v>849.57100000000003</v>
      </c>
      <c r="K328" s="5">
        <f t="shared" si="330"/>
        <v>886.50400000000002</v>
      </c>
      <c r="L328" s="21">
        <f t="shared" si="331"/>
        <v>424785.5</v>
      </c>
      <c r="M328">
        <f t="shared" si="332"/>
        <v>443252</v>
      </c>
      <c r="N328">
        <f t="shared" si="348"/>
        <v>0.36597324400000003</v>
      </c>
      <c r="O328">
        <f t="shared" si="349"/>
        <v>0.99584474563333125</v>
      </c>
      <c r="P328">
        <f t="shared" si="372"/>
        <v>3.644525320797851E-4</v>
      </c>
      <c r="Q328">
        <f t="shared" si="373"/>
        <v>0.99548029310125141</v>
      </c>
      <c r="R328">
        <f t="shared" si="350"/>
        <v>438810.0245606167</v>
      </c>
      <c r="S328">
        <f t="shared" si="351"/>
        <v>4979.2237281666567</v>
      </c>
      <c r="T328">
        <f t="shared" si="334"/>
        <v>441248.63087771588</v>
      </c>
      <c r="U328" s="22">
        <f t="shared" si="385"/>
        <v>4977.4014655062574</v>
      </c>
      <c r="V328" s="1">
        <f t="shared" si="335"/>
        <v>0</v>
      </c>
      <c r="W328" s="1">
        <f t="shared" si="336"/>
        <v>0</v>
      </c>
      <c r="X328" s="1">
        <f t="shared" si="337"/>
        <v>-195.38473909325961</v>
      </c>
      <c r="Y328" s="1">
        <f t="shared" si="352"/>
        <v>-182.22626603989255</v>
      </c>
      <c r="Z328" s="1">
        <f t="shared" si="338"/>
        <v>-377.61100513315216</v>
      </c>
      <c r="AA328" s="1">
        <f t="shared" si="339"/>
        <v>-2438.6063170991838</v>
      </c>
      <c r="AB328" s="1">
        <f t="shared" si="387"/>
        <v>24408.408655883086</v>
      </c>
      <c r="AC328" s="1">
        <f t="shared" si="341"/>
        <v>21592.19133365075</v>
      </c>
      <c r="AD328" s="1">
        <f t="shared" si="342"/>
        <v>1.8222626603992467</v>
      </c>
      <c r="AE328">
        <f t="shared" si="343"/>
        <v>21594.01359631115</v>
      </c>
      <c r="AG328" s="19">
        <v>58</v>
      </c>
      <c r="AH328" s="19">
        <f t="shared" ref="AH328:AK328" si="415">AH241</f>
        <v>9.4483030637914807E-3</v>
      </c>
      <c r="AI328" s="19">
        <f t="shared" si="415"/>
        <v>3.4578261225509076E-3</v>
      </c>
      <c r="AJ328" s="19">
        <f t="shared" si="415"/>
        <v>886.50400000000002</v>
      </c>
      <c r="AK328" s="19">
        <f t="shared" si="415"/>
        <v>849.57100000000003</v>
      </c>
    </row>
    <row r="329" spans="5:37">
      <c r="E329">
        <v>59</v>
      </c>
      <c r="F329" s="13"/>
      <c r="G329" s="13">
        <f t="shared" si="389"/>
        <v>0</v>
      </c>
      <c r="H329" s="13">
        <f t="shared" si="390"/>
        <v>196.20000000000002</v>
      </c>
      <c r="I329" s="13">
        <f t="shared" si="347"/>
        <v>500000</v>
      </c>
      <c r="J329" s="13">
        <f t="shared" si="329"/>
        <v>855.79200000000003</v>
      </c>
      <c r="K329" s="5">
        <f t="shared" si="330"/>
        <v>891.36800000000005</v>
      </c>
      <c r="L329" s="21">
        <f t="shared" si="331"/>
        <v>427896</v>
      </c>
      <c r="M329">
        <f t="shared" si="332"/>
        <v>445684</v>
      </c>
      <c r="N329">
        <f t="shared" si="348"/>
        <v>0.38758554198</v>
      </c>
      <c r="O329">
        <f t="shared" si="349"/>
        <v>0.99548029310125141</v>
      </c>
      <c r="P329">
        <f t="shared" si="372"/>
        <v>3.8583376893205776E-4</v>
      </c>
      <c r="Q329">
        <f t="shared" si="373"/>
        <v>0.99509445933231933</v>
      </c>
      <c r="R329">
        <f t="shared" si="350"/>
        <v>441248.63087771588</v>
      </c>
      <c r="S329">
        <f t="shared" si="351"/>
        <v>4977.4014655062574</v>
      </c>
      <c r="T329">
        <f t="shared" si="334"/>
        <v>443497.67901306541</v>
      </c>
      <c r="U329" s="22">
        <f t="shared" si="385"/>
        <v>4975.4722966615964</v>
      </c>
      <c r="V329" s="1">
        <f t="shared" si="335"/>
        <v>0</v>
      </c>
      <c r="W329" s="1">
        <f t="shared" si="336"/>
        <v>0</v>
      </c>
      <c r="X329" s="1">
        <f t="shared" si="337"/>
        <v>-195.31323350646554</v>
      </c>
      <c r="Y329" s="1">
        <f t="shared" si="352"/>
        <v>-192.91688446602888</v>
      </c>
      <c r="Z329" s="1">
        <f t="shared" si="338"/>
        <v>-388.23011797249444</v>
      </c>
      <c r="AA329" s="1">
        <f t="shared" si="339"/>
        <v>-2249.048135349527</v>
      </c>
      <c r="AB329" s="1">
        <f t="shared" si="387"/>
        <v>24542.431778877217</v>
      </c>
      <c r="AC329" s="1">
        <f t="shared" si="341"/>
        <v>21905.153525555193</v>
      </c>
      <c r="AD329" s="1">
        <f t="shared" si="342"/>
        <v>1.9291688446610351</v>
      </c>
      <c r="AE329">
        <f t="shared" si="343"/>
        <v>21907.082694399855</v>
      </c>
      <c r="AG329" s="19">
        <v>59</v>
      </c>
      <c r="AH329" s="19">
        <f t="shared" ref="AH329:AK329" si="416">AH242</f>
        <v>5.9904769412405731E-3</v>
      </c>
      <c r="AI329" s="19">
        <f t="shared" si="416"/>
        <v>2.3218222519894201E-3</v>
      </c>
      <c r="AJ329" s="19">
        <f t="shared" si="416"/>
        <v>891.36800000000005</v>
      </c>
      <c r="AK329" s="19">
        <f t="shared" si="416"/>
        <v>855.79200000000003</v>
      </c>
    </row>
    <row r="330" spans="5:37">
      <c r="E330">
        <v>60</v>
      </c>
      <c r="F330" s="13"/>
      <c r="G330" s="13">
        <f t="shared" si="389"/>
        <v>0</v>
      </c>
      <c r="H330" s="13">
        <f t="shared" si="390"/>
        <v>196.20000000000002</v>
      </c>
      <c r="I330" s="13">
        <f t="shared" si="347"/>
        <v>500000</v>
      </c>
      <c r="J330" s="13">
        <f t="shared" si="329"/>
        <v>861.59</v>
      </c>
      <c r="K330" s="5">
        <f t="shared" si="330"/>
        <v>895.88800000000003</v>
      </c>
      <c r="L330" s="21">
        <f t="shared" si="331"/>
        <v>430795</v>
      </c>
      <c r="M330">
        <f t="shared" si="332"/>
        <v>447944</v>
      </c>
      <c r="N330">
        <f t="shared" si="348"/>
        <v>0.40957619247999999</v>
      </c>
      <c r="O330">
        <f t="shared" si="349"/>
        <v>0.99509445933231933</v>
      </c>
      <c r="P330">
        <f t="shared" si="372"/>
        <v>4.0756699981127554E-4</v>
      </c>
      <c r="Q330">
        <f t="shared" si="373"/>
        <v>0.99468689233250807</v>
      </c>
      <c r="R330">
        <f t="shared" si="350"/>
        <v>443497.67901306541</v>
      </c>
      <c r="S330">
        <f t="shared" si="351"/>
        <v>4975.4722966615964</v>
      </c>
      <c r="T330">
        <f t="shared" si="334"/>
        <v>445564.02529899299</v>
      </c>
      <c r="U330" s="22">
        <f t="shared" si="385"/>
        <v>4973.4344616625403</v>
      </c>
      <c r="V330" s="1">
        <f t="shared" si="335"/>
        <v>0</v>
      </c>
      <c r="W330" s="1">
        <f t="shared" si="336"/>
        <v>0</v>
      </c>
      <c r="X330" s="1">
        <f t="shared" si="337"/>
        <v>-195.23753292100108</v>
      </c>
      <c r="Y330" s="1">
        <f t="shared" si="352"/>
        <v>-203.78349990563777</v>
      </c>
      <c r="Z330" s="1">
        <f t="shared" si="338"/>
        <v>-399.02103282663882</v>
      </c>
      <c r="AA330" s="1">
        <f t="shared" si="339"/>
        <v>-2066.3462859275751</v>
      </c>
      <c r="AB330" s="1">
        <f t="shared" si="387"/>
        <v>24666.023322034984</v>
      </c>
      <c r="AC330" s="1">
        <f t="shared" si="341"/>
        <v>22200.656003280768</v>
      </c>
      <c r="AD330" s="1">
        <f t="shared" si="342"/>
        <v>2.0378349990560309</v>
      </c>
      <c r="AE330">
        <f t="shared" si="343"/>
        <v>22202.693838279825</v>
      </c>
      <c r="AG330" s="19">
        <v>60</v>
      </c>
      <c r="AH330" s="19">
        <f t="shared" ref="AH330:AK330" si="417">AH243</f>
        <v>3.668654689251153E-3</v>
      </c>
      <c r="AI330" s="19">
        <f t="shared" si="417"/>
        <v>1.5025936191473848E-3</v>
      </c>
      <c r="AJ330" s="19">
        <f t="shared" si="417"/>
        <v>895.88800000000003</v>
      </c>
      <c r="AK330" s="19">
        <f t="shared" si="417"/>
        <v>861.59</v>
      </c>
    </row>
    <row r="331" spans="5:37">
      <c r="E331">
        <v>61</v>
      </c>
      <c r="F331" s="13"/>
      <c r="G331" s="13">
        <f t="shared" si="389"/>
        <v>0</v>
      </c>
      <c r="H331" s="13">
        <f t="shared" si="390"/>
        <v>196.20000000000002</v>
      </c>
      <c r="I331" s="13">
        <f t="shared" si="347"/>
        <v>500000</v>
      </c>
      <c r="J331" s="13">
        <f t="shared" si="329"/>
        <v>866.99099999999999</v>
      </c>
      <c r="K331" s="5">
        <f t="shared" si="330"/>
        <v>900.09</v>
      </c>
      <c r="L331" s="21">
        <f t="shared" si="331"/>
        <v>433495.5</v>
      </c>
      <c r="M331">
        <f t="shared" si="332"/>
        <v>450045</v>
      </c>
      <c r="N331">
        <f t="shared" si="348"/>
        <v>0.43180309536</v>
      </c>
      <c r="O331">
        <f t="shared" si="349"/>
        <v>0.99468689233250807</v>
      </c>
      <c r="P331">
        <f t="shared" si="372"/>
        <v>4.2950887902319602E-4</v>
      </c>
      <c r="Q331">
        <f t="shared" si="373"/>
        <v>0.99425738345348491</v>
      </c>
      <c r="R331">
        <f t="shared" si="350"/>
        <v>445564.02529899299</v>
      </c>
      <c r="S331">
        <f t="shared" si="351"/>
        <v>4973.4344616625403</v>
      </c>
      <c r="T331">
        <f t="shared" si="334"/>
        <v>447460.56413632364</v>
      </c>
      <c r="U331" s="22">
        <f t="shared" si="385"/>
        <v>4971.2869172674245</v>
      </c>
      <c r="V331" s="1">
        <f t="shared" si="335"/>
        <v>0</v>
      </c>
      <c r="W331" s="1">
        <f t="shared" si="336"/>
        <v>0</v>
      </c>
      <c r="X331" s="1">
        <f t="shared" si="337"/>
        <v>-195.15756827563811</v>
      </c>
      <c r="Y331" s="1">
        <f t="shared" si="352"/>
        <v>-214.75443951159801</v>
      </c>
      <c r="Z331" s="1">
        <f t="shared" si="338"/>
        <v>-409.91200778723612</v>
      </c>
      <c r="AA331" s="1">
        <f t="shared" si="339"/>
        <v>-1896.5388373306487</v>
      </c>
      <c r="AB331" s="1">
        <f t="shared" si="387"/>
        <v>24779.560286836055</v>
      </c>
      <c r="AC331" s="1">
        <f t="shared" si="341"/>
        <v>22473.10944171817</v>
      </c>
      <c r="AD331" s="1">
        <f t="shared" si="342"/>
        <v>2.1475443951158013</v>
      </c>
      <c r="AE331">
        <f t="shared" si="343"/>
        <v>22475.256986113287</v>
      </c>
      <c r="AG331" s="19">
        <v>61</v>
      </c>
      <c r="AH331" s="19">
        <f t="shared" ref="AH331:AK331" si="418">AH244</f>
        <v>2.1660610701037682E-3</v>
      </c>
      <c r="AI331" s="19">
        <f t="shared" si="418"/>
        <v>9.3531187480960104E-4</v>
      </c>
      <c r="AJ331" s="19">
        <f t="shared" si="418"/>
        <v>900.09</v>
      </c>
      <c r="AK331" s="19">
        <f t="shared" si="418"/>
        <v>866.99099999999999</v>
      </c>
    </row>
    <row r="332" spans="5:37">
      <c r="E332">
        <v>62</v>
      </c>
      <c r="F332" s="13"/>
      <c r="G332" s="13">
        <f t="shared" si="389"/>
        <v>0</v>
      </c>
      <c r="H332" s="13">
        <f t="shared" si="390"/>
        <v>196.20000000000002</v>
      </c>
      <c r="I332" s="13">
        <f t="shared" si="347"/>
        <v>500000</v>
      </c>
      <c r="J332" s="13">
        <f t="shared" si="329"/>
        <v>872.04100000000005</v>
      </c>
      <c r="K332" s="5">
        <f t="shared" si="330"/>
        <v>904.00800000000004</v>
      </c>
      <c r="L332" s="21">
        <f t="shared" si="331"/>
        <v>436020.5</v>
      </c>
      <c r="M332">
        <f t="shared" si="332"/>
        <v>452004</v>
      </c>
      <c r="N332">
        <f t="shared" si="348"/>
        <v>0.45412589403999998</v>
      </c>
      <c r="O332">
        <f t="shared" si="349"/>
        <v>0.99425738345348491</v>
      </c>
      <c r="P332">
        <f t="shared" si="372"/>
        <v>4.5151802316668492E-4</v>
      </c>
      <c r="Q332">
        <f t="shared" si="373"/>
        <v>0.99380586543031824</v>
      </c>
      <c r="R332">
        <f t="shared" si="350"/>
        <v>447460.56413632364</v>
      </c>
      <c r="S332">
        <f t="shared" si="351"/>
        <v>4971.2869172674245</v>
      </c>
      <c r="T332">
        <f t="shared" si="334"/>
        <v>449204.22639796557</v>
      </c>
      <c r="U332" s="22">
        <f t="shared" si="385"/>
        <v>4969.0293271515911</v>
      </c>
      <c r="V332" s="1">
        <f t="shared" si="335"/>
        <v>0</v>
      </c>
      <c r="W332" s="1">
        <f t="shared" si="336"/>
        <v>0</v>
      </c>
      <c r="X332" s="1">
        <f t="shared" si="337"/>
        <v>-195.07329863357376</v>
      </c>
      <c r="Y332" s="1">
        <f t="shared" si="352"/>
        <v>-225.75901158334247</v>
      </c>
      <c r="Z332" s="1">
        <f t="shared" si="338"/>
        <v>-420.8323102169162</v>
      </c>
      <c r="AA332" s="1">
        <f t="shared" si="339"/>
        <v>-1743.6622616419336</v>
      </c>
      <c r="AB332" s="1">
        <f t="shared" si="387"/>
        <v>24883.751807947508</v>
      </c>
      <c r="AC332" s="1">
        <f t="shared" si="341"/>
        <v>22719.257236088659</v>
      </c>
      <c r="AD332" s="1">
        <f t="shared" si="342"/>
        <v>2.2575901158334091</v>
      </c>
      <c r="AE332">
        <f t="shared" si="343"/>
        <v>22721.514826204493</v>
      </c>
      <c r="AG332" s="19">
        <v>62</v>
      </c>
      <c r="AH332" s="19">
        <f t="shared" ref="AH332:AK332" si="419">AH245</f>
        <v>1.2307491952941673E-3</v>
      </c>
      <c r="AI332" s="19">
        <f t="shared" si="419"/>
        <v>5.5891507865197425E-4</v>
      </c>
      <c r="AJ332" s="19">
        <f t="shared" si="419"/>
        <v>904.00800000000004</v>
      </c>
      <c r="AK332" s="19">
        <f t="shared" si="419"/>
        <v>872.04100000000005</v>
      </c>
    </row>
    <row r="333" spans="5:37">
      <c r="E333">
        <v>63</v>
      </c>
      <c r="F333" s="13"/>
      <c r="G333" s="13">
        <f t="shared" si="389"/>
        <v>0</v>
      </c>
      <c r="H333" s="13">
        <f t="shared" si="390"/>
        <v>196.20000000000002</v>
      </c>
      <c r="I333" s="13">
        <f t="shared" si="347"/>
        <v>500000</v>
      </c>
      <c r="J333" s="13">
        <f t="shared" si="329"/>
        <v>876.78200000000004</v>
      </c>
      <c r="K333" s="5">
        <f t="shared" si="330"/>
        <v>907.67899999999997</v>
      </c>
      <c r="L333" s="21">
        <f t="shared" si="331"/>
        <v>438391</v>
      </c>
      <c r="M333">
        <f t="shared" si="332"/>
        <v>453839.5</v>
      </c>
      <c r="N333">
        <f t="shared" si="348"/>
        <v>0.47656725480000001</v>
      </c>
      <c r="O333">
        <f t="shared" si="349"/>
        <v>0.99380586543031824</v>
      </c>
      <c r="P333">
        <f t="shared" si="372"/>
        <v>4.7361533309226502E-4</v>
      </c>
      <c r="Q333">
        <f t="shared" si="373"/>
        <v>0.99333225009722592</v>
      </c>
      <c r="R333">
        <f t="shared" si="350"/>
        <v>449204.22639796557</v>
      </c>
      <c r="S333">
        <f t="shared" si="351"/>
        <v>4969.0293271515911</v>
      </c>
      <c r="T333">
        <f t="shared" si="334"/>
        <v>450813.41171799996</v>
      </c>
      <c r="U333" s="22">
        <f t="shared" si="385"/>
        <v>4966.6612504861296</v>
      </c>
      <c r="V333" s="1">
        <f t="shared" si="335"/>
        <v>0</v>
      </c>
      <c r="W333" s="1">
        <f t="shared" si="336"/>
        <v>0</v>
      </c>
      <c r="X333" s="1">
        <f t="shared" si="337"/>
        <v>-194.98471079742845</v>
      </c>
      <c r="Y333" s="1">
        <f t="shared" si="352"/>
        <v>-236.80766654613251</v>
      </c>
      <c r="Z333" s="1">
        <f t="shared" si="338"/>
        <v>-431.79237734356093</v>
      </c>
      <c r="AA333" s="1">
        <f t="shared" si="339"/>
        <v>-1609.1853200343903</v>
      </c>
      <c r="AB333" s="1">
        <f t="shared" si="387"/>
        <v>24979.529064881444</v>
      </c>
      <c r="AC333" s="1">
        <f t="shared" si="341"/>
        <v>22938.551367503493</v>
      </c>
      <c r="AD333" s="1">
        <f t="shared" si="342"/>
        <v>2.3680766654615582</v>
      </c>
      <c r="AE333">
        <f t="shared" si="343"/>
        <v>22940.919444168954</v>
      </c>
      <c r="AG333" s="19">
        <v>63</v>
      </c>
      <c r="AH333" s="19">
        <f t="shared" ref="AH333:AK333" si="420">AH246</f>
        <v>6.7183411664219303E-4</v>
      </c>
      <c r="AI333" s="19">
        <f t="shared" si="420"/>
        <v>3.2017414064915292E-4</v>
      </c>
      <c r="AJ333" s="19">
        <f t="shared" si="420"/>
        <v>907.67899999999997</v>
      </c>
      <c r="AK333" s="19">
        <f t="shared" si="420"/>
        <v>876.78200000000004</v>
      </c>
    </row>
    <row r="334" spans="5:37">
      <c r="E334">
        <v>64</v>
      </c>
      <c r="F334" s="13"/>
      <c r="G334" s="13">
        <f t="shared" si="389"/>
        <v>0</v>
      </c>
      <c r="H334" s="13">
        <f t="shared" si="390"/>
        <v>196.20000000000002</v>
      </c>
      <c r="I334" s="13">
        <f t="shared" si="347"/>
        <v>500000</v>
      </c>
      <c r="J334" s="13">
        <f t="shared" si="329"/>
        <v>881.25599999999997</v>
      </c>
      <c r="K334" s="5">
        <f t="shared" si="330"/>
        <v>911.13599999999997</v>
      </c>
      <c r="L334" s="21">
        <f t="shared" si="331"/>
        <v>440628</v>
      </c>
      <c r="M334">
        <f t="shared" si="332"/>
        <v>455568</v>
      </c>
      <c r="N334">
        <f t="shared" si="348"/>
        <v>0.49916815130000003</v>
      </c>
      <c r="O334">
        <f t="shared" si="349"/>
        <v>0.99333225009722592</v>
      </c>
      <c r="P334">
        <f t="shared" si="372"/>
        <v>4.9583982290770149E-4</v>
      </c>
      <c r="Q334">
        <f t="shared" si="373"/>
        <v>0.99283641027431824</v>
      </c>
      <c r="R334">
        <f t="shared" si="350"/>
        <v>450813.41171799996</v>
      </c>
      <c r="S334">
        <f t="shared" si="351"/>
        <v>4966.6612504861296</v>
      </c>
      <c r="T334">
        <f t="shared" si="334"/>
        <v>452304.49775585061</v>
      </c>
      <c r="U334" s="22">
        <f t="shared" ref="U334:U345" si="421">$B$11*I334*Q334</f>
        <v>4964.1820513715911</v>
      </c>
      <c r="V334" s="1">
        <f t="shared" si="335"/>
        <v>0</v>
      </c>
      <c r="W334" s="1">
        <f t="shared" si="336"/>
        <v>0</v>
      </c>
      <c r="X334" s="1">
        <f t="shared" si="337"/>
        <v>-194.89178746907575</v>
      </c>
      <c r="Y334" s="1">
        <f t="shared" si="352"/>
        <v>-247.91991145385074</v>
      </c>
      <c r="Z334" s="1">
        <f t="shared" si="338"/>
        <v>-442.8116989229265</v>
      </c>
      <c r="AA334" s="1">
        <f t="shared" si="339"/>
        <v>-1491.0860378506477</v>
      </c>
      <c r="AB334" s="1">
        <f t="shared" si="387"/>
        <v>25067.904013266736</v>
      </c>
      <c r="AC334" s="1">
        <f t="shared" si="341"/>
        <v>23134.006276493161</v>
      </c>
      <c r="AD334" s="1">
        <f t="shared" si="342"/>
        <v>2.47919911453846</v>
      </c>
      <c r="AE334">
        <f t="shared" si="343"/>
        <v>23136.4854756077</v>
      </c>
      <c r="AG334" s="19">
        <v>64</v>
      </c>
      <c r="AH334" s="19">
        <f t="shared" ref="AH334:AK334" si="422">AH247</f>
        <v>3.5165997599304012E-4</v>
      </c>
      <c r="AI334" s="19">
        <f t="shared" si="422"/>
        <v>1.7553746010264822E-4</v>
      </c>
      <c r="AJ334" s="19">
        <f t="shared" si="422"/>
        <v>911.13599999999997</v>
      </c>
      <c r="AK334" s="19">
        <f t="shared" si="422"/>
        <v>881.25599999999997</v>
      </c>
    </row>
    <row r="335" spans="5:37">
      <c r="E335">
        <v>65</v>
      </c>
      <c r="F335" s="13"/>
      <c r="G335" s="13">
        <f t="shared" si="389"/>
        <v>0</v>
      </c>
      <c r="H335" s="13">
        <f t="shared" si="390"/>
        <v>196.20000000000002</v>
      </c>
      <c r="I335" s="13">
        <f t="shared" si="347"/>
        <v>500000</v>
      </c>
      <c r="J335" s="13">
        <f t="shared" ref="J335:J345" si="423">AK335</f>
        <v>885.553</v>
      </c>
      <c r="K335" s="5">
        <f t="shared" ref="K335:K345" si="424">AJ335</f>
        <v>914.44899999999996</v>
      </c>
      <c r="L335" s="21">
        <f t="shared" ref="L335:L345" si="425">I335*J335/1000</f>
        <v>442776.5</v>
      </c>
      <c r="M335">
        <f t="shared" ref="M335:M345" si="426">I335*K335/1000</f>
        <v>457224.5</v>
      </c>
      <c r="N335">
        <f t="shared" si="348"/>
        <v>0.52180043188000003</v>
      </c>
      <c r="O335">
        <f t="shared" si="349"/>
        <v>0.99283641027431824</v>
      </c>
      <c r="P335">
        <f t="shared" si="372"/>
        <v>5.1806246766732806E-4</v>
      </c>
      <c r="Q335">
        <f t="shared" si="373"/>
        <v>0.99231834780665096</v>
      </c>
      <c r="R335">
        <f t="shared" si="350"/>
        <v>452304.49775585061</v>
      </c>
      <c r="S335">
        <f t="shared" si="351"/>
        <v>4964.1820513715911</v>
      </c>
      <c r="T335">
        <f t="shared" ref="T335:T345" si="427">M335*Q335</f>
        <v>453712.2604167221</v>
      </c>
      <c r="U335" s="22">
        <f t="shared" si="421"/>
        <v>4961.5917390332552</v>
      </c>
      <c r="V335" s="1">
        <f t="shared" ref="V335:V345" si="428">$O335*F335</f>
        <v>0</v>
      </c>
      <c r="W335" s="1">
        <f t="shared" ref="W335:W345" si="429">-$O335*G335</f>
        <v>0</v>
      </c>
      <c r="X335" s="1">
        <f t="shared" ref="X335:X345" si="430">-$O335*H335</f>
        <v>-194.79450369582125</v>
      </c>
      <c r="Y335" s="1">
        <f t="shared" si="352"/>
        <v>-259.03123383366403</v>
      </c>
      <c r="Z335" s="1">
        <f t="shared" ref="Z335:Z345" si="431">SUM(V335:Y335)</f>
        <v>-453.82573752948531</v>
      </c>
      <c r="AA335" s="1">
        <f t="shared" ref="AA335:AA345" si="432">R335-T335</f>
        <v>-1407.7626608714927</v>
      </c>
      <c r="AB335" s="1">
        <f t="shared" ref="AB335:AB345" si="433">$B$12*SUM(R335:S335,V335:W335)</f>
        <v>25149.777389397223</v>
      </c>
      <c r="AC335" s="1">
        <f t="shared" ref="AC335:AC345" si="434">SUM(Z335:AB335)</f>
        <v>23288.188990996245</v>
      </c>
      <c r="AD335" s="1">
        <f t="shared" ref="AD335:AD345" si="435">S335-U335</f>
        <v>2.5903123383359343</v>
      </c>
      <c r="AE335">
        <f t="shared" ref="AE335:AE345" si="436">SUM(AC335:AD335)</f>
        <v>23290.779303334581</v>
      </c>
      <c r="AG335" s="19">
        <v>65</v>
      </c>
      <c r="AH335" s="19">
        <f t="shared" ref="AH335:AK335" si="437">AH248</f>
        <v>1.7612251589039189E-4</v>
      </c>
      <c r="AI335" s="19">
        <f t="shared" si="437"/>
        <v>9.1900804855398662E-5</v>
      </c>
      <c r="AJ335" s="19">
        <f t="shared" si="437"/>
        <v>914.44899999999996</v>
      </c>
      <c r="AK335" s="19">
        <f t="shared" si="437"/>
        <v>885.553</v>
      </c>
    </row>
    <row r="336" spans="5:37">
      <c r="E336">
        <v>66</v>
      </c>
      <c r="F336" s="13"/>
      <c r="G336" s="13">
        <f t="shared" ref="G336:G345" si="438">F336*$B$15</f>
        <v>0</v>
      </c>
      <c r="H336" s="13">
        <f t="shared" ref="H336:H345" si="439">$B$17</f>
        <v>196.20000000000002</v>
      </c>
      <c r="I336" s="13">
        <f t="shared" ref="I336:I345" si="440">I335</f>
        <v>500000</v>
      </c>
      <c r="J336" s="13">
        <f t="shared" si="423"/>
        <v>889.88900000000001</v>
      </c>
      <c r="K336" s="5">
        <f t="shared" si="424"/>
        <v>917.77800000000002</v>
      </c>
      <c r="L336" s="21">
        <f t="shared" si="425"/>
        <v>444944.5</v>
      </c>
      <c r="M336">
        <f t="shared" si="426"/>
        <v>458889</v>
      </c>
      <c r="N336">
        <f t="shared" ref="N336:N345" si="441">N249</f>
        <v>0.54433245775999994</v>
      </c>
      <c r="O336">
        <f t="shared" ref="O336:O345" si="442">Q335</f>
        <v>0.99231834780665096</v>
      </c>
      <c r="P336">
        <f t="shared" si="372"/>
        <v>5.4015108514193679E-4</v>
      </c>
      <c r="Q336">
        <f t="shared" si="373"/>
        <v>0.99177819672150902</v>
      </c>
      <c r="R336">
        <f t="shared" ref="R336:R345" si="443">T335</f>
        <v>453712.2604167221</v>
      </c>
      <c r="S336">
        <f t="shared" ref="S336:S345" si="444">U335</f>
        <v>4961.5917390332552</v>
      </c>
      <c r="T336">
        <f t="shared" si="427"/>
        <v>455116.10491533653</v>
      </c>
      <c r="U336" s="22">
        <f t="shared" si="421"/>
        <v>4958.8909836075454</v>
      </c>
      <c r="V336" s="1">
        <f t="shared" si="428"/>
        <v>0</v>
      </c>
      <c r="W336" s="1">
        <f t="shared" si="429"/>
        <v>0</v>
      </c>
      <c r="X336" s="1">
        <f t="shared" si="430"/>
        <v>-194.69285983966495</v>
      </c>
      <c r="Y336" s="1">
        <f t="shared" ref="Y336:Y345" si="445">-P336*I336</f>
        <v>-270.07554257096842</v>
      </c>
      <c r="Z336" s="1">
        <f t="shared" si="431"/>
        <v>-464.76840241063337</v>
      </c>
      <c r="AA336" s="1">
        <f t="shared" si="432"/>
        <v>-1403.8444986144314</v>
      </c>
      <c r="AB336" s="1">
        <f t="shared" si="433"/>
        <v>25227.061868566543</v>
      </c>
      <c r="AC336" s="1">
        <f t="shared" si="434"/>
        <v>23358.448967541477</v>
      </c>
      <c r="AD336" s="1">
        <f t="shared" si="435"/>
        <v>2.7007554257097581</v>
      </c>
      <c r="AE336">
        <f t="shared" si="436"/>
        <v>23361.149722967188</v>
      </c>
      <c r="AG336" s="19">
        <v>66</v>
      </c>
      <c r="AH336" s="19">
        <f t="shared" ref="AH336:AK336" si="446">AH249</f>
        <v>8.4221711034993232E-5</v>
      </c>
      <c r="AI336" s="19">
        <f t="shared" si="446"/>
        <v>4.5844610964430378E-5</v>
      </c>
      <c r="AJ336" s="19">
        <f t="shared" si="446"/>
        <v>917.77800000000002</v>
      </c>
      <c r="AK336" s="19">
        <f t="shared" si="446"/>
        <v>889.88900000000001</v>
      </c>
    </row>
    <row r="337" spans="5:37">
      <c r="E337">
        <v>67</v>
      </c>
      <c r="F337" s="13"/>
      <c r="G337" s="13">
        <f t="shared" si="438"/>
        <v>0</v>
      </c>
      <c r="H337" s="13">
        <f t="shared" si="439"/>
        <v>196.20000000000002</v>
      </c>
      <c r="I337" s="13">
        <f t="shared" si="440"/>
        <v>500000</v>
      </c>
      <c r="J337" s="13">
        <f t="shared" si="423"/>
        <v>893.88300000000004</v>
      </c>
      <c r="K337" s="5">
        <f t="shared" si="424"/>
        <v>920.83199999999999</v>
      </c>
      <c r="L337" s="21">
        <f t="shared" si="425"/>
        <v>446941.5</v>
      </c>
      <c r="M337">
        <f t="shared" si="426"/>
        <v>460416</v>
      </c>
      <c r="N337">
        <f t="shared" si="441"/>
        <v>0.57049196021999993</v>
      </c>
      <c r="O337">
        <f t="shared" si="442"/>
        <v>0.99177819672150902</v>
      </c>
      <c r="P337">
        <f t="shared" si="372"/>
        <v>5.6580148755111038E-4</v>
      </c>
      <c r="Q337">
        <f t="shared" si="373"/>
        <v>0.99121239523395788</v>
      </c>
      <c r="R337">
        <f t="shared" si="443"/>
        <v>455116.10491533653</v>
      </c>
      <c r="S337">
        <f t="shared" si="444"/>
        <v>4958.8909836075454</v>
      </c>
      <c r="T337">
        <f t="shared" si="427"/>
        <v>456370.04616403795</v>
      </c>
      <c r="U337" s="22">
        <f t="shared" si="421"/>
        <v>4956.061976169789</v>
      </c>
      <c r="V337" s="1">
        <f t="shared" si="428"/>
        <v>0</v>
      </c>
      <c r="W337" s="1">
        <f t="shared" si="429"/>
        <v>0</v>
      </c>
      <c r="X337" s="1">
        <f t="shared" si="430"/>
        <v>-194.58688219676009</v>
      </c>
      <c r="Y337" s="1">
        <f t="shared" si="445"/>
        <v>-282.90074377555521</v>
      </c>
      <c r="Z337" s="1">
        <f t="shared" si="431"/>
        <v>-477.4876259723153</v>
      </c>
      <c r="AA337" s="1">
        <f t="shared" si="432"/>
        <v>-1253.9412487014197</v>
      </c>
      <c r="AB337" s="1">
        <f t="shared" si="433"/>
        <v>25304.124774441927</v>
      </c>
      <c r="AC337" s="1">
        <f t="shared" si="434"/>
        <v>23572.69589976819</v>
      </c>
      <c r="AD337" s="1">
        <f t="shared" si="435"/>
        <v>2.8290074377564451</v>
      </c>
      <c r="AE337">
        <f t="shared" si="436"/>
        <v>23575.524907205945</v>
      </c>
      <c r="AG337" s="19">
        <v>67</v>
      </c>
      <c r="AH337" s="19">
        <f t="shared" ref="AH337:AK337" si="447">AH250</f>
        <v>3.8377100070562854E-5</v>
      </c>
      <c r="AI337" s="19">
        <f t="shared" si="447"/>
        <v>2.1893827046814499E-5</v>
      </c>
      <c r="AJ337" s="19">
        <f t="shared" si="447"/>
        <v>920.83199999999999</v>
      </c>
      <c r="AK337" s="19">
        <f t="shared" si="447"/>
        <v>893.88300000000004</v>
      </c>
    </row>
    <row r="338" spans="5:37">
      <c r="E338">
        <v>68</v>
      </c>
      <c r="F338" s="13"/>
      <c r="G338" s="13">
        <f t="shared" si="438"/>
        <v>0</v>
      </c>
      <c r="H338" s="13">
        <f t="shared" si="439"/>
        <v>196.20000000000002</v>
      </c>
      <c r="I338" s="13">
        <f t="shared" si="440"/>
        <v>500000</v>
      </c>
      <c r="J338" s="13">
        <f t="shared" si="423"/>
        <v>897.53399999999999</v>
      </c>
      <c r="K338" s="5">
        <f t="shared" si="424"/>
        <v>923.59900000000005</v>
      </c>
      <c r="L338" s="21">
        <f t="shared" si="425"/>
        <v>448767</v>
      </c>
      <c r="M338">
        <f t="shared" si="426"/>
        <v>461799.5</v>
      </c>
      <c r="N338">
        <f t="shared" si="441"/>
        <v>0.59650936254000009</v>
      </c>
      <c r="O338">
        <f t="shared" si="442"/>
        <v>0.99121239523395788</v>
      </c>
      <c r="P338">
        <f t="shared" si="372"/>
        <v>5.9126747402275478E-4</v>
      </c>
      <c r="Q338">
        <f t="shared" si="373"/>
        <v>0.99062112775993516</v>
      </c>
      <c r="R338">
        <f t="shared" si="443"/>
        <v>456370.04616403795</v>
      </c>
      <c r="S338">
        <f t="shared" si="444"/>
        <v>4956.061976169789</v>
      </c>
      <c r="T338">
        <f t="shared" si="427"/>
        <v>457468.34148897417</v>
      </c>
      <c r="U338" s="22">
        <f t="shared" si="421"/>
        <v>4953.1056387996759</v>
      </c>
      <c r="V338" s="1">
        <f t="shared" si="428"/>
        <v>0</v>
      </c>
      <c r="W338" s="1">
        <f t="shared" si="429"/>
        <v>0</v>
      </c>
      <c r="X338" s="1">
        <f t="shared" si="430"/>
        <v>-194.47587194490256</v>
      </c>
      <c r="Y338" s="1">
        <f t="shared" si="445"/>
        <v>-295.63373701137738</v>
      </c>
      <c r="Z338" s="1">
        <f t="shared" si="431"/>
        <v>-490.10960895627994</v>
      </c>
      <c r="AA338" s="1">
        <f t="shared" si="432"/>
        <v>-1098.2953249362181</v>
      </c>
      <c r="AB338" s="1">
        <f t="shared" si="433"/>
        <v>25372.935947711423</v>
      </c>
      <c r="AC338" s="1">
        <f t="shared" si="434"/>
        <v>23784.531013818923</v>
      </c>
      <c r="AD338" s="1">
        <f t="shared" si="435"/>
        <v>2.9563373701130331</v>
      </c>
      <c r="AE338">
        <f t="shared" si="436"/>
        <v>23787.487351189036</v>
      </c>
      <c r="AG338" s="19">
        <v>68</v>
      </c>
      <c r="AH338" s="19">
        <f t="shared" ref="AH338:AK338" si="448">AH251</f>
        <v>1.6483273023748356E-5</v>
      </c>
      <c r="AI338" s="19">
        <f t="shared" si="448"/>
        <v>9.8324266839689121E-6</v>
      </c>
      <c r="AJ338" s="19">
        <f t="shared" si="448"/>
        <v>923.59900000000005</v>
      </c>
      <c r="AK338" s="19">
        <f t="shared" si="448"/>
        <v>897.53399999999999</v>
      </c>
    </row>
    <row r="339" spans="5:37">
      <c r="E339">
        <v>69</v>
      </c>
      <c r="F339" s="13"/>
      <c r="G339" s="13">
        <f t="shared" si="438"/>
        <v>0</v>
      </c>
      <c r="H339" s="13">
        <f t="shared" si="439"/>
        <v>196.20000000000002</v>
      </c>
      <c r="I339" s="13">
        <f t="shared" si="440"/>
        <v>500000</v>
      </c>
      <c r="J339" s="13">
        <f t="shared" si="423"/>
        <v>900.77</v>
      </c>
      <c r="K339" s="5">
        <f t="shared" si="424"/>
        <v>925.99</v>
      </c>
      <c r="L339" s="21">
        <f t="shared" si="425"/>
        <v>450385</v>
      </c>
      <c r="M339">
        <f t="shared" si="426"/>
        <v>462995</v>
      </c>
      <c r="N339">
        <f t="shared" si="441"/>
        <v>0.62235240886000009</v>
      </c>
      <c r="O339">
        <f t="shared" si="442"/>
        <v>0.99062112775993516</v>
      </c>
      <c r="P339">
        <f t="shared" si="372"/>
        <v>6.1651544512900558E-4</v>
      </c>
      <c r="Q339">
        <f t="shared" si="373"/>
        <v>0.99000461231480619</v>
      </c>
      <c r="R339">
        <f t="shared" si="443"/>
        <v>457468.34148897417</v>
      </c>
      <c r="S339">
        <f t="shared" si="444"/>
        <v>4953.1056387996759</v>
      </c>
      <c r="T339">
        <f t="shared" si="427"/>
        <v>458367.18547869369</v>
      </c>
      <c r="U339" s="22">
        <f t="shared" si="421"/>
        <v>4950.0230615740311</v>
      </c>
      <c r="V339" s="1">
        <f t="shared" si="428"/>
        <v>0</v>
      </c>
      <c r="W339" s="1">
        <f t="shared" si="429"/>
        <v>0</v>
      </c>
      <c r="X339" s="1">
        <f t="shared" si="430"/>
        <v>-194.3598652664993</v>
      </c>
      <c r="Y339" s="1">
        <f t="shared" si="445"/>
        <v>-308.25772256450279</v>
      </c>
      <c r="Z339" s="1">
        <f t="shared" si="431"/>
        <v>-502.61758783100208</v>
      </c>
      <c r="AA339" s="1">
        <f t="shared" si="432"/>
        <v>-898.84398971952032</v>
      </c>
      <c r="AB339" s="1">
        <f t="shared" si="433"/>
        <v>25433.179592027562</v>
      </c>
      <c r="AC339" s="1">
        <f t="shared" si="434"/>
        <v>24031.718014477039</v>
      </c>
      <c r="AD339" s="1">
        <f t="shared" si="435"/>
        <v>3.0825772256448545</v>
      </c>
      <c r="AE339">
        <f t="shared" si="436"/>
        <v>24034.800591702682</v>
      </c>
      <c r="AG339" s="19">
        <v>69</v>
      </c>
      <c r="AH339" s="19">
        <f t="shared" ref="AH339:AK339" si="449">AH252</f>
        <v>6.6508463397794435E-6</v>
      </c>
      <c r="AI339" s="19">
        <f t="shared" si="449"/>
        <v>4.1391702405194512E-6</v>
      </c>
      <c r="AJ339" s="19">
        <f t="shared" si="449"/>
        <v>925.99</v>
      </c>
      <c r="AK339" s="19">
        <f t="shared" si="449"/>
        <v>900.77</v>
      </c>
    </row>
    <row r="340" spans="5:37">
      <c r="E340">
        <v>70</v>
      </c>
      <c r="F340" s="13"/>
      <c r="G340" s="13">
        <f t="shared" si="438"/>
        <v>0</v>
      </c>
      <c r="H340" s="13">
        <f t="shared" si="439"/>
        <v>196.20000000000002</v>
      </c>
      <c r="I340" s="13">
        <f t="shared" si="440"/>
        <v>500000</v>
      </c>
      <c r="J340" s="13">
        <f t="shared" si="423"/>
        <v>903.28700000000003</v>
      </c>
      <c r="K340" s="5">
        <f t="shared" si="424"/>
        <v>927.66499999999996</v>
      </c>
      <c r="L340" s="21">
        <f t="shared" si="425"/>
        <v>451643.5</v>
      </c>
      <c r="M340">
        <f t="shared" si="426"/>
        <v>463832.5</v>
      </c>
      <c r="N340">
        <f t="shared" si="441"/>
        <v>0.64798884332000006</v>
      </c>
      <c r="O340">
        <f t="shared" si="442"/>
        <v>0.99000461231480619</v>
      </c>
      <c r="P340">
        <f t="shared" si="372"/>
        <v>6.4151194361533636E-4</v>
      </c>
      <c r="Q340">
        <f t="shared" si="373"/>
        <v>0.9893631003711908</v>
      </c>
      <c r="R340">
        <f t="shared" si="443"/>
        <v>458367.18547869369</v>
      </c>
      <c r="S340">
        <f t="shared" si="444"/>
        <v>4950.0230615740311</v>
      </c>
      <c r="T340">
        <f t="shared" si="427"/>
        <v>458898.76025292033</v>
      </c>
      <c r="U340" s="22">
        <f t="shared" si="421"/>
        <v>4946.8155018559537</v>
      </c>
      <c r="V340" s="1">
        <f t="shared" si="428"/>
        <v>0</v>
      </c>
      <c r="W340" s="1">
        <f t="shared" si="429"/>
        <v>0</v>
      </c>
      <c r="X340" s="1">
        <f t="shared" si="430"/>
        <v>-194.238904936165</v>
      </c>
      <c r="Y340" s="1">
        <f t="shared" si="445"/>
        <v>-320.75597180766817</v>
      </c>
      <c r="Z340" s="1">
        <f t="shared" si="431"/>
        <v>-514.99487674383317</v>
      </c>
      <c r="AA340" s="1">
        <f t="shared" si="432"/>
        <v>-531.57477422663942</v>
      </c>
      <c r="AB340" s="1">
        <f t="shared" si="433"/>
        <v>25482.446469714723</v>
      </c>
      <c r="AC340" s="1">
        <f t="shared" si="434"/>
        <v>24435.876818744251</v>
      </c>
      <c r="AD340" s="1">
        <f t="shared" si="435"/>
        <v>3.2075597180773912</v>
      </c>
      <c r="AE340">
        <f t="shared" si="436"/>
        <v>24439.084378462328</v>
      </c>
      <c r="AG340" s="19">
        <v>70</v>
      </c>
      <c r="AH340" s="19">
        <f t="shared" ref="AH340:AK340" si="450">AH253</f>
        <v>2.5116760992599924E-6</v>
      </c>
      <c r="AI340" s="19">
        <f t="shared" si="450"/>
        <v>1.6275380903539721E-6</v>
      </c>
      <c r="AJ340" s="19">
        <f t="shared" si="450"/>
        <v>927.66499999999996</v>
      </c>
      <c r="AK340" s="19">
        <f t="shared" si="450"/>
        <v>903.28700000000003</v>
      </c>
    </row>
    <row r="341" spans="5:37">
      <c r="E341">
        <v>71</v>
      </c>
      <c r="F341" s="13"/>
      <c r="G341" s="13">
        <f t="shared" si="438"/>
        <v>0</v>
      </c>
      <c r="H341" s="13">
        <f t="shared" si="439"/>
        <v>196.20000000000002</v>
      </c>
      <c r="I341" s="13">
        <f t="shared" si="440"/>
        <v>500000</v>
      </c>
      <c r="J341" s="13">
        <f t="shared" si="423"/>
        <v>903.93499999999995</v>
      </c>
      <c r="K341" s="5">
        <f t="shared" si="424"/>
        <v>927.37199999999996</v>
      </c>
      <c r="L341" s="21">
        <f t="shared" si="425"/>
        <v>451967.5</v>
      </c>
      <c r="M341">
        <f t="shared" si="426"/>
        <v>463686</v>
      </c>
      <c r="N341">
        <f t="shared" si="441"/>
        <v>0.67338728183999996</v>
      </c>
      <c r="O341">
        <f t="shared" si="442"/>
        <v>0.9893631003711908</v>
      </c>
      <c r="P341">
        <f t="shared" si="372"/>
        <v>6.6622452891175118E-4</v>
      </c>
      <c r="Q341">
        <f t="shared" si="373"/>
        <v>0.98869687584227905</v>
      </c>
      <c r="R341">
        <f t="shared" si="443"/>
        <v>458898.76025292033</v>
      </c>
      <c r="S341">
        <f t="shared" si="444"/>
        <v>4946.8155018559537</v>
      </c>
      <c r="T341">
        <f t="shared" si="427"/>
        <v>458444.89957180299</v>
      </c>
      <c r="U341" s="22">
        <f t="shared" si="421"/>
        <v>4943.4843792113952</v>
      </c>
      <c r="V341" s="1">
        <f t="shared" si="428"/>
        <v>0</v>
      </c>
      <c r="W341" s="1">
        <f t="shared" si="429"/>
        <v>0</v>
      </c>
      <c r="X341" s="1">
        <f t="shared" si="430"/>
        <v>-194.11304029282766</v>
      </c>
      <c r="Y341" s="1">
        <f t="shared" si="445"/>
        <v>-333.11226445587562</v>
      </c>
      <c r="Z341" s="1">
        <f t="shared" si="431"/>
        <v>-527.22530474870325</v>
      </c>
      <c r="AA341" s="1">
        <f t="shared" si="432"/>
        <v>453.86068111733766</v>
      </c>
      <c r="AB341" s="1">
        <f t="shared" si="433"/>
        <v>25511.506666512698</v>
      </c>
      <c r="AC341" s="1">
        <f t="shared" si="434"/>
        <v>25438.142042881333</v>
      </c>
      <c r="AD341" s="1">
        <f t="shared" si="435"/>
        <v>3.3311226445584907</v>
      </c>
      <c r="AE341">
        <f t="shared" si="436"/>
        <v>25441.473165525891</v>
      </c>
      <c r="AG341" s="19">
        <v>71</v>
      </c>
      <c r="AH341" s="19">
        <f t="shared" ref="AH341:AK341" si="451">AH254</f>
        <v>8.8413800890602027E-7</v>
      </c>
      <c r="AI341" s="19">
        <f t="shared" si="451"/>
        <v>5.9536729058865463E-7</v>
      </c>
      <c r="AJ341" s="19">
        <f t="shared" si="451"/>
        <v>927.37199999999996</v>
      </c>
      <c r="AK341" s="19">
        <f t="shared" si="451"/>
        <v>903.93499999999995</v>
      </c>
    </row>
    <row r="342" spans="5:37">
      <c r="E342">
        <v>72</v>
      </c>
      <c r="F342" s="13"/>
      <c r="G342" s="13">
        <f t="shared" si="438"/>
        <v>0</v>
      </c>
      <c r="H342" s="13">
        <f t="shared" si="439"/>
        <v>196.20000000000002</v>
      </c>
      <c r="I342" s="13">
        <f t="shared" si="440"/>
        <v>500000</v>
      </c>
      <c r="J342" s="13">
        <f t="shared" si="423"/>
        <v>898.16</v>
      </c>
      <c r="K342" s="5">
        <f t="shared" si="424"/>
        <v>920.27300000000002</v>
      </c>
      <c r="L342" s="21">
        <f t="shared" si="425"/>
        <v>449080</v>
      </c>
      <c r="M342">
        <f t="shared" si="426"/>
        <v>460136.5</v>
      </c>
      <c r="N342">
        <f t="shared" si="441"/>
        <v>0.69865669691999999</v>
      </c>
      <c r="O342">
        <f t="shared" si="442"/>
        <v>0.98869687584227905</v>
      </c>
      <c r="P342">
        <f t="shared" si="372"/>
        <v>6.9075969353108997E-4</v>
      </c>
      <c r="Q342">
        <f t="shared" si="373"/>
        <v>0.988006116148748</v>
      </c>
      <c r="R342">
        <f t="shared" si="443"/>
        <v>458444.89957180299</v>
      </c>
      <c r="S342">
        <f t="shared" si="444"/>
        <v>4943.4843792113952</v>
      </c>
      <c r="T342">
        <f t="shared" si="427"/>
        <v>454617.67626327841</v>
      </c>
      <c r="U342" s="22">
        <f t="shared" si="421"/>
        <v>4940.0305807437398</v>
      </c>
      <c r="V342" s="1">
        <f t="shared" si="428"/>
        <v>0</v>
      </c>
      <c r="W342" s="1">
        <f t="shared" si="429"/>
        <v>0</v>
      </c>
      <c r="X342" s="1">
        <f t="shared" si="430"/>
        <v>-193.98232704025517</v>
      </c>
      <c r="Y342" s="1">
        <f t="shared" si="445"/>
        <v>-345.37984676554498</v>
      </c>
      <c r="Z342" s="1">
        <f t="shared" si="431"/>
        <v>-539.36217380580013</v>
      </c>
      <c r="AA342" s="1">
        <f t="shared" si="432"/>
        <v>3827.2233085245825</v>
      </c>
      <c r="AB342" s="1">
        <f t="shared" si="433"/>
        <v>25486.361117305791</v>
      </c>
      <c r="AC342" s="1">
        <f t="shared" si="434"/>
        <v>28774.222252024574</v>
      </c>
      <c r="AD342" s="1">
        <f t="shared" si="435"/>
        <v>3.4537984676553606</v>
      </c>
      <c r="AE342">
        <f t="shared" si="436"/>
        <v>28777.676050492228</v>
      </c>
      <c r="AG342" s="19">
        <v>72</v>
      </c>
      <c r="AH342" s="19">
        <f t="shared" ref="AH342:AK342" si="452">AH255</f>
        <v>2.8877071831736564E-7</v>
      </c>
      <c r="AI342" s="19">
        <f t="shared" si="452"/>
        <v>2.0175159622682641E-7</v>
      </c>
      <c r="AJ342" s="19">
        <f t="shared" si="452"/>
        <v>920.27300000000002</v>
      </c>
      <c r="AK342" s="19">
        <f t="shared" si="452"/>
        <v>898.16</v>
      </c>
    </row>
    <row r="343" spans="5:37">
      <c r="E343">
        <v>73</v>
      </c>
      <c r="F343" s="13"/>
      <c r="G343" s="13">
        <f t="shared" si="438"/>
        <v>0</v>
      </c>
      <c r="H343" s="13">
        <f t="shared" si="439"/>
        <v>196.20000000000002</v>
      </c>
      <c r="I343" s="13">
        <f t="shared" si="440"/>
        <v>500000</v>
      </c>
      <c r="J343" s="13">
        <f t="shared" si="423"/>
        <v>866.66399999999999</v>
      </c>
      <c r="K343" s="5">
        <f t="shared" si="424"/>
        <v>886.23199999999997</v>
      </c>
      <c r="L343" s="21">
        <f t="shared" si="425"/>
        <v>433332</v>
      </c>
      <c r="M343">
        <f t="shared" si="426"/>
        <v>443116</v>
      </c>
      <c r="N343">
        <f t="shared" si="441"/>
        <v>0.72392524022000004</v>
      </c>
      <c r="O343">
        <f t="shared" si="442"/>
        <v>0.988006116148748</v>
      </c>
      <c r="P343">
        <f t="shared" si="372"/>
        <v>7.1524256497181168E-4</v>
      </c>
      <c r="Q343">
        <f t="shared" si="373"/>
        <v>0.98729087358377621</v>
      </c>
      <c r="R343">
        <f t="shared" si="443"/>
        <v>454617.67626327841</v>
      </c>
      <c r="S343">
        <f t="shared" si="444"/>
        <v>4940.0305807437398</v>
      </c>
      <c r="T343">
        <f t="shared" si="427"/>
        <v>437484.38273894857</v>
      </c>
      <c r="U343" s="22">
        <f t="shared" si="421"/>
        <v>4936.454367918881</v>
      </c>
      <c r="V343" s="1">
        <f t="shared" si="428"/>
        <v>0</v>
      </c>
      <c r="W343" s="1">
        <f t="shared" si="429"/>
        <v>0</v>
      </c>
      <c r="X343" s="1">
        <f t="shared" si="430"/>
        <v>-193.84679998838436</v>
      </c>
      <c r="Y343" s="1">
        <f t="shared" si="445"/>
        <v>-357.62128248590585</v>
      </c>
      <c r="Z343" s="1">
        <f t="shared" si="431"/>
        <v>-551.46808247429021</v>
      </c>
      <c r="AA343" s="1">
        <f t="shared" si="432"/>
        <v>17133.293524329842</v>
      </c>
      <c r="AB343" s="1">
        <f t="shared" si="433"/>
        <v>25275.673876421217</v>
      </c>
      <c r="AC343" s="1">
        <f t="shared" si="434"/>
        <v>41857.499318276765</v>
      </c>
      <c r="AD343" s="1">
        <f t="shared" si="435"/>
        <v>3.5762128248588851</v>
      </c>
      <c r="AE343">
        <f t="shared" si="436"/>
        <v>41861.075531101626</v>
      </c>
      <c r="AG343" s="19">
        <v>73</v>
      </c>
      <c r="AH343" s="19">
        <f t="shared" ref="AH343:AK343" si="453">AH256</f>
        <v>8.7019122090539232E-8</v>
      </c>
      <c r="AI343" s="19">
        <f t="shared" si="453"/>
        <v>6.2995338863127127E-8</v>
      </c>
      <c r="AJ343" s="19">
        <f t="shared" si="453"/>
        <v>886.23199999999997</v>
      </c>
      <c r="AK343" s="19">
        <f t="shared" si="453"/>
        <v>866.66399999999999</v>
      </c>
    </row>
    <row r="344" spans="5:37">
      <c r="E344">
        <v>74</v>
      </c>
      <c r="F344" s="13"/>
      <c r="G344" s="13">
        <f t="shared" si="438"/>
        <v>0</v>
      </c>
      <c r="H344" s="13">
        <f t="shared" si="439"/>
        <v>196.20000000000002</v>
      </c>
      <c r="I344" s="13">
        <f t="shared" si="440"/>
        <v>500000</v>
      </c>
      <c r="J344" s="13">
        <f t="shared" si="423"/>
        <v>710.20299999999997</v>
      </c>
      <c r="K344" s="5">
        <f t="shared" si="424"/>
        <v>733.61199999999997</v>
      </c>
      <c r="L344" s="21">
        <f t="shared" si="425"/>
        <v>355101.5</v>
      </c>
      <c r="M344">
        <f t="shared" si="426"/>
        <v>366806</v>
      </c>
      <c r="N344">
        <f t="shared" si="441"/>
        <v>0.74919465529999996</v>
      </c>
      <c r="O344">
        <f t="shared" si="442"/>
        <v>0.98729087358377621</v>
      </c>
      <c r="P344">
        <f t="shared" si="372"/>
        <v>7.39673045715433E-4</v>
      </c>
      <c r="Q344">
        <f t="shared" si="373"/>
        <v>0.98655120053806078</v>
      </c>
      <c r="R344">
        <f t="shared" si="443"/>
        <v>437484.38273894857</v>
      </c>
      <c r="S344">
        <f t="shared" si="444"/>
        <v>4936.454367918881</v>
      </c>
      <c r="T344">
        <f t="shared" si="427"/>
        <v>361872.89966456394</v>
      </c>
      <c r="U344" s="22">
        <f t="shared" si="421"/>
        <v>4932.7560026903038</v>
      </c>
      <c r="V344" s="1">
        <f t="shared" si="428"/>
        <v>0</v>
      </c>
      <c r="W344" s="1">
        <f t="shared" si="429"/>
        <v>0</v>
      </c>
      <c r="X344" s="1">
        <f t="shared" si="430"/>
        <v>-193.70646939713691</v>
      </c>
      <c r="Y344" s="1">
        <f t="shared" si="445"/>
        <v>-369.83652285771649</v>
      </c>
      <c r="Z344" s="1">
        <f t="shared" si="431"/>
        <v>-563.5429922548534</v>
      </c>
      <c r="AA344" s="1">
        <f t="shared" si="432"/>
        <v>75611.483074384625</v>
      </c>
      <c r="AB344" s="1">
        <f t="shared" si="433"/>
        <v>24333.146040877709</v>
      </c>
      <c r="AC344" s="1">
        <f t="shared" si="434"/>
        <v>99381.086123007481</v>
      </c>
      <c r="AD344" s="1">
        <f t="shared" si="435"/>
        <v>3.6983652285771313</v>
      </c>
      <c r="AE344">
        <f t="shared" si="436"/>
        <v>99384.784488236051</v>
      </c>
      <c r="AG344" s="19">
        <v>74</v>
      </c>
      <c r="AH344" s="19">
        <f t="shared" ref="AH344:AK344" si="454">AH257</f>
        <v>2.4023783227412105E-8</v>
      </c>
      <c r="AI344" s="19">
        <f t="shared" si="454"/>
        <v>1.7998489994062932E-8</v>
      </c>
      <c r="AJ344" s="19">
        <f t="shared" si="454"/>
        <v>733.61199999999997</v>
      </c>
      <c r="AK344" s="19">
        <f t="shared" si="454"/>
        <v>710.20299999999997</v>
      </c>
    </row>
    <row r="345" spans="5:37">
      <c r="E345">
        <v>75</v>
      </c>
      <c r="F345" s="13"/>
      <c r="G345" s="13">
        <f t="shared" si="438"/>
        <v>0</v>
      </c>
      <c r="H345" s="13">
        <f t="shared" si="439"/>
        <v>196.20000000000002</v>
      </c>
      <c r="I345" s="13">
        <f t="shared" si="440"/>
        <v>500000</v>
      </c>
      <c r="J345" s="13">
        <f t="shared" si="423"/>
        <v>0</v>
      </c>
      <c r="K345" s="5">
        <f t="shared" si="424"/>
        <v>0</v>
      </c>
      <c r="L345" s="21">
        <f t="shared" si="425"/>
        <v>0</v>
      </c>
      <c r="M345">
        <f t="shared" si="426"/>
        <v>0</v>
      </c>
      <c r="N345">
        <f t="shared" si="441"/>
        <v>0.77446407037999998</v>
      </c>
      <c r="O345">
        <f t="shared" si="442"/>
        <v>0.98655120053806078</v>
      </c>
      <c r="P345">
        <f t="shared" si="372"/>
        <v>7.6404845840698221E-4</v>
      </c>
      <c r="Q345">
        <f t="shared" si="373"/>
        <v>0.98578715207965384</v>
      </c>
      <c r="R345">
        <f t="shared" si="443"/>
        <v>361872.89966456394</v>
      </c>
      <c r="S345">
        <f t="shared" si="444"/>
        <v>4932.7560026903038</v>
      </c>
      <c r="T345">
        <f t="shared" si="427"/>
        <v>0</v>
      </c>
      <c r="U345" s="22">
        <f t="shared" si="421"/>
        <v>4928.9357603982689</v>
      </c>
      <c r="V345" s="1">
        <f t="shared" si="428"/>
        <v>0</v>
      </c>
      <c r="W345" s="1">
        <f t="shared" si="429"/>
        <v>0</v>
      </c>
      <c r="X345" s="1">
        <f t="shared" si="430"/>
        <v>-193.56134554556755</v>
      </c>
      <c r="Y345" s="1">
        <f t="shared" si="445"/>
        <v>-382.02422920349113</v>
      </c>
      <c r="Z345" s="1">
        <f t="shared" si="431"/>
        <v>-575.58557474905865</v>
      </c>
      <c r="AA345" s="1">
        <f t="shared" si="432"/>
        <v>361872.89966456394</v>
      </c>
      <c r="AB345" s="1">
        <f t="shared" si="433"/>
        <v>20174.311061698983</v>
      </c>
      <c r="AC345" s="1">
        <f t="shared" si="434"/>
        <v>381471.6251515139</v>
      </c>
      <c r="AD345" s="1">
        <f t="shared" si="435"/>
        <v>3.8202422920348909</v>
      </c>
      <c r="AE345">
        <f t="shared" si="436"/>
        <v>381475.44539380592</v>
      </c>
      <c r="AG345" s="19">
        <v>75</v>
      </c>
      <c r="AH345" s="19">
        <f t="shared" ref="AH345:AK345" si="455">AH258</f>
        <v>6.0252932333491729E-9</v>
      </c>
      <c r="AI345" s="19">
        <f t="shared" si="455"/>
        <v>4.6663731227326711E-9</v>
      </c>
      <c r="AJ345" s="19">
        <f t="shared" si="455"/>
        <v>0</v>
      </c>
      <c r="AK345" s="19">
        <f t="shared" si="455"/>
        <v>0</v>
      </c>
    </row>
    <row r="346" spans="5:37">
      <c r="F346" s="13"/>
      <c r="G346" s="13"/>
      <c r="H346" s="13"/>
      <c r="I346" s="13"/>
      <c r="J346" s="13"/>
      <c r="AG346" s="19"/>
    </row>
    <row r="347" spans="5:37">
      <c r="T347" s="19"/>
      <c r="AG347" s="19"/>
      <c r="AH347" s="19"/>
      <c r="AI347" s="19"/>
      <c r="AJ347" s="19"/>
      <c r="AK347" s="19"/>
    </row>
    <row r="348" spans="5:37">
      <c r="T348" s="19"/>
      <c r="U348" s="19" t="s">
        <v>116</v>
      </c>
      <c r="V348" s="19">
        <f>SUM(V270:V345)</f>
        <v>46467.188562932111</v>
      </c>
      <c r="W348" s="19">
        <f t="shared" ref="W348:AE348" si="456">SUM(W270:W345)</f>
        <v>-4646.7188562932115</v>
      </c>
      <c r="X348" s="19">
        <f t="shared" si="456"/>
        <v>-14751.482796915769</v>
      </c>
      <c r="Y348" s="19">
        <f t="shared" si="456"/>
        <v>-7106.4239601730833</v>
      </c>
      <c r="Z348" s="19">
        <f t="shared" si="456"/>
        <v>19962.562949550032</v>
      </c>
      <c r="AA348" s="19">
        <f t="shared" si="456"/>
        <v>0</v>
      </c>
      <c r="AB348" s="19">
        <f t="shared" si="456"/>
        <v>1211443.4660772281</v>
      </c>
      <c r="AC348" s="19">
        <f t="shared" si="456"/>
        <v>1231406.0290267779</v>
      </c>
      <c r="AD348" s="19">
        <f t="shared" si="456"/>
        <v>-4928.9357603982689</v>
      </c>
      <c r="AE348" s="19">
        <f t="shared" si="456"/>
        <v>1226477.0932663798</v>
      </c>
      <c r="AF348" s="19"/>
      <c r="AG348" s="19"/>
      <c r="AH348" s="19"/>
      <c r="AI348" s="19"/>
      <c r="AJ348" s="19"/>
      <c r="AK348" s="19"/>
    </row>
    <row r="349" spans="5:37">
      <c r="T349" s="19"/>
      <c r="U349" t="str">
        <f>"PV at "&amp;$B$12</f>
        <v>PV at 0.055</v>
      </c>
      <c r="V349">
        <f>V270+NPV($B$12,V271:V345)</f>
        <v>46467.188562932111</v>
      </c>
      <c r="W349">
        <f t="shared" ref="W349:AE349" si="457">W270+NPV($B$12,W271:W345)</f>
        <v>-4646.7188562932115</v>
      </c>
      <c r="X349">
        <f t="shared" si="457"/>
        <v>-3585.2093046726905</v>
      </c>
      <c r="Y349">
        <f t="shared" si="457"/>
        <v>-333.2911770695539</v>
      </c>
      <c r="Z349">
        <f t="shared" si="457"/>
        <v>37901.969224896653</v>
      </c>
      <c r="AA349">
        <f t="shared" si="457"/>
        <v>-141365.18339481475</v>
      </c>
      <c r="AB349">
        <f t="shared" si="457"/>
        <v>146272.96748696468</v>
      </c>
      <c r="AC349">
        <f t="shared" si="457"/>
        <v>42809.753317046525</v>
      </c>
      <c r="AD349">
        <f t="shared" si="457"/>
        <v>-4996.6670882293047</v>
      </c>
      <c r="AE349">
        <f t="shared" si="457"/>
        <v>37813.086228817199</v>
      </c>
      <c r="AH349" s="19"/>
      <c r="AI349" s="19"/>
      <c r="AJ349" s="19"/>
      <c r="AK349" s="19"/>
    </row>
    <row r="350" spans="5:37">
      <c r="T350" s="19"/>
      <c r="U350" t="str">
        <f>"PV at "&amp;$B$13</f>
        <v>PV at 0.12</v>
      </c>
      <c r="V350" s="19">
        <f>V270+NPV($B$13,V271:V345)</f>
        <v>46467.188562932111</v>
      </c>
      <c r="W350" s="19">
        <f t="shared" ref="W350:AE350" si="458">W270+NPV($B$13,W271:W345)</f>
        <v>-4646.7188562932115</v>
      </c>
      <c r="X350" s="19">
        <f t="shared" si="458"/>
        <v>-1729.0974301343726</v>
      </c>
      <c r="Y350" s="19">
        <f t="shared" si="458"/>
        <v>-29.339911808022705</v>
      </c>
      <c r="Z350" s="19">
        <f t="shared" si="458"/>
        <v>40062.032364696504</v>
      </c>
      <c r="AA350" s="19">
        <f t="shared" si="458"/>
        <v>-77304.245994237135</v>
      </c>
      <c r="AB350" s="19">
        <f t="shared" si="458"/>
        <v>37722.185124676762</v>
      </c>
      <c r="AC350" s="19">
        <f t="shared" si="458"/>
        <v>479.97149513609111</v>
      </c>
      <c r="AD350" s="19">
        <f t="shared" si="458"/>
        <v>-4999.7066008819202</v>
      </c>
      <c r="AE350" s="19">
        <f t="shared" si="458"/>
        <v>-4519.7351057458109</v>
      </c>
      <c r="AF350" s="19"/>
      <c r="AG350" s="19"/>
      <c r="AH350" s="19"/>
      <c r="AI350" s="19"/>
      <c r="AJ350" s="19"/>
      <c r="AK350" s="19"/>
    </row>
    <row r="351" spans="5:37">
      <c r="T351" s="19"/>
      <c r="AG351" s="19"/>
      <c r="AH351" s="19"/>
      <c r="AI351" s="19"/>
      <c r="AJ351" s="19"/>
      <c r="AK351" s="19"/>
    </row>
    <row r="352" spans="5:37">
      <c r="U352" t="s">
        <v>117</v>
      </c>
      <c r="V352">
        <f>AC350</f>
        <v>479.97149513609111</v>
      </c>
      <c r="AG352" s="19"/>
      <c r="AH352" s="19"/>
      <c r="AI352" s="19"/>
      <c r="AJ352" s="19"/>
      <c r="AK352" s="19"/>
    </row>
    <row r="353" spans="1:37">
      <c r="U353" t="s">
        <v>118</v>
      </c>
      <c r="V353">
        <f>AE350</f>
        <v>-4519.7351057458109</v>
      </c>
      <c r="AG353" s="19"/>
      <c r="AH353" s="19"/>
      <c r="AI353" s="19"/>
      <c r="AJ353" s="19"/>
      <c r="AK353" s="19"/>
    </row>
    <row r="354" spans="1:37">
      <c r="AH354" s="19"/>
      <c r="AI354" s="19"/>
      <c r="AJ354" s="19"/>
      <c r="AK354" s="19"/>
    </row>
    <row r="355" spans="1:37">
      <c r="A355" s="4" t="str">
        <f>"Base Assumptions for "&amp;B358&amp;" Death benefit (M,NS,44,Moderate)"</f>
        <v>Base Assumptions for 1000000 Death benefit (M,NS,44,Moderate)</v>
      </c>
      <c r="E355" s="8" t="s">
        <v>61</v>
      </c>
      <c r="F355" s="8"/>
      <c r="G355" s="8"/>
      <c r="H355" s="8"/>
      <c r="I355" s="8"/>
      <c r="J355" s="8"/>
      <c r="K355" s="8"/>
      <c r="L355" s="8"/>
      <c r="M355" s="8"/>
      <c r="N355" s="9" t="s">
        <v>62</v>
      </c>
      <c r="O355" s="9"/>
      <c r="P355" s="9"/>
      <c r="Q355" s="9"/>
      <c r="R355" s="10" t="s">
        <v>63</v>
      </c>
      <c r="S355" s="10"/>
      <c r="T355" s="10"/>
      <c r="U355" s="11"/>
      <c r="V355" s="48" t="s">
        <v>64</v>
      </c>
      <c r="W355" s="48" t="s">
        <v>65</v>
      </c>
      <c r="X355" s="48" t="s">
        <v>66</v>
      </c>
      <c r="Y355" s="48" t="s">
        <v>121</v>
      </c>
      <c r="Z355" s="48"/>
      <c r="AA355" s="48" t="s">
        <v>68</v>
      </c>
      <c r="AB355" s="48" t="s">
        <v>69</v>
      </c>
      <c r="AC355" s="48" t="s">
        <v>70</v>
      </c>
      <c r="AD355" s="48" t="s">
        <v>71</v>
      </c>
      <c r="AE355" s="48" t="s">
        <v>72</v>
      </c>
      <c r="AH355" s="19"/>
      <c r="AI355" s="19"/>
      <c r="AJ355" s="19"/>
      <c r="AK355" s="19"/>
    </row>
    <row r="356" spans="1:37" ht="42.95">
      <c r="E356" t="s">
        <v>73</v>
      </c>
      <c r="F356" s="19" t="s">
        <v>60</v>
      </c>
      <c r="G356" s="19" t="s">
        <v>74</v>
      </c>
      <c r="H356" s="19" t="s">
        <v>46</v>
      </c>
      <c r="I356" s="1" t="s">
        <v>75</v>
      </c>
      <c r="J356" s="1" t="s">
        <v>122</v>
      </c>
      <c r="K356" s="1" t="s">
        <v>76</v>
      </c>
      <c r="L356" s="1" t="s">
        <v>123</v>
      </c>
      <c r="M356" s="1" t="s">
        <v>77</v>
      </c>
      <c r="N356" s="1" t="s">
        <v>79</v>
      </c>
      <c r="O356" s="1" t="s">
        <v>81</v>
      </c>
      <c r="P356" s="1" t="s">
        <v>82</v>
      </c>
      <c r="Q356" s="1" t="s">
        <v>84</v>
      </c>
      <c r="R356" s="1" t="s">
        <v>85</v>
      </c>
      <c r="S356" s="1" t="s">
        <v>86</v>
      </c>
      <c r="T356" s="1" t="s">
        <v>87</v>
      </c>
      <c r="U356" s="1" t="s">
        <v>88</v>
      </c>
      <c r="V356" s="1" t="s">
        <v>89</v>
      </c>
      <c r="W356" s="1" t="s">
        <v>90</v>
      </c>
      <c r="X356" s="1" t="s">
        <v>91</v>
      </c>
      <c r="Y356" s="1" t="s">
        <v>124</v>
      </c>
      <c r="Z356" s="1" t="s">
        <v>93</v>
      </c>
      <c r="AA356" s="1" t="s">
        <v>94</v>
      </c>
      <c r="AB356" s="1" t="s">
        <v>95</v>
      </c>
      <c r="AC356" s="1" t="s">
        <v>44</v>
      </c>
      <c r="AD356" s="1" t="s">
        <v>96</v>
      </c>
      <c r="AE356" s="1" t="s">
        <v>97</v>
      </c>
      <c r="AG356" s="19" t="s">
        <v>73</v>
      </c>
      <c r="AH356" s="19" t="s">
        <v>125</v>
      </c>
      <c r="AI356" s="19" t="s">
        <v>82</v>
      </c>
      <c r="AJ356" s="19" t="s">
        <v>77</v>
      </c>
      <c r="AK356" s="19" t="s">
        <v>126</v>
      </c>
    </row>
    <row r="357" spans="1:37">
      <c r="A357" t="s">
        <v>60</v>
      </c>
      <c r="B357" s="12">
        <v>91013.185540388804</v>
      </c>
      <c r="E357">
        <v>0</v>
      </c>
      <c r="F357" s="13">
        <f>$B$357</f>
        <v>91013.185540388804</v>
      </c>
      <c r="G357" s="13">
        <f>F357*$B$14</f>
        <v>9101.3185540388804</v>
      </c>
      <c r="H357" s="13">
        <f>$B$16</f>
        <v>269.70000000000005</v>
      </c>
      <c r="I357" s="13">
        <f>B358</f>
        <v>1000000</v>
      </c>
      <c r="J357" s="13">
        <f>AK357</f>
        <v>0</v>
      </c>
      <c r="K357" s="5">
        <f>AJ357</f>
        <v>37.930999999999997</v>
      </c>
      <c r="L357" s="21">
        <f>I357*J357/1000</f>
        <v>0</v>
      </c>
      <c r="M357">
        <f>I357*K357/1000</f>
        <v>37931</v>
      </c>
      <c r="O357">
        <v>1</v>
      </c>
      <c r="Q357">
        <f t="shared" ref="Q357:Q377" si="459">O357-SUM(P357:P357)</f>
        <v>1</v>
      </c>
      <c r="T357">
        <f>M357*Q357</f>
        <v>37931</v>
      </c>
      <c r="U357" s="22">
        <f t="shared" ref="U357:U388" si="460">$B$11*I357*Q357</f>
        <v>10000</v>
      </c>
      <c r="V357" s="1">
        <f>$O357*F357</f>
        <v>91013.185540388804</v>
      </c>
      <c r="W357" s="1">
        <f>-$O357*G357</f>
        <v>-9101.3185540388804</v>
      </c>
      <c r="X357" s="1">
        <f>-$O357*H357</f>
        <v>-269.70000000000005</v>
      </c>
      <c r="Y357" s="1"/>
      <c r="Z357" s="1">
        <f>SUM(V357:Y357)</f>
        <v>81642.166986349926</v>
      </c>
      <c r="AA357" s="1">
        <f>R357-T357</f>
        <v>-37931</v>
      </c>
      <c r="AB357" s="1"/>
      <c r="AC357" s="1">
        <f>SUM(Z357:AB357)</f>
        <v>43711.166986349926</v>
      </c>
      <c r="AD357" s="1">
        <f>S357-U357</f>
        <v>-10000</v>
      </c>
      <c r="AE357">
        <f>SUM(AC357:AD357)</f>
        <v>33711.166986349926</v>
      </c>
      <c r="AG357" s="19">
        <v>0</v>
      </c>
      <c r="AH357" s="19">
        <f>AH270</f>
        <v>1</v>
      </c>
      <c r="AI357" s="19" t="str">
        <f t="shared" ref="AI357:AK357" si="461">AI270</f>
        <v xml:space="preserve">               -  </v>
      </c>
      <c r="AJ357" s="19">
        <f t="shared" si="461"/>
        <v>37.930999999999997</v>
      </c>
      <c r="AK357" s="19">
        <f t="shared" si="461"/>
        <v>0</v>
      </c>
    </row>
    <row r="358" spans="1:37">
      <c r="A358" t="s">
        <v>98</v>
      </c>
      <c r="B358" s="12">
        <v>1000000</v>
      </c>
      <c r="E358">
        <v>1</v>
      </c>
      <c r="I358" s="13">
        <f>I357</f>
        <v>1000000</v>
      </c>
      <c r="J358" s="13">
        <f t="shared" ref="J358:J421" si="462">AK358</f>
        <v>0</v>
      </c>
      <c r="K358" s="5">
        <f t="shared" ref="K358:K421" si="463">AJ358</f>
        <v>49.417000000000002</v>
      </c>
      <c r="L358" s="21">
        <f t="shared" ref="L358:L421" si="464">I358*J358/1000</f>
        <v>0</v>
      </c>
      <c r="M358">
        <f t="shared" ref="M358:M421" si="465">I358*K358/1000</f>
        <v>49417</v>
      </c>
      <c r="N358">
        <f>N271</f>
        <v>1.6188954599999999E-3</v>
      </c>
      <c r="O358">
        <f>Q357</f>
        <v>1</v>
      </c>
      <c r="P358">
        <f t="shared" ref="P358:P377" si="466">N358*O358/1000</f>
        <v>1.6188954599999999E-6</v>
      </c>
      <c r="Q358">
        <f t="shared" si="459"/>
        <v>0.99999838110453998</v>
      </c>
      <c r="R358">
        <f>T357</f>
        <v>37931</v>
      </c>
      <c r="S358">
        <f>U357</f>
        <v>10000</v>
      </c>
      <c r="T358">
        <f t="shared" ref="T358:T421" si="467">M358*Q358</f>
        <v>49416.91999904305</v>
      </c>
      <c r="U358" s="22">
        <f t="shared" si="460"/>
        <v>9999.9838110454002</v>
      </c>
      <c r="V358" s="1">
        <f t="shared" ref="V358:V421" si="468">$O358*F358</f>
        <v>0</v>
      </c>
      <c r="W358" s="1">
        <f t="shared" ref="W358:W421" si="469">-$O358*G358</f>
        <v>0</v>
      </c>
      <c r="X358" s="1">
        <f t="shared" ref="X358:X421" si="470">-$O358*H358</f>
        <v>0</v>
      </c>
      <c r="Y358" s="1">
        <f>-P358*I358</f>
        <v>-1.6188954599999998</v>
      </c>
      <c r="Z358" s="1">
        <f t="shared" ref="Z358:Z421" si="471">SUM(V358:Y358)</f>
        <v>-1.6188954599999998</v>
      </c>
      <c r="AA358" s="1">
        <f t="shared" ref="AA358:AA421" si="472">R358-T358</f>
        <v>-11485.91999904305</v>
      </c>
      <c r="AB358" s="1">
        <f t="shared" ref="AB358:AB389" si="473">$B$12*SUM(R358:S358,V358:W358)</f>
        <v>2636.2049999999999</v>
      </c>
      <c r="AC358" s="1">
        <f t="shared" ref="AC358:AC421" si="474">SUM(Z358:AB358)</f>
        <v>-8851.33389450305</v>
      </c>
      <c r="AD358" s="1">
        <f t="shared" ref="AD358:AD421" si="475">S358-U358</f>
        <v>1.6188954599783756E-2</v>
      </c>
      <c r="AE358">
        <f t="shared" ref="AE358:AE421" si="476">SUM(AC358:AD358)</f>
        <v>-8851.3177055484502</v>
      </c>
      <c r="AG358" s="19">
        <v>1</v>
      </c>
      <c r="AH358" s="19">
        <f t="shared" ref="AH358:AK358" si="477">AH271</f>
        <v>1</v>
      </c>
      <c r="AI358" s="19">
        <f t="shared" si="477"/>
        <v>1.6188954599999999E-3</v>
      </c>
      <c r="AJ358" s="19">
        <f t="shared" si="477"/>
        <v>49.417000000000002</v>
      </c>
      <c r="AK358" s="19">
        <f t="shared" si="477"/>
        <v>0</v>
      </c>
    </row>
    <row r="359" spans="1:37">
      <c r="E359">
        <v>2</v>
      </c>
      <c r="F359" s="13"/>
      <c r="G359" s="13">
        <f t="shared" ref="G359:G390" si="478">F359*$B$15</f>
        <v>0</v>
      </c>
      <c r="H359" s="13">
        <f t="shared" ref="H359:H390" si="479">$B$17</f>
        <v>196.20000000000002</v>
      </c>
      <c r="I359" s="13">
        <f t="shared" ref="I359:I422" si="480">I358</f>
        <v>1000000</v>
      </c>
      <c r="J359" s="13">
        <f t="shared" si="462"/>
        <v>0</v>
      </c>
      <c r="K359" s="5">
        <f t="shared" si="463"/>
        <v>61.253</v>
      </c>
      <c r="L359" s="21">
        <f t="shared" si="464"/>
        <v>0</v>
      </c>
      <c r="M359">
        <f t="shared" si="465"/>
        <v>61253</v>
      </c>
      <c r="N359">
        <f t="shared" ref="N359:N422" si="481">N272</f>
        <v>1.7557649200000002E-3</v>
      </c>
      <c r="O359">
        <f t="shared" ref="O359:O422" si="482">Q358</f>
        <v>0.99999838110453998</v>
      </c>
      <c r="P359">
        <f t="shared" si="466"/>
        <v>1.7557620776001423E-6</v>
      </c>
      <c r="Q359">
        <f t="shared" si="459"/>
        <v>0.99999662534246236</v>
      </c>
      <c r="R359">
        <f t="shared" ref="R359:R422" si="483">T358</f>
        <v>49416.91999904305</v>
      </c>
      <c r="S359">
        <f t="shared" ref="S359:S422" si="484">U358</f>
        <v>9999.9838110454002</v>
      </c>
      <c r="T359">
        <f t="shared" si="467"/>
        <v>61252.793292101844</v>
      </c>
      <c r="U359" s="22">
        <f t="shared" si="460"/>
        <v>9999.9662534246236</v>
      </c>
      <c r="V359" s="1">
        <f t="shared" si="468"/>
        <v>0</v>
      </c>
      <c r="W359" s="1">
        <f t="shared" si="469"/>
        <v>0</v>
      </c>
      <c r="X359" s="1">
        <f t="shared" si="470"/>
        <v>-196.19968237271075</v>
      </c>
      <c r="Y359" s="1">
        <f t="shared" ref="Y359:Y422" si="485">-P359*I359</f>
        <v>-1.7557620776001424</v>
      </c>
      <c r="Z359" s="1">
        <f t="shared" si="471"/>
        <v>-197.95544445031089</v>
      </c>
      <c r="AA359" s="1">
        <f t="shared" si="472"/>
        <v>-11835.873293058794</v>
      </c>
      <c r="AB359" s="1">
        <f t="shared" si="473"/>
        <v>3267.929709554865</v>
      </c>
      <c r="AC359" s="1">
        <f t="shared" si="474"/>
        <v>-8765.8990279542395</v>
      </c>
      <c r="AD359" s="1">
        <f t="shared" si="475"/>
        <v>1.755762077664258E-2</v>
      </c>
      <c r="AE359">
        <f t="shared" si="476"/>
        <v>-8765.8814703334629</v>
      </c>
      <c r="AG359" s="19">
        <v>2</v>
      </c>
      <c r="AH359" s="19">
        <f t="shared" ref="AH359:AK359" si="486">AH272</f>
        <v>0.99838110453999995</v>
      </c>
      <c r="AI359" s="19">
        <f t="shared" si="486"/>
        <v>1.7529225201421848E-3</v>
      </c>
      <c r="AJ359" s="19">
        <f t="shared" si="486"/>
        <v>61.253</v>
      </c>
      <c r="AK359" s="19">
        <f t="shared" si="486"/>
        <v>0</v>
      </c>
    </row>
    <row r="360" spans="1:37">
      <c r="E360">
        <v>3</v>
      </c>
      <c r="F360" s="13"/>
      <c r="G360" s="13">
        <f t="shared" si="478"/>
        <v>0</v>
      </c>
      <c r="H360" s="13">
        <f t="shared" si="479"/>
        <v>196.20000000000002</v>
      </c>
      <c r="I360" s="13">
        <f t="shared" si="480"/>
        <v>1000000</v>
      </c>
      <c r="J360" s="13">
        <f t="shared" si="462"/>
        <v>8.91</v>
      </c>
      <c r="K360" s="5">
        <f t="shared" si="463"/>
        <v>73.433999999999997</v>
      </c>
      <c r="L360" s="21">
        <f t="shared" si="464"/>
        <v>8910</v>
      </c>
      <c r="M360">
        <f t="shared" si="465"/>
        <v>73434</v>
      </c>
      <c r="N360">
        <f t="shared" si="481"/>
        <v>1.9170442199999999E-3</v>
      </c>
      <c r="O360">
        <f t="shared" si="482"/>
        <v>0.99999662534246236</v>
      </c>
      <c r="P360">
        <f t="shared" si="466"/>
        <v>1.9170377506322728E-6</v>
      </c>
      <c r="Q360">
        <f t="shared" si="459"/>
        <v>0.99999470830471171</v>
      </c>
      <c r="R360">
        <f t="shared" si="483"/>
        <v>61252.793292101844</v>
      </c>
      <c r="S360">
        <f t="shared" si="484"/>
        <v>9999.9662534246236</v>
      </c>
      <c r="T360">
        <f t="shared" si="467"/>
        <v>73433.611409648205</v>
      </c>
      <c r="U360" s="22">
        <f t="shared" si="460"/>
        <v>9999.9470830471164</v>
      </c>
      <c r="V360" s="1">
        <f t="shared" si="468"/>
        <v>0</v>
      </c>
      <c r="W360" s="1">
        <f t="shared" si="469"/>
        <v>0</v>
      </c>
      <c r="X360" s="1">
        <f t="shared" si="470"/>
        <v>-196.19933789219112</v>
      </c>
      <c r="Y360" s="1">
        <f t="shared" si="485"/>
        <v>-1.9170377506322729</v>
      </c>
      <c r="Z360" s="1">
        <f t="shared" si="471"/>
        <v>-198.11637564282339</v>
      </c>
      <c r="AA360" s="1">
        <f t="shared" si="472"/>
        <v>-12180.818117546361</v>
      </c>
      <c r="AB360" s="1">
        <f t="shared" si="473"/>
        <v>3918.9017750039557</v>
      </c>
      <c r="AC360" s="1">
        <f t="shared" si="474"/>
        <v>-8460.0327181852299</v>
      </c>
      <c r="AD360" s="1">
        <f t="shared" si="475"/>
        <v>1.9170377507180092E-2</v>
      </c>
      <c r="AE360">
        <f t="shared" si="476"/>
        <v>-8460.0135478077227</v>
      </c>
      <c r="AG360" s="19">
        <v>3</v>
      </c>
      <c r="AH360" s="19">
        <f t="shared" ref="AH360:AK360" si="487">AH273</f>
        <v>0.99662818201985781</v>
      </c>
      <c r="AI360" s="19">
        <f t="shared" si="487"/>
        <v>1.9105802958302763E-3</v>
      </c>
      <c r="AJ360" s="19">
        <f t="shared" si="487"/>
        <v>73.433999999999997</v>
      </c>
      <c r="AK360" s="19">
        <f t="shared" si="487"/>
        <v>8.91</v>
      </c>
    </row>
    <row r="361" spans="1:37">
      <c r="E361">
        <v>4</v>
      </c>
      <c r="F361" s="13"/>
      <c r="G361" s="13">
        <f t="shared" si="478"/>
        <v>0</v>
      </c>
      <c r="H361" s="13">
        <f t="shared" si="479"/>
        <v>196.20000000000002</v>
      </c>
      <c r="I361" s="13">
        <f t="shared" si="480"/>
        <v>1000000</v>
      </c>
      <c r="J361" s="13">
        <f t="shared" si="462"/>
        <v>18.521000000000001</v>
      </c>
      <c r="K361" s="5">
        <f t="shared" si="463"/>
        <v>85.957999999999998</v>
      </c>
      <c r="L361" s="21">
        <f t="shared" si="464"/>
        <v>18521</v>
      </c>
      <c r="M361">
        <f t="shared" si="465"/>
        <v>85958</v>
      </c>
      <c r="N361">
        <f t="shared" si="481"/>
        <v>2.1018615799999999E-3</v>
      </c>
      <c r="O361">
        <f t="shared" si="482"/>
        <v>0.99999470830471171</v>
      </c>
      <c r="P361">
        <f t="shared" si="466"/>
        <v>2.1018504575889805E-6</v>
      </c>
      <c r="Q361">
        <f t="shared" si="459"/>
        <v>0.99999260645425414</v>
      </c>
      <c r="R361">
        <f t="shared" si="483"/>
        <v>73433.611409648205</v>
      </c>
      <c r="S361">
        <f t="shared" si="484"/>
        <v>9999.9470830471164</v>
      </c>
      <c r="T361">
        <f t="shared" si="467"/>
        <v>85957.364465594772</v>
      </c>
      <c r="U361" s="22">
        <f t="shared" si="460"/>
        <v>9999.926064542542</v>
      </c>
      <c r="V361" s="1">
        <f t="shared" si="468"/>
        <v>0</v>
      </c>
      <c r="W361" s="1">
        <f t="shared" si="469"/>
        <v>0</v>
      </c>
      <c r="X361" s="1">
        <f t="shared" si="470"/>
        <v>-196.19896176938445</v>
      </c>
      <c r="Y361" s="1">
        <f t="shared" si="485"/>
        <v>-2.1018504575889803</v>
      </c>
      <c r="Z361" s="1">
        <f t="shared" si="471"/>
        <v>-198.30081222697342</v>
      </c>
      <c r="AA361" s="1">
        <f t="shared" si="472"/>
        <v>-12523.753055946567</v>
      </c>
      <c r="AB361" s="1">
        <f t="shared" si="473"/>
        <v>4588.8457170982429</v>
      </c>
      <c r="AC361" s="1">
        <f t="shared" si="474"/>
        <v>-8133.2081510752969</v>
      </c>
      <c r="AD361" s="1">
        <f t="shared" si="475"/>
        <v>2.1018504574385588E-2</v>
      </c>
      <c r="AE361">
        <f t="shared" si="476"/>
        <v>-8133.1871325707225</v>
      </c>
      <c r="AG361" s="19">
        <v>4</v>
      </c>
      <c r="AH361" s="19">
        <f t="shared" ref="AH361:AK361" si="488">AH274</f>
        <v>0.99471760172402757</v>
      </c>
      <c r="AI361" s="19">
        <f t="shared" si="488"/>
        <v>2.0907587100134749E-3</v>
      </c>
      <c r="AJ361" s="19">
        <f t="shared" si="488"/>
        <v>85.957999999999998</v>
      </c>
      <c r="AK361" s="19">
        <f t="shared" si="488"/>
        <v>18.521000000000001</v>
      </c>
    </row>
    <row r="362" spans="1:37">
      <c r="E362">
        <v>5</v>
      </c>
      <c r="F362" s="13"/>
      <c r="G362" s="13">
        <f t="shared" si="478"/>
        <v>0</v>
      </c>
      <c r="H362" s="13">
        <f t="shared" si="479"/>
        <v>196.20000000000002</v>
      </c>
      <c r="I362" s="13">
        <f t="shared" si="480"/>
        <v>1000000</v>
      </c>
      <c r="J362" s="13">
        <f t="shared" si="462"/>
        <v>28.541</v>
      </c>
      <c r="K362" s="5">
        <f t="shared" si="463"/>
        <v>98.834000000000003</v>
      </c>
      <c r="L362" s="21">
        <f t="shared" si="464"/>
        <v>28541</v>
      </c>
      <c r="M362">
        <f t="shared" si="465"/>
        <v>98834</v>
      </c>
      <c r="N362">
        <f t="shared" si="481"/>
        <v>2.2971403000000001E-3</v>
      </c>
      <c r="O362">
        <f t="shared" si="482"/>
        <v>0.99999260645425414</v>
      </c>
      <c r="P362">
        <f t="shared" si="466"/>
        <v>2.2971233159881075E-6</v>
      </c>
      <c r="Q362">
        <f t="shared" si="459"/>
        <v>0.99999030933093813</v>
      </c>
      <c r="R362">
        <f t="shared" si="483"/>
        <v>85957.364465594772</v>
      </c>
      <c r="S362">
        <f t="shared" si="484"/>
        <v>9999.926064542542</v>
      </c>
      <c r="T362">
        <f t="shared" si="467"/>
        <v>98833.042232413936</v>
      </c>
      <c r="U362" s="22">
        <f t="shared" si="460"/>
        <v>9999.9030933093818</v>
      </c>
      <c r="V362" s="1">
        <f t="shared" si="468"/>
        <v>0</v>
      </c>
      <c r="W362" s="1">
        <f t="shared" si="469"/>
        <v>0</v>
      </c>
      <c r="X362" s="1">
        <f t="shared" si="470"/>
        <v>-196.19854938632469</v>
      </c>
      <c r="Y362" s="1">
        <f t="shared" si="485"/>
        <v>-2.2971233159881077</v>
      </c>
      <c r="Z362" s="1">
        <f t="shared" si="471"/>
        <v>-198.49567270231279</v>
      </c>
      <c r="AA362" s="1">
        <f t="shared" si="472"/>
        <v>-12875.677766819164</v>
      </c>
      <c r="AB362" s="1">
        <f t="shared" si="473"/>
        <v>5277.6509791575518</v>
      </c>
      <c r="AC362" s="1">
        <f t="shared" si="474"/>
        <v>-7796.5224603639253</v>
      </c>
      <c r="AD362" s="1">
        <f t="shared" si="475"/>
        <v>2.2971233160205884E-2</v>
      </c>
      <c r="AE362">
        <f t="shared" si="476"/>
        <v>-7796.4994891307651</v>
      </c>
      <c r="AG362" s="19">
        <v>5</v>
      </c>
      <c r="AH362" s="19">
        <f t="shared" ref="AH362:AK362" si="489">AH275</f>
        <v>0.99262684301401405</v>
      </c>
      <c r="AI362" s="19">
        <f t="shared" si="489"/>
        <v>2.2802031239492651E-3</v>
      </c>
      <c r="AJ362" s="19">
        <f t="shared" si="489"/>
        <v>98.834000000000003</v>
      </c>
      <c r="AK362" s="19">
        <f t="shared" si="489"/>
        <v>28.541</v>
      </c>
    </row>
    <row r="363" spans="1:37">
      <c r="E363">
        <v>6</v>
      </c>
      <c r="F363" s="13"/>
      <c r="G363" s="13">
        <f t="shared" si="478"/>
        <v>0</v>
      </c>
      <c r="H363" s="13">
        <f t="shared" si="479"/>
        <v>196.20000000000002</v>
      </c>
      <c r="I363" s="13">
        <f t="shared" si="480"/>
        <v>1000000</v>
      </c>
      <c r="J363" s="13">
        <f t="shared" si="462"/>
        <v>38.979999999999997</v>
      </c>
      <c r="K363" s="5">
        <f t="shared" si="463"/>
        <v>112.065</v>
      </c>
      <c r="L363" s="21">
        <f t="shared" si="464"/>
        <v>38980</v>
      </c>
      <c r="M363">
        <f t="shared" si="465"/>
        <v>112065</v>
      </c>
      <c r="N363">
        <f t="shared" si="481"/>
        <v>2.51159818E-3</v>
      </c>
      <c r="O363">
        <f t="shared" si="482"/>
        <v>0.99999030933093813</v>
      </c>
      <c r="P363">
        <f t="shared" si="466"/>
        <v>2.5115738409332209E-6</v>
      </c>
      <c r="Q363">
        <f t="shared" si="459"/>
        <v>0.99998779775709723</v>
      </c>
      <c r="R363">
        <f t="shared" si="483"/>
        <v>98833.042232413936</v>
      </c>
      <c r="S363">
        <f t="shared" si="484"/>
        <v>9999.9030933093818</v>
      </c>
      <c r="T363">
        <f t="shared" si="467"/>
        <v>112063.63255564911</v>
      </c>
      <c r="U363" s="22">
        <f t="shared" si="460"/>
        <v>9999.8779775709718</v>
      </c>
      <c r="V363" s="1">
        <f t="shared" si="468"/>
        <v>0</v>
      </c>
      <c r="W363" s="1">
        <f t="shared" si="469"/>
        <v>0</v>
      </c>
      <c r="X363" s="1">
        <f t="shared" si="470"/>
        <v>-196.19809869073009</v>
      </c>
      <c r="Y363" s="1">
        <f t="shared" si="485"/>
        <v>-2.5115738409332207</v>
      </c>
      <c r="Z363" s="1">
        <f t="shared" si="471"/>
        <v>-198.7096725316633</v>
      </c>
      <c r="AA363" s="1">
        <f t="shared" si="472"/>
        <v>-13230.59032323517</v>
      </c>
      <c r="AB363" s="1">
        <f t="shared" si="473"/>
        <v>5985.8119929147833</v>
      </c>
      <c r="AC363" s="1">
        <f t="shared" si="474"/>
        <v>-7443.4880028520511</v>
      </c>
      <c r="AD363" s="1">
        <f t="shared" si="475"/>
        <v>2.5115738410022459E-2</v>
      </c>
      <c r="AE363">
        <f t="shared" si="476"/>
        <v>-7443.462887113641</v>
      </c>
      <c r="AG363" s="19">
        <v>6</v>
      </c>
      <c r="AH363" s="19">
        <f t="shared" ref="AH363:AK363" si="490">AH276</f>
        <v>0.99034663989006477</v>
      </c>
      <c r="AI363" s="19">
        <f t="shared" si="490"/>
        <v>2.4873528183170022E-3</v>
      </c>
      <c r="AJ363" s="19">
        <f t="shared" si="490"/>
        <v>112.065</v>
      </c>
      <c r="AK363" s="19">
        <f t="shared" si="490"/>
        <v>38.979999999999997</v>
      </c>
    </row>
    <row r="364" spans="1:37">
      <c r="E364">
        <v>7</v>
      </c>
      <c r="F364" s="13"/>
      <c r="G364" s="13">
        <f t="shared" si="478"/>
        <v>0</v>
      </c>
      <c r="H364" s="13">
        <f t="shared" si="479"/>
        <v>196.20000000000002</v>
      </c>
      <c r="I364" s="13">
        <f t="shared" si="480"/>
        <v>1000000</v>
      </c>
      <c r="J364" s="13">
        <f t="shared" si="462"/>
        <v>49.853000000000002</v>
      </c>
      <c r="K364" s="5">
        <f t="shared" si="463"/>
        <v>125.658</v>
      </c>
      <c r="L364" s="21">
        <f t="shared" si="464"/>
        <v>49853</v>
      </c>
      <c r="M364">
        <f t="shared" si="465"/>
        <v>125658</v>
      </c>
      <c r="N364">
        <f t="shared" si="481"/>
        <v>2.7417480999999996E-3</v>
      </c>
      <c r="O364">
        <f t="shared" si="482"/>
        <v>0.99998779775709723</v>
      </c>
      <c r="P364">
        <f t="shared" si="466"/>
        <v>2.7417146445237053E-6</v>
      </c>
      <c r="Q364">
        <f t="shared" si="459"/>
        <v>0.99998505604245269</v>
      </c>
      <c r="R364">
        <f t="shared" si="483"/>
        <v>112063.63255564911</v>
      </c>
      <c r="S364">
        <f t="shared" si="484"/>
        <v>9999.8779775709718</v>
      </c>
      <c r="T364">
        <f t="shared" si="467"/>
        <v>125656.12217218251</v>
      </c>
      <c r="U364" s="22">
        <f t="shared" si="460"/>
        <v>9999.8505604245274</v>
      </c>
      <c r="V364" s="1">
        <f t="shared" si="468"/>
        <v>0</v>
      </c>
      <c r="W364" s="1">
        <f t="shared" si="469"/>
        <v>0</v>
      </c>
      <c r="X364" s="1">
        <f t="shared" si="470"/>
        <v>-196.1976059199425</v>
      </c>
      <c r="Y364" s="1">
        <f t="shared" si="485"/>
        <v>-2.7417146445237055</v>
      </c>
      <c r="Z364" s="1">
        <f t="shared" si="471"/>
        <v>-198.93932056446621</v>
      </c>
      <c r="AA364" s="1">
        <f t="shared" si="472"/>
        <v>-13592.489616533407</v>
      </c>
      <c r="AB364" s="1">
        <f t="shared" si="473"/>
        <v>6713.4930793271042</v>
      </c>
      <c r="AC364" s="1">
        <f t="shared" si="474"/>
        <v>-7077.935857770769</v>
      </c>
      <c r="AD364" s="1">
        <f t="shared" si="475"/>
        <v>2.7417146444349783E-2</v>
      </c>
      <c r="AE364">
        <f t="shared" si="476"/>
        <v>-7077.9084406243246</v>
      </c>
      <c r="AG364" s="19">
        <v>7</v>
      </c>
      <c r="AH364" s="19">
        <f t="shared" ref="AH364:AK364" si="491">AH277</f>
        <v>0.98785928707174775</v>
      </c>
      <c r="AI364" s="19">
        <f t="shared" si="491"/>
        <v>2.7084613233963185E-3</v>
      </c>
      <c r="AJ364" s="19">
        <f t="shared" si="491"/>
        <v>125.658</v>
      </c>
      <c r="AK364" s="19">
        <f t="shared" si="491"/>
        <v>49.853000000000002</v>
      </c>
    </row>
    <row r="365" spans="1:37">
      <c r="E365">
        <v>8</v>
      </c>
      <c r="F365" s="13"/>
      <c r="G365" s="13">
        <f t="shared" si="478"/>
        <v>0</v>
      </c>
      <c r="H365" s="13">
        <f t="shared" si="479"/>
        <v>196.20000000000002</v>
      </c>
      <c r="I365" s="13">
        <f t="shared" si="480"/>
        <v>1000000</v>
      </c>
      <c r="J365" s="13">
        <f t="shared" si="462"/>
        <v>61.161999999999999</v>
      </c>
      <c r="K365" s="5">
        <f t="shared" si="463"/>
        <v>139.60400000000001</v>
      </c>
      <c r="L365" s="21">
        <f t="shared" si="464"/>
        <v>61162</v>
      </c>
      <c r="M365">
        <f t="shared" si="465"/>
        <v>139604</v>
      </c>
      <c r="N365">
        <f t="shared" si="481"/>
        <v>3.0067692199999998E-3</v>
      </c>
      <c r="O365">
        <f t="shared" si="482"/>
        <v>0.99998505604245269</v>
      </c>
      <c r="P365">
        <f t="shared" si="466"/>
        <v>3.0067242869684218E-6</v>
      </c>
      <c r="Q365">
        <f t="shared" si="459"/>
        <v>0.9999820493181657</v>
      </c>
      <c r="R365">
        <f t="shared" si="483"/>
        <v>125656.12217218251</v>
      </c>
      <c r="S365">
        <f t="shared" si="484"/>
        <v>9999.8505604245274</v>
      </c>
      <c r="T365">
        <f t="shared" si="467"/>
        <v>139601.4940130132</v>
      </c>
      <c r="U365" s="22">
        <f t="shared" si="460"/>
        <v>9999.8204931816563</v>
      </c>
      <c r="V365" s="1">
        <f t="shared" si="468"/>
        <v>0</v>
      </c>
      <c r="W365" s="1">
        <f t="shared" si="469"/>
        <v>0</v>
      </c>
      <c r="X365" s="1">
        <f t="shared" si="470"/>
        <v>-196.19706799552924</v>
      </c>
      <c r="Y365" s="1">
        <f t="shared" si="485"/>
        <v>-3.0067242869684216</v>
      </c>
      <c r="Z365" s="1">
        <f t="shared" si="471"/>
        <v>-199.20379228249766</v>
      </c>
      <c r="AA365" s="1">
        <f t="shared" si="472"/>
        <v>-13945.371840830689</v>
      </c>
      <c r="AB365" s="1">
        <f t="shared" si="473"/>
        <v>7461.0785002933872</v>
      </c>
      <c r="AC365" s="1">
        <f t="shared" si="474"/>
        <v>-6683.4971328197998</v>
      </c>
      <c r="AD365" s="1">
        <f t="shared" si="475"/>
        <v>3.0067242871155031E-2</v>
      </c>
      <c r="AE365">
        <f t="shared" si="476"/>
        <v>-6683.4670655769287</v>
      </c>
      <c r="AG365" s="19">
        <v>8</v>
      </c>
      <c r="AH365" s="19">
        <f t="shared" ref="AH365:AK365" si="492">AH278</f>
        <v>0.98515082574835144</v>
      </c>
      <c r="AI365" s="19">
        <f t="shared" si="492"/>
        <v>2.9621211799177264E-3</v>
      </c>
      <c r="AJ365" s="19">
        <f t="shared" si="492"/>
        <v>139.60400000000001</v>
      </c>
      <c r="AK365" s="19">
        <f t="shared" si="492"/>
        <v>61.161999999999999</v>
      </c>
    </row>
    <row r="366" spans="1:37">
      <c r="E366">
        <v>9</v>
      </c>
      <c r="F366" s="13"/>
      <c r="G366" s="13">
        <f t="shared" si="478"/>
        <v>0</v>
      </c>
      <c r="H366" s="13">
        <f t="shared" si="479"/>
        <v>196.20000000000002</v>
      </c>
      <c r="I366" s="13">
        <f t="shared" si="480"/>
        <v>1000000</v>
      </c>
      <c r="J366" s="13">
        <f t="shared" si="462"/>
        <v>72.903999999999996</v>
      </c>
      <c r="K366" s="5">
        <f t="shared" si="463"/>
        <v>153.89699999999999</v>
      </c>
      <c r="L366" s="21">
        <f t="shared" si="464"/>
        <v>72904</v>
      </c>
      <c r="M366">
        <f t="shared" si="465"/>
        <v>153897</v>
      </c>
      <c r="N366">
        <f t="shared" si="481"/>
        <v>3.3084051E-3</v>
      </c>
      <c r="O366">
        <f t="shared" si="482"/>
        <v>0.9999820493181657</v>
      </c>
      <c r="P366">
        <f t="shared" si="466"/>
        <v>3.308345711872671E-6</v>
      </c>
      <c r="Q366">
        <f t="shared" si="459"/>
        <v>0.99997874097245387</v>
      </c>
      <c r="R366">
        <f t="shared" si="483"/>
        <v>139601.4940130132</v>
      </c>
      <c r="S366">
        <f t="shared" si="484"/>
        <v>9999.8204931816563</v>
      </c>
      <c r="T366">
        <f t="shared" si="467"/>
        <v>153893.72829943773</v>
      </c>
      <c r="U366" s="22">
        <f t="shared" si="460"/>
        <v>9999.7874097245385</v>
      </c>
      <c r="V366" s="1">
        <f t="shared" si="468"/>
        <v>0</v>
      </c>
      <c r="W366" s="1">
        <f t="shared" si="469"/>
        <v>0</v>
      </c>
      <c r="X366" s="1">
        <f t="shared" si="470"/>
        <v>-196.19647807622414</v>
      </c>
      <c r="Y366" s="1">
        <f t="shared" si="485"/>
        <v>-3.3083457118726711</v>
      </c>
      <c r="Z366" s="1">
        <f t="shared" si="471"/>
        <v>-199.50482378809681</v>
      </c>
      <c r="AA366" s="1">
        <f t="shared" si="472"/>
        <v>-14292.234286424529</v>
      </c>
      <c r="AB366" s="1">
        <f t="shared" si="473"/>
        <v>8228.0722978407157</v>
      </c>
      <c r="AC366" s="1">
        <f t="shared" si="474"/>
        <v>-6263.6668123719101</v>
      </c>
      <c r="AD366" s="1">
        <f t="shared" si="475"/>
        <v>3.3083457117754733E-2</v>
      </c>
      <c r="AE366">
        <f t="shared" si="476"/>
        <v>-6263.6337289147923</v>
      </c>
      <c r="AG366" s="19">
        <v>9</v>
      </c>
      <c r="AH366" s="19">
        <f t="shared" ref="AH366:AK366" si="493">AH279</f>
        <v>0.98218870456843377</v>
      </c>
      <c r="AI366" s="19">
        <f t="shared" si="493"/>
        <v>3.2494781193565993E-3</v>
      </c>
      <c r="AJ366" s="19">
        <f t="shared" si="493"/>
        <v>153.89699999999999</v>
      </c>
      <c r="AK366" s="19">
        <f t="shared" si="493"/>
        <v>72.903999999999996</v>
      </c>
    </row>
    <row r="367" spans="1:37">
      <c r="E367">
        <v>10</v>
      </c>
      <c r="F367" s="13"/>
      <c r="G367" s="13">
        <f t="shared" si="478"/>
        <v>0</v>
      </c>
      <c r="H367" s="13">
        <f t="shared" si="479"/>
        <v>196.20000000000002</v>
      </c>
      <c r="I367" s="13">
        <f t="shared" si="480"/>
        <v>1000000</v>
      </c>
      <c r="J367" s="13">
        <f t="shared" si="462"/>
        <v>85.085999999999999</v>
      </c>
      <c r="K367" s="5">
        <f t="shared" si="463"/>
        <v>168.53200000000001</v>
      </c>
      <c r="L367" s="21">
        <f t="shared" si="464"/>
        <v>85086</v>
      </c>
      <c r="M367">
        <f t="shared" si="465"/>
        <v>168532</v>
      </c>
      <c r="N367">
        <f t="shared" si="481"/>
        <v>3.6422968400000003E-3</v>
      </c>
      <c r="O367">
        <f t="shared" si="482"/>
        <v>0.99997874097245387</v>
      </c>
      <c r="P367">
        <f t="shared" si="466"/>
        <v>3.6422194083111475E-6</v>
      </c>
      <c r="Q367">
        <f t="shared" si="459"/>
        <v>0.99997509875304558</v>
      </c>
      <c r="R367">
        <f t="shared" si="483"/>
        <v>153893.72829943773</v>
      </c>
      <c r="S367">
        <f t="shared" si="484"/>
        <v>9999.7874097245385</v>
      </c>
      <c r="T367">
        <f t="shared" si="467"/>
        <v>168527.80334304829</v>
      </c>
      <c r="U367" s="22">
        <f t="shared" si="460"/>
        <v>9999.7509875304549</v>
      </c>
      <c r="V367" s="1">
        <f t="shared" si="468"/>
        <v>0</v>
      </c>
      <c r="W367" s="1">
        <f t="shared" si="469"/>
        <v>0</v>
      </c>
      <c r="X367" s="1">
        <f t="shared" si="470"/>
        <v>-196.19582897879548</v>
      </c>
      <c r="Y367" s="1">
        <f t="shared" si="485"/>
        <v>-3.6422194083111474</v>
      </c>
      <c r="Z367" s="1">
        <f t="shared" si="471"/>
        <v>-199.83804838710662</v>
      </c>
      <c r="AA367" s="1">
        <f t="shared" si="472"/>
        <v>-14634.075043610559</v>
      </c>
      <c r="AB367" s="1">
        <f t="shared" si="473"/>
        <v>9014.1433640039249</v>
      </c>
      <c r="AC367" s="1">
        <f t="shared" si="474"/>
        <v>-5819.7697279937402</v>
      </c>
      <c r="AD367" s="1">
        <f t="shared" si="475"/>
        <v>3.6422194083570503E-2</v>
      </c>
      <c r="AE367">
        <f t="shared" si="476"/>
        <v>-5819.7333057996566</v>
      </c>
      <c r="AG367" s="19">
        <v>10</v>
      </c>
      <c r="AH367" s="19">
        <f t="shared" ref="AH367:AK367" si="494">AH280</f>
        <v>0.97893922644907716</v>
      </c>
      <c r="AI367" s="19">
        <f t="shared" si="494"/>
        <v>3.5655872510475185E-3</v>
      </c>
      <c r="AJ367" s="19">
        <f t="shared" si="494"/>
        <v>168.53200000000001</v>
      </c>
      <c r="AK367" s="19">
        <f t="shared" si="494"/>
        <v>85.085999999999999</v>
      </c>
    </row>
    <row r="368" spans="1:37">
      <c r="E368">
        <v>11</v>
      </c>
      <c r="F368" s="13"/>
      <c r="G368" s="13">
        <f t="shared" si="478"/>
        <v>0</v>
      </c>
      <c r="H368" s="13">
        <f t="shared" si="479"/>
        <v>196.20000000000002</v>
      </c>
      <c r="I368" s="13">
        <f t="shared" si="480"/>
        <v>1000000</v>
      </c>
      <c r="J368" s="13">
        <f t="shared" si="462"/>
        <v>97.701999999999998</v>
      </c>
      <c r="K368" s="5">
        <f t="shared" si="463"/>
        <v>183.49700000000001</v>
      </c>
      <c r="L368" s="21">
        <f t="shared" si="464"/>
        <v>97702</v>
      </c>
      <c r="M368">
        <f t="shared" si="465"/>
        <v>183497</v>
      </c>
      <c r="N368">
        <f t="shared" si="481"/>
        <v>4.0215211399999996E-3</v>
      </c>
      <c r="O368">
        <f t="shared" si="482"/>
        <v>0.99997509875304558</v>
      </c>
      <c r="P368">
        <f t="shared" si="466"/>
        <v>4.0214209991089604E-6</v>
      </c>
      <c r="Q368">
        <f t="shared" si="459"/>
        <v>0.99997107733204649</v>
      </c>
      <c r="R368">
        <f t="shared" si="483"/>
        <v>168527.80334304829</v>
      </c>
      <c r="S368">
        <f t="shared" si="484"/>
        <v>9999.7509875304549</v>
      </c>
      <c r="T368">
        <f t="shared" si="467"/>
        <v>183491.69277719854</v>
      </c>
      <c r="U368" s="22">
        <f t="shared" si="460"/>
        <v>9999.7107733204648</v>
      </c>
      <c r="V368" s="1">
        <f t="shared" si="468"/>
        <v>0</v>
      </c>
      <c r="W368" s="1">
        <f t="shared" si="469"/>
        <v>0</v>
      </c>
      <c r="X368" s="1">
        <f t="shared" si="470"/>
        <v>-196.19511437534757</v>
      </c>
      <c r="Y368" s="1">
        <f t="shared" si="485"/>
        <v>-4.02142099910896</v>
      </c>
      <c r="Z368" s="1">
        <f t="shared" si="471"/>
        <v>-200.21653537445653</v>
      </c>
      <c r="AA368" s="1">
        <f t="shared" si="472"/>
        <v>-14963.889434150246</v>
      </c>
      <c r="AB368" s="1">
        <f t="shared" si="473"/>
        <v>9819.0154881818307</v>
      </c>
      <c r="AC368" s="1">
        <f t="shared" si="474"/>
        <v>-5345.0904813428715</v>
      </c>
      <c r="AD368" s="1">
        <f t="shared" si="475"/>
        <v>4.0214209990153904E-2</v>
      </c>
      <c r="AE368">
        <f t="shared" si="476"/>
        <v>-5345.0502671328813</v>
      </c>
      <c r="AG368" s="19">
        <v>11</v>
      </c>
      <c r="AH368" s="19">
        <f t="shared" ref="AH368:AK368" si="495">AH281</f>
        <v>0.97537363919802966</v>
      </c>
      <c r="AI368" s="19">
        <f t="shared" si="495"/>
        <v>3.9224857094336089E-3</v>
      </c>
      <c r="AJ368" s="19">
        <f t="shared" si="495"/>
        <v>183.49700000000001</v>
      </c>
      <c r="AK368" s="19">
        <f t="shared" si="495"/>
        <v>97.701999999999998</v>
      </c>
    </row>
    <row r="369" spans="5:37">
      <c r="E369">
        <v>12</v>
      </c>
      <c r="F369" s="13"/>
      <c r="G369" s="13">
        <f t="shared" si="478"/>
        <v>0</v>
      </c>
      <c r="H369" s="13">
        <f t="shared" si="479"/>
        <v>196.20000000000002</v>
      </c>
      <c r="I369" s="13">
        <f t="shared" si="480"/>
        <v>1000000</v>
      </c>
      <c r="J369" s="13">
        <f t="shared" si="462"/>
        <v>110.746</v>
      </c>
      <c r="K369" s="5">
        <f t="shared" si="463"/>
        <v>198.77799999999999</v>
      </c>
      <c r="L369" s="21">
        <f t="shared" si="464"/>
        <v>110746</v>
      </c>
      <c r="M369">
        <f t="shared" si="465"/>
        <v>198778</v>
      </c>
      <c r="N369">
        <f t="shared" si="481"/>
        <v>4.4513086800000001E-3</v>
      </c>
      <c r="O369">
        <f t="shared" si="482"/>
        <v>0.99997107733204649</v>
      </c>
      <c r="P369">
        <f t="shared" si="466"/>
        <v>4.4511799362770898E-6</v>
      </c>
      <c r="Q369">
        <f t="shared" si="459"/>
        <v>0.99996662615211018</v>
      </c>
      <c r="R369">
        <f t="shared" si="483"/>
        <v>183491.69277719854</v>
      </c>
      <c r="S369">
        <f t="shared" si="484"/>
        <v>9999.7107733204648</v>
      </c>
      <c r="T369">
        <f t="shared" si="467"/>
        <v>198771.36601326417</v>
      </c>
      <c r="U369" s="22">
        <f t="shared" si="460"/>
        <v>9999.6662615211026</v>
      </c>
      <c r="V369" s="1">
        <f t="shared" si="468"/>
        <v>0</v>
      </c>
      <c r="W369" s="1">
        <f t="shared" si="469"/>
        <v>0</v>
      </c>
      <c r="X369" s="1">
        <f t="shared" si="470"/>
        <v>-196.19432537254752</v>
      </c>
      <c r="Y369" s="1">
        <f t="shared" si="485"/>
        <v>-4.4511799362770894</v>
      </c>
      <c r="Z369" s="1">
        <f t="shared" si="471"/>
        <v>-200.64550530882462</v>
      </c>
      <c r="AA369" s="1">
        <f t="shared" si="472"/>
        <v>-15279.673236065631</v>
      </c>
      <c r="AB369" s="1">
        <f t="shared" si="473"/>
        <v>10642.027195278544</v>
      </c>
      <c r="AC369" s="1">
        <f t="shared" si="474"/>
        <v>-4838.2915460959121</v>
      </c>
      <c r="AD369" s="1">
        <f t="shared" si="475"/>
        <v>4.4511799362226157E-2</v>
      </c>
      <c r="AE369">
        <f t="shared" si="476"/>
        <v>-4838.2470342965498</v>
      </c>
      <c r="AG369" s="19">
        <v>12</v>
      </c>
      <c r="AH369" s="19">
        <f t="shared" ref="AH369:AK369" si="496">AH282</f>
        <v>0.97145115348859601</v>
      </c>
      <c r="AI369" s="19">
        <f t="shared" si="496"/>
        <v>4.3242289517197996E-3</v>
      </c>
      <c r="AJ369" s="19">
        <f t="shared" si="496"/>
        <v>198.77799999999999</v>
      </c>
      <c r="AK369" s="19">
        <f t="shared" si="496"/>
        <v>110.746</v>
      </c>
    </row>
    <row r="370" spans="5:37">
      <c r="E370">
        <v>13</v>
      </c>
      <c r="F370" s="13"/>
      <c r="G370" s="13">
        <f t="shared" si="478"/>
        <v>0</v>
      </c>
      <c r="H370" s="13">
        <f t="shared" si="479"/>
        <v>196.20000000000002</v>
      </c>
      <c r="I370" s="13">
        <f t="shared" si="480"/>
        <v>1000000</v>
      </c>
      <c r="J370" s="13">
        <f t="shared" si="462"/>
        <v>124.24</v>
      </c>
      <c r="K370" s="5">
        <f t="shared" si="463"/>
        <v>214.38800000000001</v>
      </c>
      <c r="L370" s="21">
        <f t="shared" si="464"/>
        <v>124240</v>
      </c>
      <c r="M370">
        <f t="shared" si="465"/>
        <v>214388</v>
      </c>
      <c r="N370">
        <f t="shared" si="481"/>
        <v>4.8994036000000003E-3</v>
      </c>
      <c r="O370">
        <f t="shared" si="482"/>
        <v>0.99996662615211018</v>
      </c>
      <c r="P370">
        <f t="shared" si="466"/>
        <v>4.8992400880495033E-6</v>
      </c>
      <c r="Q370">
        <f t="shared" si="459"/>
        <v>0.99996172691202212</v>
      </c>
      <c r="R370">
        <f t="shared" si="483"/>
        <v>198771.36601326417</v>
      </c>
      <c r="S370">
        <f t="shared" si="484"/>
        <v>9999.6662615211026</v>
      </c>
      <c r="T370">
        <f t="shared" si="467"/>
        <v>214379.79470921459</v>
      </c>
      <c r="U370" s="22">
        <f t="shared" si="460"/>
        <v>9999.617269120221</v>
      </c>
      <c r="V370" s="1">
        <f t="shared" si="468"/>
        <v>0</v>
      </c>
      <c r="W370" s="1">
        <f t="shared" si="469"/>
        <v>0</v>
      </c>
      <c r="X370" s="1">
        <f t="shared" si="470"/>
        <v>-196.19345205104403</v>
      </c>
      <c r="Y370" s="1">
        <f t="shared" si="485"/>
        <v>-4.8992400880495035</v>
      </c>
      <c r="Z370" s="1">
        <f t="shared" si="471"/>
        <v>-201.09269213909354</v>
      </c>
      <c r="AA370" s="1">
        <f t="shared" si="472"/>
        <v>-15608.428695950424</v>
      </c>
      <c r="AB370" s="1">
        <f t="shared" si="473"/>
        <v>11482.40677511319</v>
      </c>
      <c r="AC370" s="1">
        <f t="shared" si="474"/>
        <v>-4327.1146129763274</v>
      </c>
      <c r="AD370" s="1">
        <f t="shared" si="475"/>
        <v>4.8992400881616049E-2</v>
      </c>
      <c r="AE370">
        <f t="shared" si="476"/>
        <v>-4327.0656205754458</v>
      </c>
      <c r="AG370" s="19">
        <v>13</v>
      </c>
      <c r="AH370" s="19">
        <f t="shared" ref="AH370:AK370" si="497">AH283</f>
        <v>0.96712692453687621</v>
      </c>
      <c r="AI370" s="19">
        <f t="shared" si="497"/>
        <v>4.7383451357329003E-3</v>
      </c>
      <c r="AJ370" s="19">
        <f t="shared" si="497"/>
        <v>214.38800000000001</v>
      </c>
      <c r="AK370" s="19">
        <f t="shared" si="497"/>
        <v>124.24</v>
      </c>
    </row>
    <row r="371" spans="5:37">
      <c r="E371">
        <v>14</v>
      </c>
      <c r="F371" s="13"/>
      <c r="G371" s="13">
        <f t="shared" si="478"/>
        <v>0</v>
      </c>
      <c r="H371" s="13">
        <f t="shared" si="479"/>
        <v>196.20000000000002</v>
      </c>
      <c r="I371" s="13">
        <f t="shared" si="480"/>
        <v>1000000</v>
      </c>
      <c r="J371" s="13">
        <f t="shared" si="462"/>
        <v>138.19900000000001</v>
      </c>
      <c r="K371" s="5">
        <f t="shared" si="463"/>
        <v>230.33099999999999</v>
      </c>
      <c r="L371" s="21">
        <f t="shared" si="464"/>
        <v>138199</v>
      </c>
      <c r="M371">
        <f t="shared" si="465"/>
        <v>230331</v>
      </c>
      <c r="N371">
        <f t="shared" si="481"/>
        <v>5.3788826E-3</v>
      </c>
      <c r="O371">
        <f t="shared" si="482"/>
        <v>0.99996172691202212</v>
      </c>
      <c r="P371">
        <f t="shared" si="466"/>
        <v>5.378676733553027E-6</v>
      </c>
      <c r="Q371">
        <f t="shared" si="459"/>
        <v>0.99995634823528856</v>
      </c>
      <c r="R371">
        <f t="shared" si="483"/>
        <v>214379.79470921459</v>
      </c>
      <c r="S371">
        <f t="shared" si="484"/>
        <v>9999.617269120221</v>
      </c>
      <c r="T371">
        <f t="shared" si="467"/>
        <v>230320.94564538225</v>
      </c>
      <c r="U371" s="22">
        <f t="shared" si="460"/>
        <v>9999.5634823528853</v>
      </c>
      <c r="V371" s="1">
        <f t="shared" si="468"/>
        <v>0</v>
      </c>
      <c r="W371" s="1">
        <f t="shared" si="469"/>
        <v>0</v>
      </c>
      <c r="X371" s="1">
        <f t="shared" si="470"/>
        <v>-196.19249082013874</v>
      </c>
      <c r="Y371" s="1">
        <f t="shared" si="485"/>
        <v>-5.3786767335530268</v>
      </c>
      <c r="Z371" s="1">
        <f t="shared" si="471"/>
        <v>-201.57116755369177</v>
      </c>
      <c r="AA371" s="1">
        <f t="shared" si="472"/>
        <v>-15941.150936167658</v>
      </c>
      <c r="AB371" s="1">
        <f t="shared" si="473"/>
        <v>12340.867658808414</v>
      </c>
      <c r="AC371" s="1">
        <f t="shared" si="474"/>
        <v>-3801.8544449129349</v>
      </c>
      <c r="AD371" s="1">
        <f t="shared" si="475"/>
        <v>5.3786767335623153E-2</v>
      </c>
      <c r="AE371">
        <f t="shared" si="476"/>
        <v>-3801.8006581455993</v>
      </c>
      <c r="AG371" s="19">
        <v>14</v>
      </c>
      <c r="AH371" s="19">
        <f t="shared" ref="AH371:AK371" si="498">AH284</f>
        <v>0.96238857940114331</v>
      </c>
      <c r="AI371" s="19">
        <f t="shared" si="498"/>
        <v>5.1765751841795285E-3</v>
      </c>
      <c r="AJ371" s="19">
        <f t="shared" si="498"/>
        <v>230.33099999999999</v>
      </c>
      <c r="AK371" s="19">
        <f t="shared" si="498"/>
        <v>138.19900000000001</v>
      </c>
    </row>
    <row r="372" spans="5:37">
      <c r="E372">
        <v>15</v>
      </c>
      <c r="F372" s="13"/>
      <c r="G372" s="13">
        <f t="shared" si="478"/>
        <v>0</v>
      </c>
      <c r="H372" s="13">
        <f t="shared" si="479"/>
        <v>196.20000000000002</v>
      </c>
      <c r="I372" s="13">
        <f t="shared" si="480"/>
        <v>1000000</v>
      </c>
      <c r="J372" s="13">
        <f t="shared" si="462"/>
        <v>152.625</v>
      </c>
      <c r="K372" s="5">
        <f t="shared" si="463"/>
        <v>246.602</v>
      </c>
      <c r="L372" s="21">
        <f t="shared" si="464"/>
        <v>152625</v>
      </c>
      <c r="M372">
        <f t="shared" si="465"/>
        <v>246602</v>
      </c>
      <c r="N372">
        <f t="shared" si="481"/>
        <v>5.9071812799999998E-3</v>
      </c>
      <c r="O372">
        <f t="shared" si="482"/>
        <v>0.99995634823528856</v>
      </c>
      <c r="P372">
        <f t="shared" si="466"/>
        <v>5.9069234211126574E-6</v>
      </c>
      <c r="Q372">
        <f t="shared" si="459"/>
        <v>0.9999504413118675</v>
      </c>
      <c r="R372">
        <f t="shared" si="483"/>
        <v>230320.94564538225</v>
      </c>
      <c r="S372">
        <f t="shared" si="484"/>
        <v>9999.5634823528853</v>
      </c>
      <c r="T372">
        <f t="shared" si="467"/>
        <v>246589.77872838915</v>
      </c>
      <c r="U372" s="22">
        <f t="shared" si="460"/>
        <v>9999.5044131186751</v>
      </c>
      <c r="V372" s="1">
        <f t="shared" si="468"/>
        <v>0</v>
      </c>
      <c r="W372" s="1">
        <f t="shared" si="469"/>
        <v>0</v>
      </c>
      <c r="X372" s="1">
        <f t="shared" si="470"/>
        <v>-196.19143552376363</v>
      </c>
      <c r="Y372" s="1">
        <f t="shared" si="485"/>
        <v>-5.9069234211126576</v>
      </c>
      <c r="Z372" s="1">
        <f t="shared" si="471"/>
        <v>-202.09835894487628</v>
      </c>
      <c r="AA372" s="1">
        <f t="shared" si="472"/>
        <v>-16268.833083006903</v>
      </c>
      <c r="AB372" s="1">
        <f t="shared" si="473"/>
        <v>13217.628002025433</v>
      </c>
      <c r="AC372" s="1">
        <f t="shared" si="474"/>
        <v>-3253.303439926347</v>
      </c>
      <c r="AD372" s="1">
        <f t="shared" si="475"/>
        <v>5.9069234210255672E-2</v>
      </c>
      <c r="AE372">
        <f t="shared" si="476"/>
        <v>-3253.2443706921367</v>
      </c>
      <c r="AG372" s="19">
        <v>15</v>
      </c>
      <c r="AH372" s="19">
        <f t="shared" ref="AH372:AK372" si="499">AH285</f>
        <v>0.95721200421696373</v>
      </c>
      <c r="AI372" s="19">
        <f t="shared" si="499"/>
        <v>5.6544248323017292E-3</v>
      </c>
      <c r="AJ372" s="19">
        <f t="shared" si="499"/>
        <v>246.602</v>
      </c>
      <c r="AK372" s="19">
        <f t="shared" si="499"/>
        <v>152.625</v>
      </c>
    </row>
    <row r="373" spans="5:37">
      <c r="E373">
        <v>16</v>
      </c>
      <c r="F373" s="13"/>
      <c r="G373" s="13">
        <f t="shared" si="478"/>
        <v>0</v>
      </c>
      <c r="H373" s="13">
        <f t="shared" si="479"/>
        <v>196.20000000000002</v>
      </c>
      <c r="I373" s="13">
        <f t="shared" si="480"/>
        <v>1000000</v>
      </c>
      <c r="J373" s="13">
        <f t="shared" si="462"/>
        <v>167.47900000000001</v>
      </c>
      <c r="K373" s="5">
        <f t="shared" si="463"/>
        <v>263.15499999999997</v>
      </c>
      <c r="L373" s="21">
        <f t="shared" si="464"/>
        <v>167479</v>
      </c>
      <c r="M373">
        <f t="shared" si="465"/>
        <v>263154.99999999994</v>
      </c>
      <c r="N373">
        <f t="shared" si="481"/>
        <v>6.5392217799999999E-3</v>
      </c>
      <c r="O373">
        <f t="shared" si="482"/>
        <v>0.9999504413118675</v>
      </c>
      <c r="P373">
        <f t="shared" si="466"/>
        <v>6.5388977047471757E-6</v>
      </c>
      <c r="Q373">
        <f t="shared" si="459"/>
        <v>0.99994390241416276</v>
      </c>
      <c r="R373">
        <f t="shared" si="483"/>
        <v>246589.77872838915</v>
      </c>
      <c r="S373">
        <f t="shared" si="484"/>
        <v>9999.5044131186751</v>
      </c>
      <c r="T373">
        <f t="shared" si="467"/>
        <v>263140.23763979896</v>
      </c>
      <c r="U373" s="22">
        <f t="shared" si="460"/>
        <v>9999.4390241416277</v>
      </c>
      <c r="V373" s="1">
        <f t="shared" si="468"/>
        <v>0</v>
      </c>
      <c r="W373" s="1">
        <f t="shared" si="469"/>
        <v>0</v>
      </c>
      <c r="X373" s="1">
        <f t="shared" si="470"/>
        <v>-196.19027658538843</v>
      </c>
      <c r="Y373" s="1">
        <f t="shared" si="485"/>
        <v>-6.5388977047471757</v>
      </c>
      <c r="Z373" s="1">
        <f t="shared" si="471"/>
        <v>-202.7291742901356</v>
      </c>
      <c r="AA373" s="1">
        <f t="shared" si="472"/>
        <v>-16550.458911409805</v>
      </c>
      <c r="AB373" s="1">
        <f t="shared" si="473"/>
        <v>14112.41057278293</v>
      </c>
      <c r="AC373" s="1">
        <f t="shared" si="474"/>
        <v>-2640.7775129170113</v>
      </c>
      <c r="AD373" s="1">
        <f t="shared" si="475"/>
        <v>6.5388977047405206E-2</v>
      </c>
      <c r="AE373">
        <f t="shared" si="476"/>
        <v>-2640.7121239399639</v>
      </c>
      <c r="AG373" s="19">
        <v>16</v>
      </c>
      <c r="AH373" s="19">
        <f t="shared" ref="AH373:AK373" si="500">AH286</f>
        <v>0.95155757938466201</v>
      </c>
      <c r="AI373" s="19">
        <f t="shared" si="500"/>
        <v>6.2224460480362611E-3</v>
      </c>
      <c r="AJ373" s="19">
        <f t="shared" si="500"/>
        <v>263.15499999999997</v>
      </c>
      <c r="AK373" s="19">
        <f t="shared" si="500"/>
        <v>167.47900000000001</v>
      </c>
    </row>
    <row r="374" spans="5:37">
      <c r="E374">
        <v>17</v>
      </c>
      <c r="F374" s="13"/>
      <c r="G374" s="13">
        <f t="shared" si="478"/>
        <v>0</v>
      </c>
      <c r="H374" s="13">
        <f t="shared" si="479"/>
        <v>196.20000000000002</v>
      </c>
      <c r="I374" s="13">
        <f t="shared" si="480"/>
        <v>1000000</v>
      </c>
      <c r="J374" s="13">
        <f t="shared" si="462"/>
        <v>182.773</v>
      </c>
      <c r="K374" s="5">
        <f t="shared" si="463"/>
        <v>279.995</v>
      </c>
      <c r="L374" s="21">
        <f t="shared" si="464"/>
        <v>182773</v>
      </c>
      <c r="M374">
        <f t="shared" si="465"/>
        <v>279995</v>
      </c>
      <c r="N374">
        <f t="shared" si="481"/>
        <v>7.2131077200000004E-3</v>
      </c>
      <c r="O374">
        <f t="shared" si="482"/>
        <v>0.99994390241416276</v>
      </c>
      <c r="P374">
        <f t="shared" si="466"/>
        <v>7.2127030820705252E-6</v>
      </c>
      <c r="Q374">
        <f t="shared" si="459"/>
        <v>0.99993668971108074</v>
      </c>
      <c r="R374">
        <f t="shared" si="483"/>
        <v>263140.23763979896</v>
      </c>
      <c r="S374">
        <f t="shared" si="484"/>
        <v>9999.4390241416277</v>
      </c>
      <c r="T374">
        <f t="shared" si="467"/>
        <v>279977.27343565406</v>
      </c>
      <c r="U374" s="22">
        <f t="shared" si="460"/>
        <v>9999.3668971108073</v>
      </c>
      <c r="V374" s="1">
        <f t="shared" si="468"/>
        <v>0</v>
      </c>
      <c r="W374" s="1">
        <f t="shared" si="469"/>
        <v>0</v>
      </c>
      <c r="X374" s="1">
        <f t="shared" si="470"/>
        <v>-196.18899365365874</v>
      </c>
      <c r="Y374" s="1">
        <f t="shared" si="485"/>
        <v>-7.2127030820705249</v>
      </c>
      <c r="Z374" s="1">
        <f t="shared" si="471"/>
        <v>-203.40169673572927</v>
      </c>
      <c r="AA374" s="1">
        <f t="shared" si="472"/>
        <v>-16837.035795855103</v>
      </c>
      <c r="AB374" s="1">
        <f t="shared" si="473"/>
        <v>15022.682216516732</v>
      </c>
      <c r="AC374" s="1">
        <f t="shared" si="474"/>
        <v>-2017.7552760741019</v>
      </c>
      <c r="AD374" s="1">
        <f t="shared" si="475"/>
        <v>7.2127030820411164E-2</v>
      </c>
      <c r="AE374">
        <f t="shared" si="476"/>
        <v>-2017.6831490432814</v>
      </c>
      <c r="AG374" s="19">
        <v>17</v>
      </c>
      <c r="AH374" s="19">
        <f t="shared" ref="AH374:AK374" si="501">AH287</f>
        <v>0.94533513333662578</v>
      </c>
      <c r="AI374" s="19">
        <f t="shared" si="501"/>
        <v>6.8188041482576452E-3</v>
      </c>
      <c r="AJ374" s="19">
        <f t="shared" si="501"/>
        <v>279.995</v>
      </c>
      <c r="AK374" s="19">
        <f t="shared" si="501"/>
        <v>182.773</v>
      </c>
    </row>
    <row r="375" spans="5:37">
      <c r="E375">
        <v>18</v>
      </c>
      <c r="F375" s="13"/>
      <c r="G375" s="13">
        <f t="shared" si="478"/>
        <v>0</v>
      </c>
      <c r="H375" s="13">
        <f t="shared" si="479"/>
        <v>196.20000000000002</v>
      </c>
      <c r="I375" s="13">
        <f t="shared" si="480"/>
        <v>1000000</v>
      </c>
      <c r="J375" s="13">
        <f t="shared" si="462"/>
        <v>198.56</v>
      </c>
      <c r="K375" s="5">
        <f t="shared" si="463"/>
        <v>297.161</v>
      </c>
      <c r="L375" s="21">
        <f t="shared" si="464"/>
        <v>198560</v>
      </c>
      <c r="M375">
        <f t="shared" si="465"/>
        <v>297161</v>
      </c>
      <c r="N375">
        <f t="shared" si="481"/>
        <v>7.8843783199999996E-3</v>
      </c>
      <c r="O375">
        <f t="shared" si="482"/>
        <v>0.99993668971108074</v>
      </c>
      <c r="P375">
        <f t="shared" si="466"/>
        <v>7.8838791577306114E-6</v>
      </c>
      <c r="Q375">
        <f t="shared" si="459"/>
        <v>0.99992880583192301</v>
      </c>
      <c r="R375">
        <f t="shared" si="483"/>
        <v>279977.27343565406</v>
      </c>
      <c r="S375">
        <f t="shared" si="484"/>
        <v>9999.3668971108073</v>
      </c>
      <c r="T375">
        <f t="shared" si="467"/>
        <v>297139.84386982006</v>
      </c>
      <c r="U375" s="22">
        <f t="shared" si="460"/>
        <v>9999.2880583192309</v>
      </c>
      <c r="V375" s="1">
        <f t="shared" si="468"/>
        <v>0</v>
      </c>
      <c r="W375" s="1">
        <f t="shared" si="469"/>
        <v>0</v>
      </c>
      <c r="X375" s="1">
        <f t="shared" si="470"/>
        <v>-196.18757852131407</v>
      </c>
      <c r="Y375" s="1">
        <f t="shared" si="485"/>
        <v>-7.8838791577306111</v>
      </c>
      <c r="Z375" s="1">
        <f t="shared" si="471"/>
        <v>-204.07145767904467</v>
      </c>
      <c r="AA375" s="1">
        <f t="shared" si="472"/>
        <v>-17162.570434166002</v>
      </c>
      <c r="AB375" s="1">
        <f t="shared" si="473"/>
        <v>15948.715218302068</v>
      </c>
      <c r="AC375" s="1">
        <f t="shared" si="474"/>
        <v>-1417.9266735429792</v>
      </c>
      <c r="AD375" s="1">
        <f t="shared" si="475"/>
        <v>7.8838791576345102E-2</v>
      </c>
      <c r="AE375">
        <f t="shared" si="476"/>
        <v>-1417.8478347514028</v>
      </c>
      <c r="AG375" s="19">
        <v>18</v>
      </c>
      <c r="AH375" s="19">
        <f t="shared" ref="AH375:AK375" si="502">AH288</f>
        <v>0.93851632918836814</v>
      </c>
      <c r="AI375" s="19">
        <f t="shared" si="502"/>
        <v>7.3996177988187523E-3</v>
      </c>
      <c r="AJ375" s="19">
        <f t="shared" si="502"/>
        <v>297.161</v>
      </c>
      <c r="AK375" s="19">
        <f t="shared" si="502"/>
        <v>198.56</v>
      </c>
    </row>
    <row r="376" spans="5:37">
      <c r="E376">
        <v>19</v>
      </c>
      <c r="F376" s="13"/>
      <c r="G376" s="13">
        <f t="shared" si="478"/>
        <v>0</v>
      </c>
      <c r="H376" s="13">
        <f t="shared" si="479"/>
        <v>196.20000000000002</v>
      </c>
      <c r="I376" s="13">
        <f t="shared" si="480"/>
        <v>1000000</v>
      </c>
      <c r="J376" s="13">
        <f t="shared" si="462"/>
        <v>214.84399999999999</v>
      </c>
      <c r="K376" s="5">
        <f t="shared" si="463"/>
        <v>314.64499999999998</v>
      </c>
      <c r="L376" s="21">
        <f t="shared" si="464"/>
        <v>214844</v>
      </c>
      <c r="M376">
        <f t="shared" si="465"/>
        <v>314645</v>
      </c>
      <c r="N376">
        <f t="shared" si="481"/>
        <v>8.6227759800000005E-3</v>
      </c>
      <c r="O376">
        <f t="shared" si="482"/>
        <v>0.99992880583192301</v>
      </c>
      <c r="P376">
        <f t="shared" si="466"/>
        <v>8.6221620886375896E-6</v>
      </c>
      <c r="Q376">
        <f t="shared" si="459"/>
        <v>0.99992018366983437</v>
      </c>
      <c r="R376">
        <f t="shared" si="483"/>
        <v>297139.84386982006</v>
      </c>
      <c r="S376">
        <f t="shared" si="484"/>
        <v>9999.2880583192309</v>
      </c>
      <c r="T376">
        <f t="shared" si="467"/>
        <v>314619.88619079505</v>
      </c>
      <c r="U376" s="22">
        <f t="shared" si="460"/>
        <v>9999.201836698343</v>
      </c>
      <c r="V376" s="1">
        <f t="shared" si="468"/>
        <v>0</v>
      </c>
      <c r="W376" s="1">
        <f t="shared" si="469"/>
        <v>0</v>
      </c>
      <c r="X376" s="1">
        <f t="shared" si="470"/>
        <v>-196.18603170422332</v>
      </c>
      <c r="Y376" s="1">
        <f t="shared" si="485"/>
        <v>-8.6221620886375892</v>
      </c>
      <c r="Z376" s="1">
        <f t="shared" si="471"/>
        <v>-204.80819379286092</v>
      </c>
      <c r="AA376" s="1">
        <f t="shared" si="472"/>
        <v>-17480.042320974986</v>
      </c>
      <c r="AB376" s="1">
        <f t="shared" si="473"/>
        <v>16892.652256047662</v>
      </c>
      <c r="AC376" s="1">
        <f t="shared" si="474"/>
        <v>-792.19825872018555</v>
      </c>
      <c r="AD376" s="1">
        <f t="shared" si="475"/>
        <v>8.6221620887954487E-2</v>
      </c>
      <c r="AE376">
        <f t="shared" si="476"/>
        <v>-792.11203709929759</v>
      </c>
      <c r="AG376" s="19">
        <v>19</v>
      </c>
      <c r="AH376" s="19">
        <f t="shared" ref="AH376:AK376" si="503">AH289</f>
        <v>0.93111671138954943</v>
      </c>
      <c r="AI376" s="19">
        <f t="shared" si="503"/>
        <v>8.0288108135463995E-3</v>
      </c>
      <c r="AJ376" s="19">
        <f t="shared" si="503"/>
        <v>314.64499999999998</v>
      </c>
      <c r="AK376" s="19">
        <f t="shared" si="503"/>
        <v>214.84399999999999</v>
      </c>
    </row>
    <row r="377" spans="5:37">
      <c r="E377">
        <v>20</v>
      </c>
      <c r="F377" s="13"/>
      <c r="G377" s="13">
        <f t="shared" si="478"/>
        <v>0</v>
      </c>
      <c r="H377" s="13">
        <f t="shared" si="479"/>
        <v>196.20000000000002</v>
      </c>
      <c r="I377" s="13">
        <f t="shared" si="480"/>
        <v>1000000</v>
      </c>
      <c r="J377" s="13">
        <f t="shared" si="462"/>
        <v>231.64500000000001</v>
      </c>
      <c r="K377" s="5">
        <f t="shared" si="463"/>
        <v>332.459</v>
      </c>
      <c r="L377" s="21">
        <f t="shared" si="464"/>
        <v>231645</v>
      </c>
      <c r="M377">
        <f t="shared" si="465"/>
        <v>332459</v>
      </c>
      <c r="N377">
        <f t="shared" si="481"/>
        <v>9.4082497599999992E-3</v>
      </c>
      <c r="O377">
        <f t="shared" si="482"/>
        <v>0.99992018366983437</v>
      </c>
      <c r="P377">
        <f t="shared" si="466"/>
        <v>9.4074988280308749E-6</v>
      </c>
      <c r="Q377">
        <f t="shared" si="459"/>
        <v>0.99991077617100632</v>
      </c>
      <c r="R377">
        <f t="shared" si="483"/>
        <v>314619.88619079505</v>
      </c>
      <c r="S377">
        <f t="shared" si="484"/>
        <v>9999.201836698343</v>
      </c>
      <c r="T377">
        <f t="shared" si="467"/>
        <v>332429.33673503657</v>
      </c>
      <c r="U377" s="22">
        <f t="shared" si="460"/>
        <v>9999.1077617100636</v>
      </c>
      <c r="V377" s="1">
        <f t="shared" si="468"/>
        <v>0</v>
      </c>
      <c r="W377" s="1">
        <f t="shared" si="469"/>
        <v>0</v>
      </c>
      <c r="X377" s="1">
        <f t="shared" si="470"/>
        <v>-196.18434003602152</v>
      </c>
      <c r="Y377" s="1">
        <f t="shared" si="485"/>
        <v>-9.4074988280308744</v>
      </c>
      <c r="Z377" s="1">
        <f t="shared" si="471"/>
        <v>-205.59183886405239</v>
      </c>
      <c r="AA377" s="1">
        <f t="shared" si="472"/>
        <v>-17809.450544241525</v>
      </c>
      <c r="AB377" s="1">
        <f t="shared" si="473"/>
        <v>17854.049841512136</v>
      </c>
      <c r="AC377" s="1">
        <f t="shared" si="474"/>
        <v>-160.99254159344127</v>
      </c>
      <c r="AD377" s="1">
        <f t="shared" si="475"/>
        <v>9.407498827931704E-2</v>
      </c>
      <c r="AE377">
        <f t="shared" si="476"/>
        <v>-160.89846660516196</v>
      </c>
      <c r="AG377" s="19">
        <v>20</v>
      </c>
      <c r="AH377" s="19">
        <f t="shared" ref="AH377:AK377" si="504">AH290</f>
        <v>0.92308790057600298</v>
      </c>
      <c r="AI377" s="19">
        <f t="shared" si="504"/>
        <v>8.6846415190530834E-3</v>
      </c>
      <c r="AJ377" s="19">
        <f t="shared" si="504"/>
        <v>332.459</v>
      </c>
      <c r="AK377" s="19">
        <f t="shared" si="504"/>
        <v>231.64500000000001</v>
      </c>
    </row>
    <row r="378" spans="5:37">
      <c r="E378">
        <v>21</v>
      </c>
      <c r="F378" s="13"/>
      <c r="G378" s="13">
        <f t="shared" si="478"/>
        <v>0</v>
      </c>
      <c r="H378" s="13">
        <f t="shared" si="479"/>
        <v>196.20000000000002</v>
      </c>
      <c r="I378" s="13">
        <f t="shared" si="480"/>
        <v>1000000</v>
      </c>
      <c r="J378" s="13">
        <f t="shared" si="462"/>
        <v>248.96100000000001</v>
      </c>
      <c r="K378" s="5">
        <f t="shared" si="463"/>
        <v>350.58699999999999</v>
      </c>
      <c r="L378" s="21">
        <f t="shared" si="464"/>
        <v>248961</v>
      </c>
      <c r="M378">
        <f t="shared" si="465"/>
        <v>350587</v>
      </c>
      <c r="N378">
        <f t="shared" si="481"/>
        <v>1.02826451E-2</v>
      </c>
      <c r="O378">
        <f t="shared" si="482"/>
        <v>0.99991077617100632</v>
      </c>
      <c r="P378">
        <f t="shared" ref="P378:P432" si="505">N378*O378/1000</f>
        <v>1.0281727643031995E-5</v>
      </c>
      <c r="Q378">
        <f t="shared" ref="Q378:Q432" si="506">O378-SUM(P378:P378)</f>
        <v>0.99990049444336326</v>
      </c>
      <c r="R378">
        <f t="shared" si="483"/>
        <v>332429.33673503657</v>
      </c>
      <c r="S378">
        <f t="shared" si="484"/>
        <v>9999.1077617100636</v>
      </c>
      <c r="T378">
        <f t="shared" si="467"/>
        <v>350552.11464541539</v>
      </c>
      <c r="U378" s="22">
        <f t="shared" si="460"/>
        <v>9999.0049444336328</v>
      </c>
      <c r="V378" s="1">
        <f t="shared" si="468"/>
        <v>0</v>
      </c>
      <c r="W378" s="1">
        <f t="shared" si="469"/>
        <v>0</v>
      </c>
      <c r="X378" s="1">
        <f t="shared" si="470"/>
        <v>-196.18249428475147</v>
      </c>
      <c r="Y378" s="1">
        <f t="shared" si="485"/>
        <v>-10.281727643031994</v>
      </c>
      <c r="Z378" s="1">
        <f t="shared" si="471"/>
        <v>-206.46422192778346</v>
      </c>
      <c r="AA378" s="1">
        <f t="shared" si="472"/>
        <v>-18122.77791037882</v>
      </c>
      <c r="AB378" s="1">
        <f t="shared" si="473"/>
        <v>18833.564447321067</v>
      </c>
      <c r="AC378" s="1">
        <f t="shared" si="474"/>
        <v>504.32231501446222</v>
      </c>
      <c r="AD378" s="1">
        <f t="shared" si="475"/>
        <v>0.10281727643086924</v>
      </c>
      <c r="AE378">
        <f t="shared" si="476"/>
        <v>504.42513229089309</v>
      </c>
      <c r="AG378" s="19">
        <v>21</v>
      </c>
      <c r="AH378" s="19">
        <f t="shared" ref="AH378:AK378" si="507">AH291</f>
        <v>0.91440325905694986</v>
      </c>
      <c r="AI378" s="19">
        <f t="shared" si="507"/>
        <v>9.4024841911659763E-3</v>
      </c>
      <c r="AJ378" s="19">
        <f t="shared" si="507"/>
        <v>350.58699999999999</v>
      </c>
      <c r="AK378" s="19">
        <f t="shared" si="507"/>
        <v>248.96100000000001</v>
      </c>
    </row>
    <row r="379" spans="5:37">
      <c r="E379">
        <v>22</v>
      </c>
      <c r="F379" s="13"/>
      <c r="G379" s="13">
        <f t="shared" si="478"/>
        <v>0</v>
      </c>
      <c r="H379" s="13">
        <f t="shared" si="479"/>
        <v>196.20000000000002</v>
      </c>
      <c r="I379" s="13">
        <f t="shared" si="480"/>
        <v>1000000</v>
      </c>
      <c r="J379" s="13">
        <f t="shared" si="462"/>
        <v>266.76</v>
      </c>
      <c r="K379" s="5">
        <f t="shared" si="463"/>
        <v>368.99299999999999</v>
      </c>
      <c r="L379" s="21">
        <f t="shared" si="464"/>
        <v>266760</v>
      </c>
      <c r="M379">
        <f t="shared" si="465"/>
        <v>368993</v>
      </c>
      <c r="N379">
        <f t="shared" si="481"/>
        <v>1.129129456E-2</v>
      </c>
      <c r="O379">
        <f t="shared" si="482"/>
        <v>0.99990049444336326</v>
      </c>
      <c r="P379">
        <f t="shared" si="505"/>
        <v>1.1290171013449658E-5</v>
      </c>
      <c r="Q379">
        <f t="shared" si="506"/>
        <v>0.99988920427234984</v>
      </c>
      <c r="R379">
        <f t="shared" si="483"/>
        <v>350552.11464541539</v>
      </c>
      <c r="S379">
        <f t="shared" si="484"/>
        <v>9999.0049444336328</v>
      </c>
      <c r="T379">
        <f t="shared" si="467"/>
        <v>368952.11715206719</v>
      </c>
      <c r="U379" s="22">
        <f t="shared" si="460"/>
        <v>9998.8920427234989</v>
      </c>
      <c r="V379" s="1">
        <f t="shared" si="468"/>
        <v>0</v>
      </c>
      <c r="W379" s="1">
        <f t="shared" si="469"/>
        <v>0</v>
      </c>
      <c r="X379" s="1">
        <f t="shared" si="470"/>
        <v>-196.18047700978789</v>
      </c>
      <c r="Y379" s="1">
        <f t="shared" si="485"/>
        <v>-11.290171013449658</v>
      </c>
      <c r="Z379" s="1">
        <f t="shared" si="471"/>
        <v>-207.47064802323754</v>
      </c>
      <c r="AA379" s="1">
        <f t="shared" si="472"/>
        <v>-18400.002506651799</v>
      </c>
      <c r="AB379" s="1">
        <f t="shared" si="473"/>
        <v>19830.311577441698</v>
      </c>
      <c r="AC379" s="1">
        <f t="shared" si="474"/>
        <v>1222.8384227666611</v>
      </c>
      <c r="AD379" s="1">
        <f t="shared" si="475"/>
        <v>0.11290171013388317</v>
      </c>
      <c r="AE379">
        <f t="shared" si="476"/>
        <v>1222.951324476795</v>
      </c>
      <c r="AG379" s="19">
        <v>22</v>
      </c>
      <c r="AH379" s="19">
        <f t="shared" ref="AH379:AK379" si="508">AH292</f>
        <v>0.9050007748657839</v>
      </c>
      <c r="AI379" s="19">
        <f t="shared" si="508"/>
        <v>1.0218630326037811E-2</v>
      </c>
      <c r="AJ379" s="19">
        <f t="shared" si="508"/>
        <v>368.99299999999999</v>
      </c>
      <c r="AK379" s="19">
        <f t="shared" si="508"/>
        <v>266.76</v>
      </c>
    </row>
    <row r="380" spans="5:37">
      <c r="E380">
        <v>23</v>
      </c>
      <c r="F380" s="13"/>
      <c r="G380" s="13">
        <f t="shared" si="478"/>
        <v>0</v>
      </c>
      <c r="H380" s="13">
        <f t="shared" si="479"/>
        <v>196.20000000000002</v>
      </c>
      <c r="I380" s="13">
        <f t="shared" si="480"/>
        <v>1000000</v>
      </c>
      <c r="J380" s="13">
        <f t="shared" si="462"/>
        <v>285.06200000000001</v>
      </c>
      <c r="K380" s="5">
        <f t="shared" si="463"/>
        <v>387.68599999999998</v>
      </c>
      <c r="L380" s="21">
        <f t="shared" si="464"/>
        <v>285062</v>
      </c>
      <c r="M380">
        <f t="shared" si="465"/>
        <v>387686</v>
      </c>
      <c r="N380">
        <f t="shared" si="481"/>
        <v>1.236968642E-2</v>
      </c>
      <c r="O380">
        <f t="shared" si="482"/>
        <v>0.99988920427234984</v>
      </c>
      <c r="P380">
        <f t="shared" si="505"/>
        <v>1.236831591159229E-5</v>
      </c>
      <c r="Q380">
        <f t="shared" si="506"/>
        <v>0.99987683595643828</v>
      </c>
      <c r="R380">
        <f t="shared" si="483"/>
        <v>368952.11715206719</v>
      </c>
      <c r="S380">
        <f t="shared" si="484"/>
        <v>9998.8920427234989</v>
      </c>
      <c r="T380">
        <f t="shared" si="467"/>
        <v>387638.25102460774</v>
      </c>
      <c r="U380" s="22">
        <f t="shared" si="460"/>
        <v>9998.768359564383</v>
      </c>
      <c r="V380" s="1">
        <f t="shared" si="468"/>
        <v>0</v>
      </c>
      <c r="W380" s="1">
        <f t="shared" si="469"/>
        <v>0</v>
      </c>
      <c r="X380" s="1">
        <f t="shared" si="470"/>
        <v>-196.17826187823505</v>
      </c>
      <c r="Y380" s="1">
        <f t="shared" si="485"/>
        <v>-12.36831591159229</v>
      </c>
      <c r="Z380" s="1">
        <f t="shared" si="471"/>
        <v>-208.54657778982732</v>
      </c>
      <c r="AA380" s="1">
        <f t="shared" si="472"/>
        <v>-18686.133872540551</v>
      </c>
      <c r="AB380" s="1">
        <f t="shared" si="473"/>
        <v>20842.305505713488</v>
      </c>
      <c r="AC380" s="1">
        <f t="shared" si="474"/>
        <v>1947.6250553831087</v>
      </c>
      <c r="AD380" s="1">
        <f t="shared" si="475"/>
        <v>0.12368315911589889</v>
      </c>
      <c r="AE380">
        <f t="shared" si="476"/>
        <v>1947.7487385422246</v>
      </c>
      <c r="AG380" s="19">
        <v>23</v>
      </c>
      <c r="AH380" s="19">
        <f t="shared" ref="AH380:AK380" si="509">AH293</f>
        <v>0.89478214453974614</v>
      </c>
      <c r="AI380" s="19">
        <f t="shared" si="509"/>
        <v>1.1068174542171775E-2</v>
      </c>
      <c r="AJ380" s="19">
        <f t="shared" si="509"/>
        <v>387.68599999999998</v>
      </c>
      <c r="AK380" s="19">
        <f t="shared" si="509"/>
        <v>285.06200000000001</v>
      </c>
    </row>
    <row r="381" spans="5:37">
      <c r="E381">
        <v>24</v>
      </c>
      <c r="F381" s="13"/>
      <c r="G381" s="13">
        <f t="shared" si="478"/>
        <v>0</v>
      </c>
      <c r="H381" s="13">
        <f t="shared" si="479"/>
        <v>196.20000000000002</v>
      </c>
      <c r="I381" s="13">
        <f t="shared" si="480"/>
        <v>1000000</v>
      </c>
      <c r="J381" s="13">
        <f t="shared" si="462"/>
        <v>303.89800000000002</v>
      </c>
      <c r="K381" s="5">
        <f t="shared" si="463"/>
        <v>406.68200000000002</v>
      </c>
      <c r="L381" s="21">
        <f t="shared" si="464"/>
        <v>303898</v>
      </c>
      <c r="M381">
        <f t="shared" si="465"/>
        <v>406682</v>
      </c>
      <c r="N381">
        <f t="shared" si="481"/>
        <v>1.3515205339999999E-2</v>
      </c>
      <c r="O381">
        <f t="shared" si="482"/>
        <v>0.99987683595643828</v>
      </c>
      <c r="P381">
        <f t="shared" si="505"/>
        <v>1.3513540752660758E-5</v>
      </c>
      <c r="Q381">
        <f t="shared" si="506"/>
        <v>0.99986332241568565</v>
      </c>
      <c r="R381">
        <f t="shared" si="483"/>
        <v>387638.25102460774</v>
      </c>
      <c r="S381">
        <f t="shared" si="484"/>
        <v>9998.768359564383</v>
      </c>
      <c r="T381">
        <f t="shared" si="467"/>
        <v>406626.41568665585</v>
      </c>
      <c r="U381" s="22">
        <f t="shared" si="460"/>
        <v>9998.6332241568562</v>
      </c>
      <c r="V381" s="1">
        <f t="shared" si="468"/>
        <v>0</v>
      </c>
      <c r="W381" s="1">
        <f t="shared" si="469"/>
        <v>0</v>
      </c>
      <c r="X381" s="1">
        <f t="shared" si="470"/>
        <v>-196.1758352146532</v>
      </c>
      <c r="Y381" s="1">
        <f t="shared" si="485"/>
        <v>-13.513540752660758</v>
      </c>
      <c r="Z381" s="1">
        <f t="shared" si="471"/>
        <v>-209.68937596731396</v>
      </c>
      <c r="AA381" s="1">
        <f t="shared" si="472"/>
        <v>-18988.164662048104</v>
      </c>
      <c r="AB381" s="1">
        <f t="shared" si="473"/>
        <v>21870.036066129465</v>
      </c>
      <c r="AC381" s="1">
        <f t="shared" si="474"/>
        <v>2672.1820281140463</v>
      </c>
      <c r="AD381" s="1">
        <f t="shared" si="475"/>
        <v>0.13513540752683184</v>
      </c>
      <c r="AE381">
        <f t="shared" si="476"/>
        <v>2672.3171635215731</v>
      </c>
      <c r="AG381" s="19">
        <v>24</v>
      </c>
      <c r="AH381" s="19">
        <f t="shared" ref="AH381:AK381" si="510">AH294</f>
        <v>0.88371396999757434</v>
      </c>
      <c r="AI381" s="19">
        <f t="shared" si="510"/>
        <v>1.1943575766343816E-2</v>
      </c>
      <c r="AJ381" s="19">
        <f t="shared" si="510"/>
        <v>406.68200000000002</v>
      </c>
      <c r="AK381" s="19">
        <f t="shared" si="510"/>
        <v>303.89800000000002</v>
      </c>
    </row>
    <row r="382" spans="5:37">
      <c r="E382">
        <v>25</v>
      </c>
      <c r="F382" s="13"/>
      <c r="G382" s="13">
        <f t="shared" si="478"/>
        <v>0</v>
      </c>
      <c r="H382" s="13">
        <f t="shared" si="479"/>
        <v>196.20000000000002</v>
      </c>
      <c r="I382" s="13">
        <f t="shared" si="480"/>
        <v>1000000</v>
      </c>
      <c r="J382" s="13">
        <f t="shared" si="462"/>
        <v>323.25200000000001</v>
      </c>
      <c r="K382" s="5">
        <f t="shared" si="463"/>
        <v>425.95800000000003</v>
      </c>
      <c r="L382" s="21">
        <f t="shared" si="464"/>
        <v>323252</v>
      </c>
      <c r="M382">
        <f t="shared" si="465"/>
        <v>425958</v>
      </c>
      <c r="N382">
        <f t="shared" si="481"/>
        <v>1.4805439740000001E-2</v>
      </c>
      <c r="O382">
        <f t="shared" si="482"/>
        <v>0.99986332241568565</v>
      </c>
      <c r="P382">
        <f t="shared" si="505"/>
        <v>1.4803416168261625E-5</v>
      </c>
      <c r="Q382">
        <f t="shared" si="506"/>
        <v>0.99984851899951743</v>
      </c>
      <c r="R382">
        <f t="shared" si="483"/>
        <v>406626.41568665585</v>
      </c>
      <c r="S382">
        <f t="shared" si="484"/>
        <v>9998.6332241568562</v>
      </c>
      <c r="T382">
        <f t="shared" si="467"/>
        <v>425893.47545599646</v>
      </c>
      <c r="U382" s="22">
        <f t="shared" si="460"/>
        <v>9998.4851899951736</v>
      </c>
      <c r="V382" s="1">
        <f t="shared" si="468"/>
        <v>0</v>
      </c>
      <c r="W382" s="1">
        <f t="shared" si="469"/>
        <v>0</v>
      </c>
      <c r="X382" s="1">
        <f t="shared" si="470"/>
        <v>-196.17318385795755</v>
      </c>
      <c r="Y382" s="1">
        <f t="shared" si="485"/>
        <v>-14.803416168261625</v>
      </c>
      <c r="Z382" s="1">
        <f t="shared" si="471"/>
        <v>-210.97660002621919</v>
      </c>
      <c r="AA382" s="1">
        <f t="shared" si="472"/>
        <v>-19267.059769340616</v>
      </c>
      <c r="AB382" s="1">
        <f t="shared" si="473"/>
        <v>22914.377690094698</v>
      </c>
      <c r="AC382" s="1">
        <f t="shared" si="474"/>
        <v>3436.3413207278609</v>
      </c>
      <c r="AD382" s="1">
        <f t="shared" si="475"/>
        <v>0.14803416168251715</v>
      </c>
      <c r="AE382">
        <f t="shared" si="476"/>
        <v>3436.4893548895434</v>
      </c>
      <c r="AG382" s="19">
        <v>25</v>
      </c>
      <c r="AH382" s="19">
        <f t="shared" ref="AH382:AK382" si="511">AH295</f>
        <v>0.87177039423123048</v>
      </c>
      <c r="AI382" s="19">
        <f t="shared" si="511"/>
        <v>1.2906944038906527E-2</v>
      </c>
      <c r="AJ382" s="19">
        <f t="shared" si="511"/>
        <v>425.95800000000003</v>
      </c>
      <c r="AK382" s="19">
        <f t="shared" si="511"/>
        <v>323.25200000000001</v>
      </c>
    </row>
    <row r="383" spans="5:37">
      <c r="E383">
        <v>26</v>
      </c>
      <c r="F383" s="13"/>
      <c r="G383" s="13">
        <f t="shared" si="478"/>
        <v>0</v>
      </c>
      <c r="H383" s="13">
        <f t="shared" si="479"/>
        <v>196.20000000000002</v>
      </c>
      <c r="I383" s="13">
        <f t="shared" si="480"/>
        <v>1000000</v>
      </c>
      <c r="J383" s="13">
        <f t="shared" si="462"/>
        <v>343.10500000000002</v>
      </c>
      <c r="K383" s="5">
        <f t="shared" si="463"/>
        <v>445.488</v>
      </c>
      <c r="L383" s="21">
        <f t="shared" si="464"/>
        <v>343105</v>
      </c>
      <c r="M383">
        <f t="shared" si="465"/>
        <v>445488</v>
      </c>
      <c r="N383">
        <f t="shared" si="481"/>
        <v>1.6260440559999999E-2</v>
      </c>
      <c r="O383">
        <f t="shared" si="482"/>
        <v>0.99984851899951743</v>
      </c>
      <c r="P383">
        <f t="shared" si="505"/>
        <v>1.6257977412195685E-5</v>
      </c>
      <c r="Q383">
        <f t="shared" si="506"/>
        <v>0.99983226102210521</v>
      </c>
      <c r="R383">
        <f t="shared" si="483"/>
        <v>425893.47545599646</v>
      </c>
      <c r="S383">
        <f t="shared" si="484"/>
        <v>9998.4851899951736</v>
      </c>
      <c r="T383">
        <f t="shared" si="467"/>
        <v>445413.27429821558</v>
      </c>
      <c r="U383" s="22">
        <f t="shared" si="460"/>
        <v>9998.3226102210519</v>
      </c>
      <c r="V383" s="1">
        <f t="shared" si="468"/>
        <v>0</v>
      </c>
      <c r="W383" s="1">
        <f t="shared" si="469"/>
        <v>0</v>
      </c>
      <c r="X383" s="1">
        <f t="shared" si="470"/>
        <v>-196.17027942770534</v>
      </c>
      <c r="Y383" s="1">
        <f t="shared" si="485"/>
        <v>-16.257977412195686</v>
      </c>
      <c r="Z383" s="1">
        <f t="shared" si="471"/>
        <v>-212.42825683990102</v>
      </c>
      <c r="AA383" s="1">
        <f t="shared" si="472"/>
        <v>-19519.798842219112</v>
      </c>
      <c r="AB383" s="1">
        <f t="shared" si="473"/>
        <v>23974.05783552954</v>
      </c>
      <c r="AC383" s="1">
        <f t="shared" si="474"/>
        <v>4241.8307364705288</v>
      </c>
      <c r="AD383" s="1">
        <f t="shared" si="475"/>
        <v>0.16257977412169566</v>
      </c>
      <c r="AE383">
        <f t="shared" si="476"/>
        <v>4241.9933162446505</v>
      </c>
      <c r="AG383" s="19">
        <v>26</v>
      </c>
      <c r="AH383" s="19">
        <f t="shared" ref="AH383:AK383" si="512">AH296</f>
        <v>0.85886345019232391</v>
      </c>
      <c r="AI383" s="19">
        <f t="shared" si="512"/>
        <v>1.3965498081008802E-2</v>
      </c>
      <c r="AJ383" s="19">
        <f t="shared" si="512"/>
        <v>445.488</v>
      </c>
      <c r="AK383" s="19">
        <f t="shared" si="512"/>
        <v>343.10500000000002</v>
      </c>
    </row>
    <row r="384" spans="5:37">
      <c r="E384">
        <v>27</v>
      </c>
      <c r="F384" s="13"/>
      <c r="G384" s="13">
        <f t="shared" si="478"/>
        <v>0</v>
      </c>
      <c r="H384" s="13">
        <f t="shared" si="479"/>
        <v>196.20000000000002</v>
      </c>
      <c r="I384" s="13">
        <f t="shared" si="480"/>
        <v>1000000</v>
      </c>
      <c r="J384" s="13">
        <f t="shared" si="462"/>
        <v>363.42099999999999</v>
      </c>
      <c r="K384" s="5">
        <f t="shared" si="463"/>
        <v>465.22899999999998</v>
      </c>
      <c r="L384" s="21">
        <f t="shared" si="464"/>
        <v>363421</v>
      </c>
      <c r="M384">
        <f t="shared" si="465"/>
        <v>465229</v>
      </c>
      <c r="N384">
        <f t="shared" si="481"/>
        <v>1.7925540359999999E-2</v>
      </c>
      <c r="O384">
        <f t="shared" si="482"/>
        <v>0.99983226102210521</v>
      </c>
      <c r="P384">
        <f t="shared" si="505"/>
        <v>1.79225335481818E-5</v>
      </c>
      <c r="Q384">
        <f t="shared" si="506"/>
        <v>0.99981433848855705</v>
      </c>
      <c r="R384">
        <f t="shared" si="483"/>
        <v>445413.27429821558</v>
      </c>
      <c r="S384">
        <f t="shared" si="484"/>
        <v>9998.3226102210519</v>
      </c>
      <c r="T384">
        <f t="shared" si="467"/>
        <v>465142.62488069292</v>
      </c>
      <c r="U384" s="22">
        <f t="shared" si="460"/>
        <v>9998.1433848855704</v>
      </c>
      <c r="V384" s="1">
        <f t="shared" si="468"/>
        <v>0</v>
      </c>
      <c r="W384" s="1">
        <f t="shared" si="469"/>
        <v>0</v>
      </c>
      <c r="X384" s="1">
        <f t="shared" si="470"/>
        <v>-196.16708961253707</v>
      </c>
      <c r="Y384" s="1">
        <f t="shared" si="485"/>
        <v>-17.9225335481818</v>
      </c>
      <c r="Z384" s="1">
        <f t="shared" si="471"/>
        <v>-214.08962316071887</v>
      </c>
      <c r="AA384" s="1">
        <f t="shared" si="472"/>
        <v>-19729.350582477346</v>
      </c>
      <c r="AB384" s="1">
        <f t="shared" si="473"/>
        <v>25047.637829964013</v>
      </c>
      <c r="AC384" s="1">
        <f t="shared" si="474"/>
        <v>5104.1976243259487</v>
      </c>
      <c r="AD384" s="1">
        <f t="shared" si="475"/>
        <v>0.17922533548153297</v>
      </c>
      <c r="AE384">
        <f t="shared" si="476"/>
        <v>5104.3768496614302</v>
      </c>
      <c r="AG384" s="19">
        <v>27</v>
      </c>
      <c r="AH384" s="19">
        <f t="shared" ref="AH384:AK384" si="513">AH297</f>
        <v>0.84489795211131513</v>
      </c>
      <c r="AI384" s="19">
        <f t="shared" si="513"/>
        <v>1.5145252340652726E-2</v>
      </c>
      <c r="AJ384" s="19">
        <f t="shared" si="513"/>
        <v>465.22899999999998</v>
      </c>
      <c r="AK384" s="19">
        <f t="shared" si="513"/>
        <v>363.42099999999999</v>
      </c>
    </row>
    <row r="385" spans="5:37">
      <c r="E385">
        <v>28</v>
      </c>
      <c r="F385" s="13"/>
      <c r="G385" s="13">
        <f t="shared" si="478"/>
        <v>0</v>
      </c>
      <c r="H385" s="13">
        <f t="shared" si="479"/>
        <v>196.20000000000002</v>
      </c>
      <c r="I385" s="13">
        <f t="shared" si="480"/>
        <v>1000000</v>
      </c>
      <c r="J385" s="13">
        <f t="shared" si="462"/>
        <v>384.14299999999997</v>
      </c>
      <c r="K385" s="5">
        <f t="shared" si="463"/>
        <v>485.12700000000001</v>
      </c>
      <c r="L385" s="21">
        <f t="shared" si="464"/>
        <v>384143</v>
      </c>
      <c r="M385">
        <f t="shared" si="465"/>
        <v>485127</v>
      </c>
      <c r="N385">
        <f t="shared" si="481"/>
        <v>1.984694348E-2</v>
      </c>
      <c r="O385">
        <f t="shared" si="482"/>
        <v>0.99981433848855705</v>
      </c>
      <c r="P385">
        <f t="shared" si="505"/>
        <v>1.9843258666475981E-5</v>
      </c>
      <c r="Q385">
        <f t="shared" si="506"/>
        <v>0.99979449522989061</v>
      </c>
      <c r="R385">
        <f t="shared" si="483"/>
        <v>465142.62488069292</v>
      </c>
      <c r="S385">
        <f t="shared" si="484"/>
        <v>9998.1433848855704</v>
      </c>
      <c r="T385">
        <f t="shared" si="467"/>
        <v>485027.30408739112</v>
      </c>
      <c r="U385" s="22">
        <f t="shared" si="460"/>
        <v>9997.9449522989053</v>
      </c>
      <c r="V385" s="1">
        <f t="shared" si="468"/>
        <v>0</v>
      </c>
      <c r="W385" s="1">
        <f t="shared" si="469"/>
        <v>0</v>
      </c>
      <c r="X385" s="1">
        <f t="shared" si="470"/>
        <v>-196.16357321145492</v>
      </c>
      <c r="Y385" s="1">
        <f t="shared" si="485"/>
        <v>-19.843258666475982</v>
      </c>
      <c r="Z385" s="1">
        <f t="shared" si="471"/>
        <v>-216.00683187793089</v>
      </c>
      <c r="AA385" s="1">
        <f t="shared" si="472"/>
        <v>-19884.679206698202</v>
      </c>
      <c r="AB385" s="1">
        <f t="shared" si="473"/>
        <v>26132.742254606816</v>
      </c>
      <c r="AC385" s="1">
        <f t="shared" si="474"/>
        <v>6032.0562160306836</v>
      </c>
      <c r="AD385" s="1">
        <f t="shared" si="475"/>
        <v>0.19843258666514885</v>
      </c>
      <c r="AE385">
        <f t="shared" si="476"/>
        <v>6032.2546486173487</v>
      </c>
      <c r="AG385" s="19">
        <v>28</v>
      </c>
      <c r="AH385" s="19">
        <f t="shared" ref="AH385:AK385" si="514">AH298</f>
        <v>0.82975269977066235</v>
      </c>
      <c r="AI385" s="19">
        <f t="shared" si="514"/>
        <v>1.6468054934725744E-2</v>
      </c>
      <c r="AJ385" s="19">
        <f t="shared" si="514"/>
        <v>485.12700000000001</v>
      </c>
      <c r="AK385" s="19">
        <f t="shared" si="514"/>
        <v>384.14299999999997</v>
      </c>
    </row>
    <row r="386" spans="5:37">
      <c r="E386">
        <v>29</v>
      </c>
      <c r="F386" s="13"/>
      <c r="G386" s="13">
        <f t="shared" si="478"/>
        <v>0</v>
      </c>
      <c r="H386" s="13">
        <f t="shared" si="479"/>
        <v>196.20000000000002</v>
      </c>
      <c r="I386" s="13">
        <f t="shared" si="480"/>
        <v>1000000</v>
      </c>
      <c r="J386" s="13">
        <f t="shared" si="462"/>
        <v>405.209</v>
      </c>
      <c r="K386" s="5">
        <f t="shared" si="463"/>
        <v>505.12099999999998</v>
      </c>
      <c r="L386" s="21">
        <f t="shared" si="464"/>
        <v>405209</v>
      </c>
      <c r="M386">
        <f t="shared" si="465"/>
        <v>505121</v>
      </c>
      <c r="N386">
        <f t="shared" si="481"/>
        <v>2.2062136459999999E-2</v>
      </c>
      <c r="O386">
        <f t="shared" si="482"/>
        <v>0.99979449522989061</v>
      </c>
      <c r="P386">
        <f t="shared" si="505"/>
        <v>2.2057602585718664E-5</v>
      </c>
      <c r="Q386">
        <f t="shared" si="506"/>
        <v>0.99977243762730494</v>
      </c>
      <c r="R386">
        <f t="shared" si="483"/>
        <v>485027.30408739112</v>
      </c>
      <c r="S386">
        <f t="shared" si="484"/>
        <v>9997.9449522989053</v>
      </c>
      <c r="T386">
        <f t="shared" si="467"/>
        <v>505006.05346674193</v>
      </c>
      <c r="U386" s="22">
        <f t="shared" si="460"/>
        <v>9997.7243762730486</v>
      </c>
      <c r="V386" s="1">
        <f t="shared" si="468"/>
        <v>0</v>
      </c>
      <c r="W386" s="1">
        <f t="shared" si="469"/>
        <v>0</v>
      </c>
      <c r="X386" s="1">
        <f t="shared" si="470"/>
        <v>-196.15967996410455</v>
      </c>
      <c r="Y386" s="1">
        <f t="shared" si="485"/>
        <v>-22.057602585718666</v>
      </c>
      <c r="Z386" s="1">
        <f t="shared" si="471"/>
        <v>-218.21728254982321</v>
      </c>
      <c r="AA386" s="1">
        <f t="shared" si="472"/>
        <v>-19978.749379350804</v>
      </c>
      <c r="AB386" s="1">
        <f t="shared" si="473"/>
        <v>27226.388697182952</v>
      </c>
      <c r="AC386" s="1">
        <f t="shared" si="474"/>
        <v>7029.4220352823249</v>
      </c>
      <c r="AD386" s="1">
        <f t="shared" si="475"/>
        <v>0.22057602585664426</v>
      </c>
      <c r="AE386">
        <f t="shared" si="476"/>
        <v>7029.6426113081816</v>
      </c>
      <c r="AG386" s="19">
        <v>29</v>
      </c>
      <c r="AH386" s="19">
        <f t="shared" ref="AH386:AK386" si="515">AH299</f>
        <v>0.81328464483593665</v>
      </c>
      <c r="AI386" s="19">
        <f t="shared" si="515"/>
        <v>1.794279681519307E-2</v>
      </c>
      <c r="AJ386" s="19">
        <f t="shared" si="515"/>
        <v>505.12099999999998</v>
      </c>
      <c r="AK386" s="19">
        <f t="shared" si="515"/>
        <v>405.209</v>
      </c>
    </row>
    <row r="387" spans="5:37">
      <c r="E387">
        <v>30</v>
      </c>
      <c r="F387" s="13"/>
      <c r="G387" s="13">
        <f t="shared" si="478"/>
        <v>0</v>
      </c>
      <c r="H387" s="13">
        <f t="shared" si="479"/>
        <v>196.20000000000002</v>
      </c>
      <c r="I387" s="13">
        <f t="shared" si="480"/>
        <v>1000000</v>
      </c>
      <c r="J387" s="13">
        <f t="shared" si="462"/>
        <v>426.49599999999998</v>
      </c>
      <c r="K387" s="5">
        <f t="shared" si="463"/>
        <v>525.10299999999995</v>
      </c>
      <c r="L387" s="21">
        <f t="shared" si="464"/>
        <v>426496</v>
      </c>
      <c r="M387">
        <f t="shared" si="465"/>
        <v>525102.99999999988</v>
      </c>
      <c r="N387">
        <f t="shared" si="481"/>
        <v>2.4701014520000002E-2</v>
      </c>
      <c r="O387">
        <f t="shared" si="482"/>
        <v>0.99977243762730494</v>
      </c>
      <c r="P387">
        <f t="shared" si="505"/>
        <v>2.4695393498527853E-5</v>
      </c>
      <c r="Q387">
        <f t="shared" si="506"/>
        <v>0.99974774223380647</v>
      </c>
      <c r="R387">
        <f t="shared" si="483"/>
        <v>505006.05346674193</v>
      </c>
      <c r="S387">
        <f t="shared" si="484"/>
        <v>9997.7243762730486</v>
      </c>
      <c r="T387">
        <f t="shared" si="467"/>
        <v>524970.53869019833</v>
      </c>
      <c r="U387" s="22">
        <f t="shared" si="460"/>
        <v>9997.4774223380646</v>
      </c>
      <c r="V387" s="1">
        <f t="shared" si="468"/>
        <v>0</v>
      </c>
      <c r="W387" s="1">
        <f t="shared" si="469"/>
        <v>0</v>
      </c>
      <c r="X387" s="1">
        <f t="shared" si="470"/>
        <v>-196.15535226247724</v>
      </c>
      <c r="Y387" s="1">
        <f t="shared" si="485"/>
        <v>-24.695393498527853</v>
      </c>
      <c r="Z387" s="1">
        <f t="shared" si="471"/>
        <v>-220.8507457610051</v>
      </c>
      <c r="AA387" s="1">
        <f t="shared" si="472"/>
        <v>-19964.485223456402</v>
      </c>
      <c r="AB387" s="1">
        <f t="shared" si="473"/>
        <v>28325.207781365825</v>
      </c>
      <c r="AC387" s="1">
        <f t="shared" si="474"/>
        <v>8139.8718121484162</v>
      </c>
      <c r="AD387" s="1">
        <f t="shared" si="475"/>
        <v>0.24695393498404883</v>
      </c>
      <c r="AE387">
        <f t="shared" si="476"/>
        <v>8140.1187660834003</v>
      </c>
      <c r="AG387" s="19">
        <v>30</v>
      </c>
      <c r="AH387" s="19">
        <f t="shared" ref="AH387:AK387" si="516">AH300</f>
        <v>0.79534184802074359</v>
      </c>
      <c r="AI387" s="19">
        <f t="shared" si="516"/>
        <v>1.9645750536324023E-2</v>
      </c>
      <c r="AJ387" s="19">
        <f t="shared" si="516"/>
        <v>525.10299999999995</v>
      </c>
      <c r="AK387" s="19">
        <f t="shared" si="516"/>
        <v>426.49599999999998</v>
      </c>
    </row>
    <row r="388" spans="5:37">
      <c r="E388">
        <v>31</v>
      </c>
      <c r="F388" s="13"/>
      <c r="G388" s="13">
        <f t="shared" si="478"/>
        <v>0</v>
      </c>
      <c r="H388" s="13">
        <f t="shared" si="479"/>
        <v>196.20000000000002</v>
      </c>
      <c r="I388" s="13">
        <f t="shared" si="480"/>
        <v>1000000</v>
      </c>
      <c r="J388" s="13">
        <f t="shared" si="462"/>
        <v>447.90800000000002</v>
      </c>
      <c r="K388" s="5">
        <f t="shared" si="463"/>
        <v>544.99099999999999</v>
      </c>
      <c r="L388" s="21">
        <f t="shared" si="464"/>
        <v>447908</v>
      </c>
      <c r="M388">
        <f t="shared" si="465"/>
        <v>544991</v>
      </c>
      <c r="N388">
        <f t="shared" si="481"/>
        <v>2.77443985E-2</v>
      </c>
      <c r="O388">
        <f t="shared" si="482"/>
        <v>0.99974774223380647</v>
      </c>
      <c r="P388">
        <f t="shared" si="505"/>
        <v>2.7737399760010006E-5</v>
      </c>
      <c r="Q388">
        <f t="shared" si="506"/>
        <v>0.99972000483404644</v>
      </c>
      <c r="R388">
        <f t="shared" si="483"/>
        <v>524970.53869019833</v>
      </c>
      <c r="S388">
        <f t="shared" si="484"/>
        <v>9997.4774223380646</v>
      </c>
      <c r="T388">
        <f t="shared" si="467"/>
        <v>544838.4051545118</v>
      </c>
      <c r="U388" s="22">
        <f t="shared" si="460"/>
        <v>9997.2000483404645</v>
      </c>
      <c r="V388" s="1">
        <f t="shared" si="468"/>
        <v>0</v>
      </c>
      <c r="W388" s="1">
        <f t="shared" si="469"/>
        <v>0</v>
      </c>
      <c r="X388" s="1">
        <f t="shared" si="470"/>
        <v>-196.15050702627283</v>
      </c>
      <c r="Y388" s="1">
        <f t="shared" si="485"/>
        <v>-27.737399760010007</v>
      </c>
      <c r="Z388" s="1">
        <f t="shared" si="471"/>
        <v>-223.88790678628283</v>
      </c>
      <c r="AA388" s="1">
        <f t="shared" si="472"/>
        <v>-19867.866464313469</v>
      </c>
      <c r="AB388" s="1">
        <f t="shared" si="473"/>
        <v>29423.240886189502</v>
      </c>
      <c r="AC388" s="1">
        <f t="shared" si="474"/>
        <v>9331.4865150897494</v>
      </c>
      <c r="AD388" s="1">
        <f t="shared" si="475"/>
        <v>0.27737399760007975</v>
      </c>
      <c r="AE388">
        <f t="shared" si="476"/>
        <v>9331.7638890873495</v>
      </c>
      <c r="AG388" s="19">
        <v>31</v>
      </c>
      <c r="AH388" s="19">
        <f t="shared" ref="AH388:AK388" si="517">AH301</f>
        <v>0.77569609748441959</v>
      </c>
      <c r="AI388" s="19">
        <f t="shared" si="517"/>
        <v>2.1521221643502585E-2</v>
      </c>
      <c r="AJ388" s="19">
        <f t="shared" si="517"/>
        <v>544.99099999999999</v>
      </c>
      <c r="AK388" s="19">
        <f t="shared" si="517"/>
        <v>447.90800000000002</v>
      </c>
    </row>
    <row r="389" spans="5:37">
      <c r="E389">
        <v>32</v>
      </c>
      <c r="F389" s="13"/>
      <c r="G389" s="13">
        <f t="shared" si="478"/>
        <v>0</v>
      </c>
      <c r="H389" s="13">
        <f t="shared" si="479"/>
        <v>196.20000000000002</v>
      </c>
      <c r="I389" s="13">
        <f t="shared" si="480"/>
        <v>1000000</v>
      </c>
      <c r="J389" s="13">
        <f t="shared" si="462"/>
        <v>469.34500000000003</v>
      </c>
      <c r="K389" s="5">
        <f t="shared" si="463"/>
        <v>564.70000000000005</v>
      </c>
      <c r="L389" s="21">
        <f t="shared" si="464"/>
        <v>469345</v>
      </c>
      <c r="M389">
        <f t="shared" si="465"/>
        <v>564700</v>
      </c>
      <c r="N389">
        <f t="shared" si="481"/>
        <v>3.1239364519999997E-2</v>
      </c>
      <c r="O389">
        <f t="shared" si="482"/>
        <v>0.99972000483404644</v>
      </c>
      <c r="P389">
        <f t="shared" si="505"/>
        <v>3.1230617648946939E-5</v>
      </c>
      <c r="Q389">
        <f t="shared" si="506"/>
        <v>0.99968877421639746</v>
      </c>
      <c r="R389">
        <f t="shared" si="483"/>
        <v>544838.4051545118</v>
      </c>
      <c r="S389">
        <f t="shared" si="484"/>
        <v>9997.2000483404645</v>
      </c>
      <c r="T389">
        <f t="shared" si="467"/>
        <v>564524.25079999969</v>
      </c>
      <c r="U389" s="22">
        <f t="shared" ref="U389:U420" si="518">$B$11*I389*Q389</f>
        <v>9996.8877421639754</v>
      </c>
      <c r="V389" s="1">
        <f t="shared" si="468"/>
        <v>0</v>
      </c>
      <c r="W389" s="1">
        <f t="shared" si="469"/>
        <v>0</v>
      </c>
      <c r="X389" s="1">
        <f t="shared" si="470"/>
        <v>-196.14506494843994</v>
      </c>
      <c r="Y389" s="1">
        <f t="shared" si="485"/>
        <v>-31.230617648946939</v>
      </c>
      <c r="Z389" s="1">
        <f t="shared" si="471"/>
        <v>-227.37568259738688</v>
      </c>
      <c r="AA389" s="1">
        <f t="shared" si="472"/>
        <v>-19685.845645487891</v>
      </c>
      <c r="AB389" s="1">
        <f t="shared" si="473"/>
        <v>30515.958286156874</v>
      </c>
      <c r="AC389" s="1">
        <f t="shared" si="474"/>
        <v>10602.736958071597</v>
      </c>
      <c r="AD389" s="1">
        <f t="shared" si="475"/>
        <v>0.31230617648907355</v>
      </c>
      <c r="AE389">
        <f t="shared" si="476"/>
        <v>10603.049264248086</v>
      </c>
      <c r="AG389" s="19">
        <v>32</v>
      </c>
      <c r="AH389" s="19">
        <f t="shared" ref="AH389:AK389" si="519">AH302</f>
        <v>0.75417487584091703</v>
      </c>
      <c r="AI389" s="19">
        <f t="shared" si="519"/>
        <v>2.3559943858220148E-2</v>
      </c>
      <c r="AJ389" s="19">
        <f t="shared" si="519"/>
        <v>564.70000000000005</v>
      </c>
      <c r="AK389" s="19">
        <f t="shared" si="519"/>
        <v>469.34500000000003</v>
      </c>
    </row>
    <row r="390" spans="5:37">
      <c r="E390">
        <v>33</v>
      </c>
      <c r="F390" s="13"/>
      <c r="G390" s="13">
        <f t="shared" si="478"/>
        <v>0</v>
      </c>
      <c r="H390" s="13">
        <f t="shared" si="479"/>
        <v>196.20000000000002</v>
      </c>
      <c r="I390" s="13">
        <f t="shared" si="480"/>
        <v>1000000</v>
      </c>
      <c r="J390" s="13">
        <f t="shared" si="462"/>
        <v>490.67899999999997</v>
      </c>
      <c r="K390" s="5">
        <f t="shared" si="463"/>
        <v>584.125</v>
      </c>
      <c r="L390" s="21">
        <f t="shared" si="464"/>
        <v>490679</v>
      </c>
      <c r="M390">
        <f t="shared" si="465"/>
        <v>584125</v>
      </c>
      <c r="N390">
        <f t="shared" si="481"/>
        <v>3.5276577699999999E-2</v>
      </c>
      <c r="O390">
        <f t="shared" si="482"/>
        <v>0.99968877421639746</v>
      </c>
      <c r="P390">
        <f t="shared" si="505"/>
        <v>3.5265598719462499E-5</v>
      </c>
      <c r="Q390">
        <f t="shared" si="506"/>
        <v>0.99965350861767799</v>
      </c>
      <c r="R390">
        <f t="shared" si="483"/>
        <v>564524.25079999969</v>
      </c>
      <c r="S390">
        <f t="shared" si="484"/>
        <v>9996.8877421639754</v>
      </c>
      <c r="T390">
        <f t="shared" si="467"/>
        <v>583922.60572130117</v>
      </c>
      <c r="U390" s="22">
        <f t="shared" si="518"/>
        <v>9996.5350861767802</v>
      </c>
      <c r="V390" s="1">
        <f t="shared" si="468"/>
        <v>0</v>
      </c>
      <c r="W390" s="1">
        <f t="shared" si="469"/>
        <v>0</v>
      </c>
      <c r="X390" s="1">
        <f t="shared" si="470"/>
        <v>-196.1389375012572</v>
      </c>
      <c r="Y390" s="1">
        <f t="shared" si="485"/>
        <v>-35.265598719462496</v>
      </c>
      <c r="Z390" s="1">
        <f t="shared" si="471"/>
        <v>-231.40453622071971</v>
      </c>
      <c r="AA390" s="1">
        <f t="shared" si="472"/>
        <v>-19398.354921301478</v>
      </c>
      <c r="AB390" s="1">
        <f t="shared" ref="AB390:AB421" si="520">$B$12*SUM(R390:S390,V390:W390)</f>
        <v>31598.662619819002</v>
      </c>
      <c r="AC390" s="1">
        <f t="shared" si="474"/>
        <v>11968.903162296807</v>
      </c>
      <c r="AD390" s="1">
        <f t="shared" si="475"/>
        <v>0.3526559871952486</v>
      </c>
      <c r="AE390">
        <f t="shared" si="476"/>
        <v>11969.255818284002</v>
      </c>
      <c r="AG390" s="19">
        <v>33</v>
      </c>
      <c r="AH390" s="19">
        <f t="shared" ref="AH390:AK390" si="521">AH303</f>
        <v>0.73061493198269689</v>
      </c>
      <c r="AI390" s="19">
        <f t="shared" si="521"/>
        <v>2.5773594416867822E-2</v>
      </c>
      <c r="AJ390" s="19">
        <f t="shared" si="521"/>
        <v>584.125</v>
      </c>
      <c r="AK390" s="19">
        <f t="shared" si="521"/>
        <v>490.67899999999997</v>
      </c>
    </row>
    <row r="391" spans="5:37">
      <c r="E391">
        <v>34</v>
      </c>
      <c r="F391" s="13"/>
      <c r="G391" s="13">
        <f t="shared" ref="G391:G422" si="522">F391*$B$15</f>
        <v>0</v>
      </c>
      <c r="H391" s="13">
        <f t="shared" ref="H391:H422" si="523">$B$17</f>
        <v>196.20000000000002</v>
      </c>
      <c r="I391" s="13">
        <f t="shared" si="480"/>
        <v>1000000</v>
      </c>
      <c r="J391" s="13">
        <f t="shared" si="462"/>
        <v>511.83499999999998</v>
      </c>
      <c r="K391" s="5">
        <f t="shared" si="463"/>
        <v>603.20899999999995</v>
      </c>
      <c r="L391" s="21">
        <f t="shared" si="464"/>
        <v>511835</v>
      </c>
      <c r="M391">
        <f t="shared" si="465"/>
        <v>603209</v>
      </c>
      <c r="N391">
        <f t="shared" si="481"/>
        <v>3.9790654540000005E-2</v>
      </c>
      <c r="O391">
        <f t="shared" si="482"/>
        <v>0.99965350861767799</v>
      </c>
      <c r="P391">
        <f t="shared" si="505"/>
        <v>3.9776867421104942E-5</v>
      </c>
      <c r="Q391">
        <f t="shared" si="506"/>
        <v>0.99961373175025692</v>
      </c>
      <c r="R391">
        <f t="shared" si="483"/>
        <v>583922.60572130117</v>
      </c>
      <c r="S391">
        <f t="shared" si="484"/>
        <v>9996.5350861767802</v>
      </c>
      <c r="T391">
        <f t="shared" si="467"/>
        <v>602975.99951534078</v>
      </c>
      <c r="U391" s="22">
        <f t="shared" si="518"/>
        <v>9996.1373175025692</v>
      </c>
      <c r="V391" s="1">
        <f t="shared" si="468"/>
        <v>0</v>
      </c>
      <c r="W391" s="1">
        <f t="shared" si="469"/>
        <v>0</v>
      </c>
      <c r="X391" s="1">
        <f t="shared" si="470"/>
        <v>-196.13201839078843</v>
      </c>
      <c r="Y391" s="1">
        <f t="shared" si="485"/>
        <v>-39.776867421104939</v>
      </c>
      <c r="Z391" s="1">
        <f t="shared" si="471"/>
        <v>-235.90888581189336</v>
      </c>
      <c r="AA391" s="1">
        <f t="shared" si="472"/>
        <v>-19053.393794039614</v>
      </c>
      <c r="AB391" s="1">
        <f t="shared" si="520"/>
        <v>32665.552744411289</v>
      </c>
      <c r="AC391" s="1">
        <f t="shared" si="474"/>
        <v>13376.250064559783</v>
      </c>
      <c r="AD391" s="1">
        <f t="shared" si="475"/>
        <v>0.3977686742109654</v>
      </c>
      <c r="AE391">
        <f t="shared" si="476"/>
        <v>13376.647833233994</v>
      </c>
      <c r="AG391" s="19">
        <v>34</v>
      </c>
      <c r="AH391" s="19">
        <f t="shared" ref="AH391:AK391" si="524">AH304</f>
        <v>0.70484133756582912</v>
      </c>
      <c r="AI391" s="19">
        <f t="shared" si="524"/>
        <v>2.8046098168593433E-2</v>
      </c>
      <c r="AJ391" s="19">
        <f t="shared" si="524"/>
        <v>603.20899999999995</v>
      </c>
      <c r="AK391" s="19">
        <f t="shared" si="524"/>
        <v>511.83499999999998</v>
      </c>
    </row>
    <row r="392" spans="5:37">
      <c r="E392">
        <v>35</v>
      </c>
      <c r="F392" s="13"/>
      <c r="G392" s="13">
        <f t="shared" si="522"/>
        <v>0</v>
      </c>
      <c r="H392" s="13">
        <f t="shared" si="523"/>
        <v>196.20000000000002</v>
      </c>
      <c r="I392" s="13">
        <f t="shared" si="480"/>
        <v>1000000</v>
      </c>
      <c r="J392" s="13">
        <f t="shared" si="462"/>
        <v>532.745</v>
      </c>
      <c r="K392" s="5">
        <f t="shared" si="463"/>
        <v>621.9</v>
      </c>
      <c r="L392" s="21">
        <f t="shared" si="464"/>
        <v>532745</v>
      </c>
      <c r="M392">
        <f t="shared" si="465"/>
        <v>621900</v>
      </c>
      <c r="N392">
        <f t="shared" si="481"/>
        <v>4.4814722680000002E-2</v>
      </c>
      <c r="O392">
        <f t="shared" si="482"/>
        <v>0.99961373175025692</v>
      </c>
      <c r="P392">
        <f t="shared" si="505"/>
        <v>4.4797412175507678E-5</v>
      </c>
      <c r="Q392">
        <f t="shared" si="506"/>
        <v>0.99956893433808136</v>
      </c>
      <c r="R392">
        <f t="shared" si="483"/>
        <v>602975.99951534078</v>
      </c>
      <c r="S392">
        <f t="shared" si="484"/>
        <v>9996.1373175025692</v>
      </c>
      <c r="T392">
        <f t="shared" si="467"/>
        <v>621631.92026485282</v>
      </c>
      <c r="U392" s="22">
        <f t="shared" si="518"/>
        <v>9995.6893433808127</v>
      </c>
      <c r="V392" s="1">
        <f t="shared" si="468"/>
        <v>0</v>
      </c>
      <c r="W392" s="1">
        <f t="shared" si="469"/>
        <v>0</v>
      </c>
      <c r="X392" s="1">
        <f t="shared" si="470"/>
        <v>-196.12421416940043</v>
      </c>
      <c r="Y392" s="1">
        <f t="shared" si="485"/>
        <v>-44.797412175507681</v>
      </c>
      <c r="Z392" s="1">
        <f t="shared" si="471"/>
        <v>-240.92162634490811</v>
      </c>
      <c r="AA392" s="1">
        <f t="shared" si="472"/>
        <v>-18655.920749512035</v>
      </c>
      <c r="AB392" s="1">
        <f t="shared" si="520"/>
        <v>33713.46752580638</v>
      </c>
      <c r="AC392" s="1">
        <f t="shared" si="474"/>
        <v>14816.625149949436</v>
      </c>
      <c r="AD392" s="1">
        <f t="shared" si="475"/>
        <v>0.44797412175648788</v>
      </c>
      <c r="AE392">
        <f t="shared" si="476"/>
        <v>14817.073124071192</v>
      </c>
      <c r="AG392" s="19">
        <v>35</v>
      </c>
      <c r="AH392" s="19">
        <f t="shared" ref="AH392:AK392" si="525">AH305</f>
        <v>0.67679523939723574</v>
      </c>
      <c r="AI392" s="19">
        <f t="shared" si="525"/>
        <v>3.0330390964731332E-2</v>
      </c>
      <c r="AJ392" s="19">
        <f t="shared" si="525"/>
        <v>621.9</v>
      </c>
      <c r="AK392" s="19">
        <f t="shared" si="525"/>
        <v>532.745</v>
      </c>
    </row>
    <row r="393" spans="5:37">
      <c r="E393">
        <v>36</v>
      </c>
      <c r="F393" s="13"/>
      <c r="G393" s="13">
        <f t="shared" si="522"/>
        <v>0</v>
      </c>
      <c r="H393" s="13">
        <f t="shared" si="523"/>
        <v>196.20000000000002</v>
      </c>
      <c r="I393" s="13">
        <f t="shared" si="480"/>
        <v>1000000</v>
      </c>
      <c r="J393" s="13">
        <f t="shared" si="462"/>
        <v>553.38599999999997</v>
      </c>
      <c r="K393" s="5">
        <f t="shared" si="463"/>
        <v>640.18600000000004</v>
      </c>
      <c r="L393" s="21">
        <f t="shared" si="464"/>
        <v>553386</v>
      </c>
      <c r="M393">
        <f t="shared" si="465"/>
        <v>640186</v>
      </c>
      <c r="N393">
        <f t="shared" si="481"/>
        <v>5.0298218879999995E-2</v>
      </c>
      <c r="O393">
        <f t="shared" si="482"/>
        <v>0.99956893433808136</v>
      </c>
      <c r="P393">
        <f t="shared" si="505"/>
        <v>5.0276537044985161E-5</v>
      </c>
      <c r="Q393">
        <f t="shared" si="506"/>
        <v>0.99951865780103633</v>
      </c>
      <c r="R393">
        <f t="shared" si="483"/>
        <v>621631.92026485282</v>
      </c>
      <c r="S393">
        <f t="shared" si="484"/>
        <v>9995.6893433808127</v>
      </c>
      <c r="T393">
        <f t="shared" si="467"/>
        <v>639877.85146301426</v>
      </c>
      <c r="U393" s="22">
        <f t="shared" si="518"/>
        <v>9995.1865780103635</v>
      </c>
      <c r="V393" s="1">
        <f t="shared" si="468"/>
        <v>0</v>
      </c>
      <c r="W393" s="1">
        <f t="shared" si="469"/>
        <v>0</v>
      </c>
      <c r="X393" s="1">
        <f t="shared" si="470"/>
        <v>-196.11542491713158</v>
      </c>
      <c r="Y393" s="1">
        <f t="shared" si="485"/>
        <v>-50.276537044985162</v>
      </c>
      <c r="Z393" s="1">
        <f t="shared" si="471"/>
        <v>-246.39196196211674</v>
      </c>
      <c r="AA393" s="1">
        <f t="shared" si="472"/>
        <v>-18245.931198161445</v>
      </c>
      <c r="AB393" s="1">
        <f t="shared" si="520"/>
        <v>34739.518528452849</v>
      </c>
      <c r="AC393" s="1">
        <f t="shared" si="474"/>
        <v>16247.195368329289</v>
      </c>
      <c r="AD393" s="1">
        <f t="shared" si="475"/>
        <v>0.50276537044919678</v>
      </c>
      <c r="AE393">
        <f t="shared" si="476"/>
        <v>16247.698133699738</v>
      </c>
      <c r="AG393" s="19">
        <v>36</v>
      </c>
      <c r="AH393" s="19">
        <f t="shared" ref="AH393:AK393" si="526">AH306</f>
        <v>0.6464648484325044</v>
      </c>
      <c r="AI393" s="19">
        <f t="shared" si="526"/>
        <v>3.2516030444684131E-2</v>
      </c>
      <c r="AJ393" s="19">
        <f t="shared" si="526"/>
        <v>640.18600000000004</v>
      </c>
      <c r="AK393" s="19">
        <f t="shared" si="526"/>
        <v>553.38599999999997</v>
      </c>
    </row>
    <row r="394" spans="5:37">
      <c r="E394">
        <v>37</v>
      </c>
      <c r="F394" s="13"/>
      <c r="G394" s="13">
        <f t="shared" si="522"/>
        <v>0</v>
      </c>
      <c r="H394" s="13">
        <f t="shared" si="523"/>
        <v>196.20000000000002</v>
      </c>
      <c r="I394" s="13">
        <f t="shared" si="480"/>
        <v>1000000</v>
      </c>
      <c r="J394" s="13">
        <f t="shared" si="462"/>
        <v>573.71799999999996</v>
      </c>
      <c r="K394" s="5">
        <f t="shared" si="463"/>
        <v>658.04</v>
      </c>
      <c r="L394" s="21">
        <f t="shared" si="464"/>
        <v>573718</v>
      </c>
      <c r="M394">
        <f t="shared" si="465"/>
        <v>658040</v>
      </c>
      <c r="N394">
        <f t="shared" si="481"/>
        <v>5.63257058E-2</v>
      </c>
      <c r="O394">
        <f t="shared" si="482"/>
        <v>0.99951865780103633</v>
      </c>
      <c r="P394">
        <f t="shared" si="505"/>
        <v>5.6298593860912054E-5</v>
      </c>
      <c r="Q394">
        <f t="shared" si="506"/>
        <v>0.99946235920717541</v>
      </c>
      <c r="R394">
        <f t="shared" si="483"/>
        <v>639877.85146301426</v>
      </c>
      <c r="S394">
        <f t="shared" si="484"/>
        <v>9995.1865780103635</v>
      </c>
      <c r="T394">
        <f t="shared" si="467"/>
        <v>657686.21085268969</v>
      </c>
      <c r="U394" s="22">
        <f t="shared" si="518"/>
        <v>9994.6235920717536</v>
      </c>
      <c r="V394" s="1">
        <f t="shared" si="468"/>
        <v>0</v>
      </c>
      <c r="W394" s="1">
        <f t="shared" si="469"/>
        <v>0</v>
      </c>
      <c r="X394" s="1">
        <f t="shared" si="470"/>
        <v>-196.10556066056336</v>
      </c>
      <c r="Y394" s="1">
        <f t="shared" si="485"/>
        <v>-56.298593860912057</v>
      </c>
      <c r="Z394" s="1">
        <f t="shared" si="471"/>
        <v>-252.40415452147542</v>
      </c>
      <c r="AA394" s="1">
        <f t="shared" si="472"/>
        <v>-17808.359389675432</v>
      </c>
      <c r="AB394" s="1">
        <f t="shared" si="520"/>
        <v>35743.017092256356</v>
      </c>
      <c r="AC394" s="1">
        <f t="shared" si="474"/>
        <v>17682.253548059449</v>
      </c>
      <c r="AD394" s="1">
        <f t="shared" si="475"/>
        <v>0.56298593860992696</v>
      </c>
      <c r="AE394">
        <f t="shared" si="476"/>
        <v>17682.816533998059</v>
      </c>
      <c r="AG394" s="19">
        <v>37</v>
      </c>
      <c r="AH394" s="19">
        <f t="shared" ref="AH394:AK394" si="527">AH307</f>
        <v>0.61394881798782031</v>
      </c>
      <c r="AI394" s="19">
        <f t="shared" si="527"/>
        <v>3.4581100498239717E-2</v>
      </c>
      <c r="AJ394" s="19">
        <f t="shared" si="527"/>
        <v>658.04</v>
      </c>
      <c r="AK394" s="19">
        <f t="shared" si="527"/>
        <v>573.71799999999996</v>
      </c>
    </row>
    <row r="395" spans="5:37">
      <c r="E395">
        <v>38</v>
      </c>
      <c r="F395" s="13"/>
      <c r="G395" s="13">
        <f t="shared" si="522"/>
        <v>0</v>
      </c>
      <c r="H395" s="13">
        <f t="shared" si="523"/>
        <v>196.20000000000002</v>
      </c>
      <c r="I395" s="13">
        <f t="shared" si="480"/>
        <v>1000000</v>
      </c>
      <c r="J395" s="13">
        <f t="shared" si="462"/>
        <v>593.63699999999994</v>
      </c>
      <c r="K395" s="5">
        <f t="shared" si="463"/>
        <v>675.38400000000001</v>
      </c>
      <c r="L395" s="21">
        <f t="shared" si="464"/>
        <v>593637</v>
      </c>
      <c r="M395">
        <f t="shared" si="465"/>
        <v>675384</v>
      </c>
      <c r="N395">
        <f t="shared" si="481"/>
        <v>6.3106410639999999E-2</v>
      </c>
      <c r="O395">
        <f t="shared" si="482"/>
        <v>0.99946235920717541</v>
      </c>
      <c r="P395">
        <f t="shared" si="505"/>
        <v>6.3072482059351186E-5</v>
      </c>
      <c r="Q395">
        <f t="shared" si="506"/>
        <v>0.99939928672511602</v>
      </c>
      <c r="R395">
        <f t="shared" si="483"/>
        <v>657686.21085268969</v>
      </c>
      <c r="S395">
        <f t="shared" si="484"/>
        <v>9994.6235920717536</v>
      </c>
      <c r="T395">
        <f t="shared" si="467"/>
        <v>674978.28786555573</v>
      </c>
      <c r="U395" s="22">
        <f t="shared" si="518"/>
        <v>9993.9928672511596</v>
      </c>
      <c r="V395" s="1">
        <f t="shared" si="468"/>
        <v>0</v>
      </c>
      <c r="W395" s="1">
        <f t="shared" si="469"/>
        <v>0</v>
      </c>
      <c r="X395" s="1">
        <f t="shared" si="470"/>
        <v>-196.09451487644785</v>
      </c>
      <c r="Y395" s="1">
        <f t="shared" si="485"/>
        <v>-63.072482059351188</v>
      </c>
      <c r="Z395" s="1">
        <f t="shared" si="471"/>
        <v>-259.16699693579903</v>
      </c>
      <c r="AA395" s="1">
        <f t="shared" si="472"/>
        <v>-17292.077012866037</v>
      </c>
      <c r="AB395" s="1">
        <f t="shared" si="520"/>
        <v>36722.445894461875</v>
      </c>
      <c r="AC395" s="1">
        <f t="shared" si="474"/>
        <v>19171.20188466004</v>
      </c>
      <c r="AD395" s="1">
        <f t="shared" si="475"/>
        <v>0.63072482059396862</v>
      </c>
      <c r="AE395">
        <f t="shared" si="476"/>
        <v>19171.832609480633</v>
      </c>
      <c r="AG395" s="19">
        <v>38</v>
      </c>
      <c r="AH395" s="19">
        <f t="shared" ref="AH395:AK395" si="528">AH308</f>
        <v>0.5793677174895806</v>
      </c>
      <c r="AI395" s="19">
        <f t="shared" si="528"/>
        <v>3.6561817091456984E-2</v>
      </c>
      <c r="AJ395" s="19">
        <f t="shared" si="528"/>
        <v>675.38400000000001</v>
      </c>
      <c r="AK395" s="19">
        <f t="shared" si="528"/>
        <v>593.63699999999994</v>
      </c>
    </row>
    <row r="396" spans="5:37">
      <c r="E396">
        <v>39</v>
      </c>
      <c r="F396" s="13"/>
      <c r="G396" s="13">
        <f t="shared" si="522"/>
        <v>0</v>
      </c>
      <c r="H396" s="13">
        <f t="shared" si="523"/>
        <v>196.20000000000002</v>
      </c>
      <c r="I396" s="13">
        <f t="shared" si="480"/>
        <v>1000000</v>
      </c>
      <c r="J396" s="13">
        <f t="shared" si="462"/>
        <v>613.02599999999995</v>
      </c>
      <c r="K396" s="5">
        <f t="shared" si="463"/>
        <v>692.13199999999995</v>
      </c>
      <c r="L396" s="21">
        <f t="shared" si="464"/>
        <v>613026</v>
      </c>
      <c r="M396">
        <f t="shared" si="465"/>
        <v>692132</v>
      </c>
      <c r="N396">
        <f t="shared" si="481"/>
        <v>7.0726639620000004E-2</v>
      </c>
      <c r="O396">
        <f t="shared" si="482"/>
        <v>0.99939928672511602</v>
      </c>
      <c r="P396">
        <f t="shared" si="505"/>
        <v>7.0684153188692338E-5</v>
      </c>
      <c r="Q396">
        <f t="shared" si="506"/>
        <v>0.99932860257192735</v>
      </c>
      <c r="R396">
        <f t="shared" si="483"/>
        <v>674978.28786555573</v>
      </c>
      <c r="S396">
        <f t="shared" si="484"/>
        <v>9993.9928672511596</v>
      </c>
      <c r="T396">
        <f t="shared" si="467"/>
        <v>691667.30435531319</v>
      </c>
      <c r="U396" s="22">
        <f t="shared" si="518"/>
        <v>9993.2860257192733</v>
      </c>
      <c r="V396" s="1">
        <f t="shared" si="468"/>
        <v>0</v>
      </c>
      <c r="W396" s="1">
        <f t="shared" si="469"/>
        <v>0</v>
      </c>
      <c r="X396" s="1">
        <f t="shared" si="470"/>
        <v>-196.08214005546779</v>
      </c>
      <c r="Y396" s="1">
        <f t="shared" si="485"/>
        <v>-70.684153188692335</v>
      </c>
      <c r="Z396" s="1">
        <f t="shared" si="471"/>
        <v>-266.76629324416012</v>
      </c>
      <c r="AA396" s="1">
        <f t="shared" si="472"/>
        <v>-16689.016489757458</v>
      </c>
      <c r="AB396" s="1">
        <f t="shared" si="520"/>
        <v>37673.475440304377</v>
      </c>
      <c r="AC396" s="1">
        <f t="shared" si="474"/>
        <v>20717.692657302759</v>
      </c>
      <c r="AD396" s="1">
        <f t="shared" si="475"/>
        <v>0.70684153188631171</v>
      </c>
      <c r="AE396">
        <f t="shared" si="476"/>
        <v>20718.399498834646</v>
      </c>
      <c r="AG396" s="19">
        <v>39</v>
      </c>
      <c r="AH396" s="19">
        <f t="shared" ref="AH396:AK396" si="529">AH309</f>
        <v>0.5428059003981236</v>
      </c>
      <c r="AI396" s="19">
        <f t="shared" si="529"/>
        <v>3.8390837301067703E-2</v>
      </c>
      <c r="AJ396" s="19">
        <f t="shared" si="529"/>
        <v>692.13199999999995</v>
      </c>
      <c r="AK396" s="19">
        <f t="shared" si="529"/>
        <v>613.02599999999995</v>
      </c>
    </row>
    <row r="397" spans="5:37">
      <c r="E397">
        <v>40</v>
      </c>
      <c r="F397" s="13"/>
      <c r="G397" s="13">
        <f t="shared" si="522"/>
        <v>0</v>
      </c>
      <c r="H397" s="13">
        <f t="shared" si="523"/>
        <v>196.20000000000002</v>
      </c>
      <c r="I397" s="13">
        <f t="shared" si="480"/>
        <v>1000000</v>
      </c>
      <c r="J397" s="13">
        <f t="shared" si="462"/>
        <v>631.73699999999997</v>
      </c>
      <c r="K397" s="5">
        <f t="shared" si="463"/>
        <v>708.17700000000002</v>
      </c>
      <c r="L397" s="21">
        <f t="shared" si="464"/>
        <v>631737</v>
      </c>
      <c r="M397">
        <f t="shared" si="465"/>
        <v>708177</v>
      </c>
      <c r="N397">
        <f t="shared" si="481"/>
        <v>7.9320646859999996E-2</v>
      </c>
      <c r="O397">
        <f t="shared" si="482"/>
        <v>0.99932860257192735</v>
      </c>
      <c r="P397">
        <f t="shared" si="505"/>
        <v>7.9267391181705123E-5</v>
      </c>
      <c r="Q397">
        <f t="shared" si="506"/>
        <v>0.99924933518074566</v>
      </c>
      <c r="R397">
        <f t="shared" si="483"/>
        <v>691667.30435531319</v>
      </c>
      <c r="S397">
        <f t="shared" si="484"/>
        <v>9993.2860257192733</v>
      </c>
      <c r="T397">
        <f t="shared" si="467"/>
        <v>707645.39644029492</v>
      </c>
      <c r="U397" s="22">
        <f t="shared" si="518"/>
        <v>9992.4933518074558</v>
      </c>
      <c r="V397" s="1">
        <f t="shared" si="468"/>
        <v>0</v>
      </c>
      <c r="W397" s="1">
        <f t="shared" si="469"/>
        <v>0</v>
      </c>
      <c r="X397" s="1">
        <f t="shared" si="470"/>
        <v>-196.06827182461217</v>
      </c>
      <c r="Y397" s="1">
        <f t="shared" si="485"/>
        <v>-79.267391181705122</v>
      </c>
      <c r="Z397" s="1">
        <f t="shared" si="471"/>
        <v>-275.3356630063173</v>
      </c>
      <c r="AA397" s="1">
        <f t="shared" si="472"/>
        <v>-15978.092084981734</v>
      </c>
      <c r="AB397" s="1">
        <f t="shared" si="520"/>
        <v>38591.332470956782</v>
      </c>
      <c r="AC397" s="1">
        <f t="shared" si="474"/>
        <v>22337.904722968731</v>
      </c>
      <c r="AD397" s="1">
        <f t="shared" si="475"/>
        <v>0.79267391181747371</v>
      </c>
      <c r="AE397">
        <f t="shared" si="476"/>
        <v>22338.697396880547</v>
      </c>
      <c r="AG397" s="19">
        <v>40</v>
      </c>
      <c r="AH397" s="19">
        <f t="shared" ref="AH397:AK397" si="530">AH310</f>
        <v>0.50441506309705586</v>
      </c>
      <c r="AI397" s="19">
        <f t="shared" si="530"/>
        <v>4.0010529090786187E-2</v>
      </c>
      <c r="AJ397" s="19">
        <f t="shared" si="530"/>
        <v>708.17700000000002</v>
      </c>
      <c r="AK397" s="19">
        <f t="shared" si="530"/>
        <v>631.73699999999997</v>
      </c>
    </row>
    <row r="398" spans="5:37">
      <c r="E398">
        <v>41</v>
      </c>
      <c r="F398" s="13"/>
      <c r="G398" s="13">
        <f t="shared" si="522"/>
        <v>0</v>
      </c>
      <c r="H398" s="13">
        <f t="shared" si="523"/>
        <v>196.20000000000002</v>
      </c>
      <c r="I398" s="13">
        <f t="shared" si="480"/>
        <v>1000000</v>
      </c>
      <c r="J398" s="13">
        <f t="shared" si="462"/>
        <v>649.74699999999996</v>
      </c>
      <c r="K398" s="5">
        <f t="shared" si="463"/>
        <v>723.51400000000001</v>
      </c>
      <c r="L398" s="21">
        <f t="shared" si="464"/>
        <v>649747</v>
      </c>
      <c r="M398">
        <f t="shared" si="465"/>
        <v>723514</v>
      </c>
      <c r="N398">
        <f t="shared" si="481"/>
        <v>8.8604232079999998E-2</v>
      </c>
      <c r="O398">
        <f t="shared" si="482"/>
        <v>0.99924933518074566</v>
      </c>
      <c r="P398">
        <f t="shared" si="505"/>
        <v>8.8537720000140505E-5</v>
      </c>
      <c r="Q398">
        <f t="shared" si="506"/>
        <v>0.99916079746074549</v>
      </c>
      <c r="R398">
        <f t="shared" si="483"/>
        <v>707645.39644029492</v>
      </c>
      <c r="S398">
        <f t="shared" si="484"/>
        <v>9992.4933518074558</v>
      </c>
      <c r="T398">
        <f t="shared" si="467"/>
        <v>722906.82521401381</v>
      </c>
      <c r="U398" s="22">
        <f t="shared" si="518"/>
        <v>9991.6079746074556</v>
      </c>
      <c r="V398" s="1">
        <f t="shared" si="468"/>
        <v>0</v>
      </c>
      <c r="W398" s="1">
        <f t="shared" si="469"/>
        <v>0</v>
      </c>
      <c r="X398" s="1">
        <f t="shared" si="470"/>
        <v>-196.05271956246233</v>
      </c>
      <c r="Y398" s="1">
        <f t="shared" si="485"/>
        <v>-88.53772000014051</v>
      </c>
      <c r="Z398" s="1">
        <f t="shared" si="471"/>
        <v>-284.59043956260285</v>
      </c>
      <c r="AA398" s="1">
        <f t="shared" si="472"/>
        <v>-15261.428773718886</v>
      </c>
      <c r="AB398" s="1">
        <f t="shared" si="520"/>
        <v>39470.083938565629</v>
      </c>
      <c r="AC398" s="1">
        <f t="shared" si="474"/>
        <v>23924.064725284141</v>
      </c>
      <c r="AD398" s="1">
        <f t="shared" si="475"/>
        <v>0.88537720000022091</v>
      </c>
      <c r="AE398">
        <f t="shared" si="476"/>
        <v>23924.950102484141</v>
      </c>
      <c r="AG398" s="19">
        <v>41</v>
      </c>
      <c r="AH398" s="19">
        <f t="shared" ref="AH398:AK398" si="531">AH311</f>
        <v>0.46440453400626969</v>
      </c>
      <c r="AI398" s="19">
        <f t="shared" si="531"/>
        <v>4.1148207110095772E-2</v>
      </c>
      <c r="AJ398" s="19">
        <f t="shared" si="531"/>
        <v>723.51400000000001</v>
      </c>
      <c r="AK398" s="19">
        <f t="shared" si="531"/>
        <v>649.74699999999996</v>
      </c>
    </row>
    <row r="399" spans="5:37">
      <c r="E399">
        <v>42</v>
      </c>
      <c r="F399" s="13"/>
      <c r="G399" s="13">
        <f t="shared" si="522"/>
        <v>0</v>
      </c>
      <c r="H399" s="13">
        <f t="shared" si="523"/>
        <v>196.20000000000002</v>
      </c>
      <c r="I399" s="13">
        <f t="shared" si="480"/>
        <v>1000000</v>
      </c>
      <c r="J399" s="13">
        <f t="shared" si="462"/>
        <v>667.15099999999995</v>
      </c>
      <c r="K399" s="5">
        <f t="shared" si="463"/>
        <v>738.22900000000004</v>
      </c>
      <c r="L399" s="21">
        <f t="shared" si="464"/>
        <v>667151</v>
      </c>
      <c r="M399">
        <f t="shared" si="465"/>
        <v>738229</v>
      </c>
      <c r="N399">
        <f t="shared" si="481"/>
        <v>9.830452814E-2</v>
      </c>
      <c r="O399">
        <f t="shared" si="482"/>
        <v>0.99916079746074549</v>
      </c>
      <c r="P399">
        <f t="shared" si="505"/>
        <v>9.82220307303647E-5</v>
      </c>
      <c r="Q399">
        <f t="shared" si="506"/>
        <v>0.99906257543001509</v>
      </c>
      <c r="R399">
        <f t="shared" si="483"/>
        <v>722906.82521401381</v>
      </c>
      <c r="S399">
        <f t="shared" si="484"/>
        <v>9991.6079746074556</v>
      </c>
      <c r="T399">
        <f t="shared" si="467"/>
        <v>737536.96599712456</v>
      </c>
      <c r="U399" s="22">
        <f t="shared" si="518"/>
        <v>9990.6257543001502</v>
      </c>
      <c r="V399" s="1">
        <f t="shared" si="468"/>
        <v>0</v>
      </c>
      <c r="W399" s="1">
        <f t="shared" si="469"/>
        <v>0</v>
      </c>
      <c r="X399" s="1">
        <f t="shared" si="470"/>
        <v>-196.03534846179829</v>
      </c>
      <c r="Y399" s="1">
        <f t="shared" si="485"/>
        <v>-98.222030730364708</v>
      </c>
      <c r="Z399" s="1">
        <f t="shared" si="471"/>
        <v>-294.257379192163</v>
      </c>
      <c r="AA399" s="1">
        <f t="shared" si="472"/>
        <v>-14630.14078311075</v>
      </c>
      <c r="AB399" s="1">
        <f t="shared" si="520"/>
        <v>40309.413825374169</v>
      </c>
      <c r="AC399" s="1">
        <f t="shared" si="474"/>
        <v>25385.015663071259</v>
      </c>
      <c r="AD399" s="1">
        <f t="shared" si="475"/>
        <v>0.982220307305397</v>
      </c>
      <c r="AE399">
        <f t="shared" si="476"/>
        <v>25385.997883378564</v>
      </c>
      <c r="AG399" s="19">
        <v>42</v>
      </c>
      <c r="AH399" s="19">
        <f t="shared" ref="AH399:AK399" si="532">AH312</f>
        <v>0.42325632689617393</v>
      </c>
      <c r="AI399" s="19">
        <f t="shared" si="532"/>
        <v>4.1608013497797969E-2</v>
      </c>
      <c r="AJ399" s="19">
        <f t="shared" si="532"/>
        <v>738.22900000000004</v>
      </c>
      <c r="AK399" s="19">
        <f t="shared" si="532"/>
        <v>667.15099999999995</v>
      </c>
    </row>
    <row r="400" spans="5:37">
      <c r="E400">
        <v>43</v>
      </c>
      <c r="F400" s="13"/>
      <c r="G400" s="13">
        <f t="shared" si="522"/>
        <v>0</v>
      </c>
      <c r="H400" s="13">
        <f t="shared" si="523"/>
        <v>196.20000000000002</v>
      </c>
      <c r="I400" s="13">
        <f t="shared" si="480"/>
        <v>1000000</v>
      </c>
      <c r="J400" s="13">
        <f t="shared" si="462"/>
        <v>683.899</v>
      </c>
      <c r="K400" s="5">
        <f t="shared" si="463"/>
        <v>752.29200000000003</v>
      </c>
      <c r="L400" s="21">
        <f t="shared" si="464"/>
        <v>683899</v>
      </c>
      <c r="M400">
        <f t="shared" si="465"/>
        <v>752292</v>
      </c>
      <c r="N400">
        <f t="shared" si="481"/>
        <v>0.10889403979999999</v>
      </c>
      <c r="O400">
        <f t="shared" si="482"/>
        <v>0.99906257543001509</v>
      </c>
      <c r="P400">
        <f t="shared" si="505"/>
        <v>1.0879195985156656E-4</v>
      </c>
      <c r="Q400">
        <f t="shared" si="506"/>
        <v>0.9989537834701635</v>
      </c>
      <c r="R400">
        <f t="shared" si="483"/>
        <v>737536.96599712456</v>
      </c>
      <c r="S400">
        <f t="shared" si="484"/>
        <v>9990.6257543001502</v>
      </c>
      <c r="T400">
        <f t="shared" si="467"/>
        <v>751504.93967433623</v>
      </c>
      <c r="U400" s="22">
        <f t="shared" si="518"/>
        <v>9989.5378347016358</v>
      </c>
      <c r="V400" s="1">
        <f t="shared" si="468"/>
        <v>0</v>
      </c>
      <c r="W400" s="1">
        <f t="shared" si="469"/>
        <v>0</v>
      </c>
      <c r="X400" s="1">
        <f t="shared" si="470"/>
        <v>-196.01607729936899</v>
      </c>
      <c r="Y400" s="1">
        <f t="shared" si="485"/>
        <v>-108.79195985156656</v>
      </c>
      <c r="Z400" s="1">
        <f t="shared" si="471"/>
        <v>-304.80803715093555</v>
      </c>
      <c r="AA400" s="1">
        <f t="shared" si="472"/>
        <v>-13967.973677211674</v>
      </c>
      <c r="AB400" s="1">
        <f t="shared" si="520"/>
        <v>41114.017546328359</v>
      </c>
      <c r="AC400" s="1">
        <f t="shared" si="474"/>
        <v>26841.235831965751</v>
      </c>
      <c r="AD400" s="1">
        <f t="shared" si="475"/>
        <v>1.0879195985144179</v>
      </c>
      <c r="AE400">
        <f t="shared" si="476"/>
        <v>26842.323751564265</v>
      </c>
      <c r="AG400" s="19">
        <v>43</v>
      </c>
      <c r="AH400" s="19">
        <f t="shared" ref="AH400:AK400" si="533">AH313</f>
        <v>0.38164831339837596</v>
      </c>
      <c r="AI400" s="19">
        <f t="shared" si="533"/>
        <v>4.1559226628805623E-2</v>
      </c>
      <c r="AJ400" s="19">
        <f t="shared" si="533"/>
        <v>752.29200000000003</v>
      </c>
      <c r="AK400" s="19">
        <f t="shared" si="533"/>
        <v>683.899</v>
      </c>
    </row>
    <row r="401" spans="5:37">
      <c r="E401">
        <v>44</v>
      </c>
      <c r="F401" s="13"/>
      <c r="G401" s="13">
        <f t="shared" si="522"/>
        <v>0</v>
      </c>
      <c r="H401" s="13">
        <f t="shared" si="523"/>
        <v>196.20000000000002</v>
      </c>
      <c r="I401" s="13">
        <f t="shared" si="480"/>
        <v>1000000</v>
      </c>
      <c r="J401" s="13">
        <f t="shared" si="462"/>
        <v>699.96900000000005</v>
      </c>
      <c r="K401" s="5">
        <f t="shared" si="463"/>
        <v>765.697</v>
      </c>
      <c r="L401" s="21">
        <f t="shared" si="464"/>
        <v>699969</v>
      </c>
      <c r="M401">
        <f t="shared" si="465"/>
        <v>765697</v>
      </c>
      <c r="N401">
        <f t="shared" si="481"/>
        <v>0.12033266517999999</v>
      </c>
      <c r="O401">
        <f t="shared" si="482"/>
        <v>0.9989537834701635</v>
      </c>
      <c r="P401">
        <f t="shared" si="505"/>
        <v>1.202067711566094E-4</v>
      </c>
      <c r="Q401">
        <f t="shared" si="506"/>
        <v>0.99883357669900685</v>
      </c>
      <c r="R401">
        <f t="shared" si="483"/>
        <v>751504.93967433623</v>
      </c>
      <c r="S401">
        <f t="shared" si="484"/>
        <v>9989.5378347016358</v>
      </c>
      <c r="T401">
        <f t="shared" si="467"/>
        <v>764803.8731776994</v>
      </c>
      <c r="U401" s="22">
        <f t="shared" si="518"/>
        <v>9988.3357669900688</v>
      </c>
      <c r="V401" s="1">
        <f t="shared" si="468"/>
        <v>0</v>
      </c>
      <c r="W401" s="1">
        <f t="shared" si="469"/>
        <v>0</v>
      </c>
      <c r="X401" s="1">
        <f t="shared" si="470"/>
        <v>-195.9947323168461</v>
      </c>
      <c r="Y401" s="1">
        <f t="shared" si="485"/>
        <v>-120.20677115660941</v>
      </c>
      <c r="Z401" s="1">
        <f t="shared" si="471"/>
        <v>-316.20150347345549</v>
      </c>
      <c r="AA401" s="1">
        <f t="shared" si="472"/>
        <v>-13298.933503363165</v>
      </c>
      <c r="AB401" s="1">
        <f t="shared" si="520"/>
        <v>41882.19626299708</v>
      </c>
      <c r="AC401" s="1">
        <f t="shared" si="474"/>
        <v>28267.061256160458</v>
      </c>
      <c r="AD401" s="1">
        <f t="shared" si="475"/>
        <v>1.2020677115669969</v>
      </c>
      <c r="AE401">
        <f t="shared" si="476"/>
        <v>28268.263323872023</v>
      </c>
      <c r="AG401" s="19">
        <v>44</v>
      </c>
      <c r="AH401" s="19">
        <f t="shared" ref="AH401:AK401" si="534">AH314</f>
        <v>0.34008908676957034</v>
      </c>
      <c r="AI401" s="19">
        <f t="shared" si="534"/>
        <v>4.0923826209614669E-2</v>
      </c>
      <c r="AJ401" s="19">
        <f t="shared" si="534"/>
        <v>765.697</v>
      </c>
      <c r="AK401" s="19">
        <f t="shared" si="534"/>
        <v>699.96900000000005</v>
      </c>
    </row>
    <row r="402" spans="5:37">
      <c r="E402">
        <v>45</v>
      </c>
      <c r="F402" s="13"/>
      <c r="G402" s="13">
        <f t="shared" si="522"/>
        <v>0</v>
      </c>
      <c r="H402" s="13">
        <f t="shared" si="523"/>
        <v>196.20000000000002</v>
      </c>
      <c r="I402" s="13">
        <f t="shared" si="480"/>
        <v>1000000</v>
      </c>
      <c r="J402" s="13">
        <f t="shared" si="462"/>
        <v>715.25400000000002</v>
      </c>
      <c r="K402" s="5">
        <f t="shared" si="463"/>
        <v>778.37</v>
      </c>
      <c r="L402" s="21">
        <f t="shared" si="464"/>
        <v>715254</v>
      </c>
      <c r="M402">
        <f t="shared" si="465"/>
        <v>778370</v>
      </c>
      <c r="N402">
        <f t="shared" si="481"/>
        <v>0.13293686042000002</v>
      </c>
      <c r="O402">
        <f t="shared" si="482"/>
        <v>0.99883357669900685</v>
      </c>
      <c r="P402">
        <f t="shared" si="505"/>
        <v>1.3278179976844526E-4</v>
      </c>
      <c r="Q402">
        <f t="shared" si="506"/>
        <v>0.99870079489923835</v>
      </c>
      <c r="R402">
        <f t="shared" si="483"/>
        <v>764803.8731776994</v>
      </c>
      <c r="S402">
        <f t="shared" si="484"/>
        <v>9988.3357669900688</v>
      </c>
      <c r="T402">
        <f t="shared" si="467"/>
        <v>777358.73772572016</v>
      </c>
      <c r="U402" s="22">
        <f t="shared" si="518"/>
        <v>9987.0079489923828</v>
      </c>
      <c r="V402" s="1">
        <f t="shared" si="468"/>
        <v>0</v>
      </c>
      <c r="W402" s="1">
        <f t="shared" si="469"/>
        <v>0</v>
      </c>
      <c r="X402" s="1">
        <f t="shared" si="470"/>
        <v>-195.97114774834517</v>
      </c>
      <c r="Y402" s="1">
        <f t="shared" si="485"/>
        <v>-132.78179976844527</v>
      </c>
      <c r="Z402" s="1">
        <f t="shared" si="471"/>
        <v>-328.75294751679041</v>
      </c>
      <c r="AA402" s="1">
        <f t="shared" si="472"/>
        <v>-12554.864548020763</v>
      </c>
      <c r="AB402" s="1">
        <f t="shared" si="520"/>
        <v>42613.571491957919</v>
      </c>
      <c r="AC402" s="1">
        <f t="shared" si="474"/>
        <v>29729.953996420365</v>
      </c>
      <c r="AD402" s="1">
        <f t="shared" si="475"/>
        <v>1.3278179976859974</v>
      </c>
      <c r="AE402">
        <f t="shared" si="476"/>
        <v>29731.281814418049</v>
      </c>
      <c r="AG402" s="19">
        <v>45</v>
      </c>
      <c r="AH402" s="19">
        <f t="shared" ref="AH402:AK402" si="535">AH315</f>
        <v>0.29916526055995568</v>
      </c>
      <c r="AI402" s="19">
        <f t="shared" si="535"/>
        <v>3.9770090485571764E-2</v>
      </c>
      <c r="AJ402" s="19">
        <f t="shared" si="535"/>
        <v>778.37</v>
      </c>
      <c r="AK402" s="19">
        <f t="shared" si="535"/>
        <v>715.25400000000002</v>
      </c>
    </row>
    <row r="403" spans="5:37">
      <c r="E403">
        <v>46</v>
      </c>
      <c r="F403" s="13"/>
      <c r="G403" s="13">
        <f t="shared" si="522"/>
        <v>0</v>
      </c>
      <c r="H403" s="13">
        <f t="shared" si="523"/>
        <v>196.20000000000002</v>
      </c>
      <c r="I403" s="13">
        <f t="shared" si="480"/>
        <v>1000000</v>
      </c>
      <c r="J403" s="13">
        <f t="shared" si="462"/>
        <v>729.59299999999996</v>
      </c>
      <c r="K403" s="5">
        <f t="shared" si="463"/>
        <v>790.197</v>
      </c>
      <c r="L403" s="21">
        <f t="shared" si="464"/>
        <v>729593</v>
      </c>
      <c r="M403">
        <f t="shared" si="465"/>
        <v>790197</v>
      </c>
      <c r="N403">
        <f t="shared" si="481"/>
        <v>0.14687575083999999</v>
      </c>
      <c r="O403">
        <f t="shared" si="482"/>
        <v>0.99870079489923835</v>
      </c>
      <c r="P403">
        <f t="shared" si="505"/>
        <v>1.4668492911533047E-4</v>
      </c>
      <c r="Q403">
        <f t="shared" si="506"/>
        <v>0.99855410997012306</v>
      </c>
      <c r="R403">
        <f t="shared" si="483"/>
        <v>777358.73772572016</v>
      </c>
      <c r="S403">
        <f t="shared" si="484"/>
        <v>9987.0079489923828</v>
      </c>
      <c r="T403">
        <f t="shared" si="467"/>
        <v>789054.46203606133</v>
      </c>
      <c r="U403" s="22">
        <f t="shared" si="518"/>
        <v>9985.5410997012314</v>
      </c>
      <c r="V403" s="1">
        <f t="shared" si="468"/>
        <v>0</v>
      </c>
      <c r="W403" s="1">
        <f t="shared" si="469"/>
        <v>0</v>
      </c>
      <c r="X403" s="1">
        <f t="shared" si="470"/>
        <v>-195.94509595923057</v>
      </c>
      <c r="Y403" s="1">
        <f t="shared" si="485"/>
        <v>-146.68492911533048</v>
      </c>
      <c r="Z403" s="1">
        <f t="shared" si="471"/>
        <v>-342.63002507456105</v>
      </c>
      <c r="AA403" s="1">
        <f t="shared" si="472"/>
        <v>-11695.724310341175</v>
      </c>
      <c r="AB403" s="1">
        <f t="shared" si="520"/>
        <v>43304.01601210919</v>
      </c>
      <c r="AC403" s="1">
        <f t="shared" si="474"/>
        <v>31265.661676693453</v>
      </c>
      <c r="AD403" s="1">
        <f t="shared" si="475"/>
        <v>1.4668492911514477</v>
      </c>
      <c r="AE403">
        <f t="shared" si="476"/>
        <v>31267.128525984604</v>
      </c>
      <c r="AG403" s="19">
        <v>46</v>
      </c>
      <c r="AH403" s="19">
        <f t="shared" ref="AH403:AK403" si="536">AH316</f>
        <v>0.2593951700743839</v>
      </c>
      <c r="AI403" s="19">
        <f t="shared" si="536"/>
        <v>3.809886036894463E-2</v>
      </c>
      <c r="AJ403" s="19">
        <f t="shared" si="536"/>
        <v>790.197</v>
      </c>
      <c r="AK403" s="19">
        <f t="shared" si="536"/>
        <v>729.59299999999996</v>
      </c>
    </row>
    <row r="404" spans="5:37">
      <c r="E404">
        <v>47</v>
      </c>
      <c r="F404" s="13"/>
      <c r="G404" s="13">
        <f t="shared" si="522"/>
        <v>0</v>
      </c>
      <c r="H404" s="13">
        <f t="shared" si="523"/>
        <v>196.20000000000002</v>
      </c>
      <c r="I404" s="13">
        <f t="shared" si="480"/>
        <v>1000000</v>
      </c>
      <c r="J404" s="13">
        <f t="shared" si="462"/>
        <v>743.24300000000005</v>
      </c>
      <c r="K404" s="5">
        <f t="shared" si="463"/>
        <v>801.39300000000003</v>
      </c>
      <c r="L404" s="21">
        <f t="shared" si="464"/>
        <v>743243</v>
      </c>
      <c r="M404">
        <f t="shared" si="465"/>
        <v>801393</v>
      </c>
      <c r="N404">
        <f t="shared" si="481"/>
        <v>0.16071961724</v>
      </c>
      <c r="O404">
        <f t="shared" si="482"/>
        <v>0.99855410997012306</v>
      </c>
      <c r="P404">
        <f t="shared" si="505"/>
        <v>1.6048723434782704E-4</v>
      </c>
      <c r="Q404">
        <f t="shared" si="506"/>
        <v>0.99839362273577525</v>
      </c>
      <c r="R404">
        <f t="shared" si="483"/>
        <v>789054.46203606133</v>
      </c>
      <c r="S404">
        <f t="shared" si="484"/>
        <v>9985.5410997012314</v>
      </c>
      <c r="T404">
        <f t="shared" si="467"/>
        <v>800105.66050509119</v>
      </c>
      <c r="U404" s="22">
        <f t="shared" si="518"/>
        <v>9983.9362273577517</v>
      </c>
      <c r="V404" s="1">
        <f t="shared" si="468"/>
        <v>0</v>
      </c>
      <c r="W404" s="1">
        <f t="shared" si="469"/>
        <v>0</v>
      </c>
      <c r="X404" s="1">
        <f t="shared" si="470"/>
        <v>-195.91631637613816</v>
      </c>
      <c r="Y404" s="1">
        <f t="shared" si="485"/>
        <v>-160.48723434782704</v>
      </c>
      <c r="Z404" s="1">
        <f t="shared" si="471"/>
        <v>-356.40355072396517</v>
      </c>
      <c r="AA404" s="1">
        <f t="shared" si="472"/>
        <v>-11051.198469029856</v>
      </c>
      <c r="AB404" s="1">
        <f t="shared" si="520"/>
        <v>43947.200172466939</v>
      </c>
      <c r="AC404" s="1">
        <f t="shared" si="474"/>
        <v>32539.598152713115</v>
      </c>
      <c r="AD404" s="1">
        <f t="shared" si="475"/>
        <v>1.6048723434796557</v>
      </c>
      <c r="AE404">
        <f t="shared" si="476"/>
        <v>32541.203025056595</v>
      </c>
      <c r="AG404" s="19">
        <v>47</v>
      </c>
      <c r="AH404" s="19">
        <f t="shared" ref="AH404:AK404" si="537">AH317</f>
        <v>0.22129630970543926</v>
      </c>
      <c r="AI404" s="19">
        <f t="shared" si="537"/>
        <v>3.5566658192482697E-2</v>
      </c>
      <c r="AJ404" s="19">
        <f t="shared" si="537"/>
        <v>801.39300000000003</v>
      </c>
      <c r="AK404" s="19">
        <f t="shared" si="537"/>
        <v>743.24300000000005</v>
      </c>
    </row>
    <row r="405" spans="5:37">
      <c r="E405">
        <v>48</v>
      </c>
      <c r="F405" s="13"/>
      <c r="G405" s="13">
        <f t="shared" si="522"/>
        <v>0</v>
      </c>
      <c r="H405" s="13">
        <f t="shared" si="523"/>
        <v>196.20000000000002</v>
      </c>
      <c r="I405" s="13">
        <f t="shared" si="480"/>
        <v>1000000</v>
      </c>
      <c r="J405" s="13">
        <f t="shared" si="462"/>
        <v>756.13800000000003</v>
      </c>
      <c r="K405" s="5">
        <f t="shared" si="463"/>
        <v>811.91499999999996</v>
      </c>
      <c r="L405" s="21">
        <f t="shared" si="464"/>
        <v>756138</v>
      </c>
      <c r="M405">
        <f t="shared" si="465"/>
        <v>811915</v>
      </c>
      <c r="N405">
        <f t="shared" si="481"/>
        <v>0.17567064424000001</v>
      </c>
      <c r="O405">
        <f t="shared" si="482"/>
        <v>0.99839362273577525</v>
      </c>
      <c r="P405">
        <f t="shared" si="505"/>
        <v>1.7538845091110116E-4</v>
      </c>
      <c r="Q405">
        <f t="shared" si="506"/>
        <v>0.99821823428486411</v>
      </c>
      <c r="R405">
        <f t="shared" si="483"/>
        <v>800105.66050509119</v>
      </c>
      <c r="S405">
        <f t="shared" si="484"/>
        <v>9983.9362273577517</v>
      </c>
      <c r="T405">
        <f t="shared" si="467"/>
        <v>810468.35768939543</v>
      </c>
      <c r="U405" s="22">
        <f t="shared" si="518"/>
        <v>9982.1823428486405</v>
      </c>
      <c r="V405" s="1">
        <f t="shared" si="468"/>
        <v>0</v>
      </c>
      <c r="W405" s="1">
        <f t="shared" si="469"/>
        <v>0</v>
      </c>
      <c r="X405" s="1">
        <f t="shared" si="470"/>
        <v>-195.88482878075914</v>
      </c>
      <c r="Y405" s="1">
        <f t="shared" si="485"/>
        <v>-175.38845091110116</v>
      </c>
      <c r="Z405" s="1">
        <f t="shared" si="471"/>
        <v>-371.2732796918603</v>
      </c>
      <c r="AA405" s="1">
        <f t="shared" si="472"/>
        <v>-10362.697184304241</v>
      </c>
      <c r="AB405" s="1">
        <f t="shared" si="520"/>
        <v>44554.927820284691</v>
      </c>
      <c r="AC405" s="1">
        <f t="shared" si="474"/>
        <v>33820.957356288593</v>
      </c>
      <c r="AD405" s="1">
        <f t="shared" si="475"/>
        <v>1.7538845091112307</v>
      </c>
      <c r="AE405">
        <f t="shared" si="476"/>
        <v>33822.711240797704</v>
      </c>
      <c r="AG405" s="19">
        <v>48</v>
      </c>
      <c r="AH405" s="19">
        <f t="shared" ref="AH405:AK405" si="538">AH318</f>
        <v>0.18572965151295656</v>
      </c>
      <c r="AI405" s="19">
        <f t="shared" si="538"/>
        <v>3.2627247535751774E-2</v>
      </c>
      <c r="AJ405" s="19">
        <f t="shared" si="538"/>
        <v>811.91499999999996</v>
      </c>
      <c r="AK405" s="19">
        <f t="shared" si="538"/>
        <v>756.13800000000003</v>
      </c>
    </row>
    <row r="406" spans="5:37">
      <c r="E406">
        <v>49</v>
      </c>
      <c r="F406" s="13"/>
      <c r="G406" s="13">
        <f t="shared" si="522"/>
        <v>0</v>
      </c>
      <c r="H406" s="13">
        <f t="shared" si="523"/>
        <v>196.20000000000002</v>
      </c>
      <c r="I406" s="13">
        <f t="shared" si="480"/>
        <v>1000000</v>
      </c>
      <c r="J406" s="13">
        <f t="shared" si="462"/>
        <v>768.31600000000003</v>
      </c>
      <c r="K406" s="5">
        <f t="shared" si="463"/>
        <v>821.80399999999997</v>
      </c>
      <c r="L406" s="21">
        <f t="shared" si="464"/>
        <v>768316</v>
      </c>
      <c r="M406">
        <f t="shared" si="465"/>
        <v>821804</v>
      </c>
      <c r="N406">
        <f t="shared" si="481"/>
        <v>0.19133653084000002</v>
      </c>
      <c r="O406">
        <f t="shared" si="482"/>
        <v>0.99821823428486411</v>
      </c>
      <c r="P406">
        <f t="shared" si="505"/>
        <v>1.9099561396929626E-4</v>
      </c>
      <c r="Q406">
        <f t="shared" si="506"/>
        <v>0.99802723867089482</v>
      </c>
      <c r="R406">
        <f t="shared" si="483"/>
        <v>810468.35768939543</v>
      </c>
      <c r="S406">
        <f t="shared" si="484"/>
        <v>9982.1823428486405</v>
      </c>
      <c r="T406">
        <f t="shared" si="467"/>
        <v>820182.77684869606</v>
      </c>
      <c r="U406" s="22">
        <f t="shared" si="518"/>
        <v>9980.272386708948</v>
      </c>
      <c r="V406" s="1">
        <f t="shared" si="468"/>
        <v>0</v>
      </c>
      <c r="W406" s="1">
        <f t="shared" si="469"/>
        <v>0</v>
      </c>
      <c r="X406" s="1">
        <f t="shared" si="470"/>
        <v>-195.85041756669037</v>
      </c>
      <c r="Y406" s="1">
        <f t="shared" si="485"/>
        <v>-190.99561396929627</v>
      </c>
      <c r="Z406" s="1">
        <f t="shared" si="471"/>
        <v>-386.84603153598664</v>
      </c>
      <c r="AA406" s="1">
        <f t="shared" si="472"/>
        <v>-9714.4191593006253</v>
      </c>
      <c r="AB406" s="1">
        <f t="shared" si="520"/>
        <v>45124.779701773426</v>
      </c>
      <c r="AC406" s="1">
        <f t="shared" si="474"/>
        <v>35023.514510936817</v>
      </c>
      <c r="AD406" s="1">
        <f t="shared" si="475"/>
        <v>1.90995613969244</v>
      </c>
      <c r="AE406">
        <f t="shared" si="476"/>
        <v>35025.424467076511</v>
      </c>
      <c r="AG406" s="19">
        <v>49</v>
      </c>
      <c r="AH406" s="19">
        <f t="shared" ref="AH406:AK406" si="539">AH319</f>
        <v>0.15310240397720479</v>
      </c>
      <c r="AI406" s="19">
        <f t="shared" si="539"/>
        <v>2.9294082840262584E-2</v>
      </c>
      <c r="AJ406" s="19">
        <f t="shared" si="539"/>
        <v>821.80399999999997</v>
      </c>
      <c r="AK406" s="19">
        <f t="shared" si="539"/>
        <v>768.31600000000003</v>
      </c>
    </row>
    <row r="407" spans="5:37">
      <c r="E407">
        <v>50</v>
      </c>
      <c r="F407" s="13"/>
      <c r="G407" s="13">
        <f t="shared" si="522"/>
        <v>0</v>
      </c>
      <c r="H407" s="13">
        <f t="shared" si="523"/>
        <v>196.20000000000002</v>
      </c>
      <c r="I407" s="13">
        <f t="shared" si="480"/>
        <v>1000000</v>
      </c>
      <c r="J407" s="13">
        <f t="shared" si="462"/>
        <v>779.87400000000002</v>
      </c>
      <c r="K407" s="5">
        <f t="shared" si="463"/>
        <v>831.14099999999996</v>
      </c>
      <c r="L407" s="21">
        <f t="shared" si="464"/>
        <v>779874</v>
      </c>
      <c r="M407">
        <f t="shared" si="465"/>
        <v>831141</v>
      </c>
      <c r="N407">
        <f t="shared" si="481"/>
        <v>0.20752287010000001</v>
      </c>
      <c r="O407">
        <f t="shared" si="482"/>
        <v>0.99802723867089482</v>
      </c>
      <c r="P407">
        <f t="shared" si="505"/>
        <v>2.0711347700696182E-4</v>
      </c>
      <c r="Q407">
        <f t="shared" si="506"/>
        <v>0.99782012519388785</v>
      </c>
      <c r="R407">
        <f t="shared" si="483"/>
        <v>820182.77684869606</v>
      </c>
      <c r="S407">
        <f t="shared" si="484"/>
        <v>9980.272386708948</v>
      </c>
      <c r="T407">
        <f t="shared" si="467"/>
        <v>829329.21667377313</v>
      </c>
      <c r="U407" s="22">
        <f t="shared" si="518"/>
        <v>9978.2012519388791</v>
      </c>
      <c r="V407" s="1">
        <f t="shared" si="468"/>
        <v>0</v>
      </c>
      <c r="W407" s="1">
        <f t="shared" si="469"/>
        <v>0</v>
      </c>
      <c r="X407" s="1">
        <f t="shared" si="470"/>
        <v>-195.81294422722959</v>
      </c>
      <c r="Y407" s="1">
        <f t="shared" si="485"/>
        <v>-207.11347700696183</v>
      </c>
      <c r="Z407" s="1">
        <f t="shared" si="471"/>
        <v>-402.92642123419142</v>
      </c>
      <c r="AA407" s="1">
        <f t="shared" si="472"/>
        <v>-9146.4398250770755</v>
      </c>
      <c r="AB407" s="1">
        <f t="shared" si="520"/>
        <v>45658.967707947275</v>
      </c>
      <c r="AC407" s="1">
        <f t="shared" si="474"/>
        <v>36109.601461636004</v>
      </c>
      <c r="AD407" s="1">
        <f t="shared" si="475"/>
        <v>2.0711347700689657</v>
      </c>
      <c r="AE407">
        <f t="shared" si="476"/>
        <v>36111.672596406075</v>
      </c>
      <c r="AG407" s="19">
        <v>50</v>
      </c>
      <c r="AH407" s="19">
        <f t="shared" ref="AH407:AK407" si="540">AH320</f>
        <v>0.12380832113694221</v>
      </c>
      <c r="AI407" s="19">
        <f t="shared" si="540"/>
        <v>2.5693058144600742E-2</v>
      </c>
      <c r="AJ407" s="19">
        <f t="shared" si="540"/>
        <v>831.14099999999996</v>
      </c>
      <c r="AK407" s="19">
        <f t="shared" si="540"/>
        <v>779.87400000000002</v>
      </c>
    </row>
    <row r="408" spans="5:37">
      <c r="E408">
        <v>51</v>
      </c>
      <c r="F408" s="13"/>
      <c r="G408" s="13">
        <f t="shared" si="522"/>
        <v>0</v>
      </c>
      <c r="H408" s="13">
        <f t="shared" si="523"/>
        <v>196.20000000000002</v>
      </c>
      <c r="I408" s="13">
        <f t="shared" si="480"/>
        <v>1000000</v>
      </c>
      <c r="J408" s="13">
        <f t="shared" si="462"/>
        <v>790.74800000000005</v>
      </c>
      <c r="K408" s="5">
        <f t="shared" si="463"/>
        <v>839.88699999999994</v>
      </c>
      <c r="L408" s="21">
        <f t="shared" si="464"/>
        <v>790748</v>
      </c>
      <c r="M408">
        <f t="shared" si="465"/>
        <v>839887</v>
      </c>
      <c r="N408">
        <f t="shared" si="481"/>
        <v>0.22489047126</v>
      </c>
      <c r="O408">
        <f t="shared" si="482"/>
        <v>0.99782012519388785</v>
      </c>
      <c r="P408">
        <f t="shared" si="505"/>
        <v>2.2440023818756562E-4</v>
      </c>
      <c r="Q408">
        <f t="shared" si="506"/>
        <v>0.99759572495570026</v>
      </c>
      <c r="R408">
        <f t="shared" si="483"/>
        <v>829329.21667377313</v>
      </c>
      <c r="S408">
        <f t="shared" si="484"/>
        <v>9978.2012519388791</v>
      </c>
      <c r="T408">
        <f t="shared" si="467"/>
        <v>837867.68064586818</v>
      </c>
      <c r="U408" s="22">
        <f t="shared" si="518"/>
        <v>9975.9572495570028</v>
      </c>
      <c r="V408" s="1">
        <f t="shared" si="468"/>
        <v>0</v>
      </c>
      <c r="W408" s="1">
        <f t="shared" si="469"/>
        <v>0</v>
      </c>
      <c r="X408" s="1">
        <f t="shared" si="470"/>
        <v>-195.77230856304081</v>
      </c>
      <c r="Y408" s="1">
        <f t="shared" si="485"/>
        <v>-224.40023818756563</v>
      </c>
      <c r="Z408" s="1">
        <f t="shared" si="471"/>
        <v>-420.17254675060644</v>
      </c>
      <c r="AA408" s="1">
        <f t="shared" si="472"/>
        <v>-8538.4639720950508</v>
      </c>
      <c r="AB408" s="1">
        <f t="shared" si="520"/>
        <v>46161.907985914157</v>
      </c>
      <c r="AC408" s="1">
        <f t="shared" si="474"/>
        <v>37203.271467068502</v>
      </c>
      <c r="AD408" s="1">
        <f t="shared" si="475"/>
        <v>2.2440023818762711</v>
      </c>
      <c r="AE408">
        <f t="shared" si="476"/>
        <v>37205.51546945038</v>
      </c>
      <c r="AG408" s="19">
        <v>51</v>
      </c>
      <c r="AH408" s="19">
        <f t="shared" ref="AH408:AK408" si="541">AH321</f>
        <v>9.8115262992341468E-2</v>
      </c>
      <c r="AI408" s="19">
        <f t="shared" si="541"/>
        <v>2.206518773214651E-2</v>
      </c>
      <c r="AJ408" s="19">
        <f t="shared" si="541"/>
        <v>839.88699999999994</v>
      </c>
      <c r="AK408" s="19">
        <f t="shared" si="541"/>
        <v>790.74800000000005</v>
      </c>
    </row>
    <row r="409" spans="5:37">
      <c r="E409">
        <v>52</v>
      </c>
      <c r="F409" s="13"/>
      <c r="G409" s="13">
        <f t="shared" si="522"/>
        <v>0</v>
      </c>
      <c r="H409" s="13">
        <f t="shared" si="523"/>
        <v>196.20000000000002</v>
      </c>
      <c r="I409" s="13">
        <f t="shared" si="480"/>
        <v>1000000</v>
      </c>
      <c r="J409" s="13">
        <f t="shared" si="462"/>
        <v>801.03300000000002</v>
      </c>
      <c r="K409" s="5">
        <f t="shared" si="463"/>
        <v>848.12099999999998</v>
      </c>
      <c r="L409" s="21">
        <f t="shared" si="464"/>
        <v>801033</v>
      </c>
      <c r="M409">
        <f t="shared" si="465"/>
        <v>848121</v>
      </c>
      <c r="N409">
        <f t="shared" si="481"/>
        <v>0.2427514999</v>
      </c>
      <c r="O409">
        <f t="shared" si="482"/>
        <v>0.99759572495570026</v>
      </c>
      <c r="P409">
        <f t="shared" si="505"/>
        <v>2.421678585268241E-4</v>
      </c>
      <c r="Q409">
        <f t="shared" si="506"/>
        <v>0.99735355709717344</v>
      </c>
      <c r="R409">
        <f t="shared" si="483"/>
        <v>837867.68064586818</v>
      </c>
      <c r="S409">
        <f t="shared" si="484"/>
        <v>9975.9572495570028</v>
      </c>
      <c r="T409">
        <f t="shared" si="467"/>
        <v>845876.4961988118</v>
      </c>
      <c r="U409" s="22">
        <f t="shared" si="518"/>
        <v>9973.5355709717351</v>
      </c>
      <c r="V409" s="1">
        <f t="shared" si="468"/>
        <v>0</v>
      </c>
      <c r="W409" s="1">
        <f t="shared" si="469"/>
        <v>0</v>
      </c>
      <c r="X409" s="1">
        <f t="shared" si="470"/>
        <v>-195.72828123630842</v>
      </c>
      <c r="Y409" s="1">
        <f t="shared" si="485"/>
        <v>-242.16785852682409</v>
      </c>
      <c r="Z409" s="1">
        <f t="shared" si="471"/>
        <v>-437.89613976313251</v>
      </c>
      <c r="AA409" s="1">
        <f t="shared" si="472"/>
        <v>-8008.815552943619</v>
      </c>
      <c r="AB409" s="1">
        <f t="shared" si="520"/>
        <v>46631.400084248387</v>
      </c>
      <c r="AC409" s="1">
        <f t="shared" si="474"/>
        <v>38184.68839154164</v>
      </c>
      <c r="AD409" s="1">
        <f t="shared" si="475"/>
        <v>2.4216785852677276</v>
      </c>
      <c r="AE409">
        <f t="shared" si="476"/>
        <v>38187.11007012691</v>
      </c>
      <c r="AG409" s="19">
        <v>52</v>
      </c>
      <c r="AH409" s="19">
        <f t="shared" ref="AH409:AK409" si="542">AH322</f>
        <v>7.6050075260194958E-2</v>
      </c>
      <c r="AI409" s="19">
        <f t="shared" si="542"/>
        <v>1.8461269836920209E-2</v>
      </c>
      <c r="AJ409" s="19">
        <f t="shared" si="542"/>
        <v>848.12099999999998</v>
      </c>
      <c r="AK409" s="19">
        <f t="shared" si="542"/>
        <v>801.03300000000002</v>
      </c>
    </row>
    <row r="410" spans="5:37">
      <c r="E410">
        <v>53</v>
      </c>
      <c r="F410" s="13"/>
      <c r="G410" s="13">
        <f t="shared" si="522"/>
        <v>0</v>
      </c>
      <c r="H410" s="13">
        <f t="shared" si="523"/>
        <v>196.20000000000002</v>
      </c>
      <c r="I410" s="13">
        <f t="shared" si="480"/>
        <v>1000000</v>
      </c>
      <c r="J410" s="13">
        <f t="shared" si="462"/>
        <v>810.702</v>
      </c>
      <c r="K410" s="5">
        <f t="shared" si="463"/>
        <v>855.82799999999997</v>
      </c>
      <c r="L410" s="21">
        <f t="shared" si="464"/>
        <v>810702</v>
      </c>
      <c r="M410">
        <f t="shared" si="465"/>
        <v>855828</v>
      </c>
      <c r="N410">
        <f t="shared" si="481"/>
        <v>0.26166912590000002</v>
      </c>
      <c r="O410">
        <f t="shared" si="482"/>
        <v>0.99735355709717344</v>
      </c>
      <c r="P410">
        <f t="shared" si="505"/>
        <v>2.609766334988731E-4</v>
      </c>
      <c r="Q410">
        <f t="shared" si="506"/>
        <v>0.99709258046367455</v>
      </c>
      <c r="R410">
        <f t="shared" si="483"/>
        <v>845876.4961988118</v>
      </c>
      <c r="S410">
        <f t="shared" si="484"/>
        <v>9973.5355709717351</v>
      </c>
      <c r="T410">
        <f t="shared" si="467"/>
        <v>853339.74895306572</v>
      </c>
      <c r="U410" s="22">
        <f t="shared" si="518"/>
        <v>9970.9258046367449</v>
      </c>
      <c r="V410" s="1">
        <f t="shared" si="468"/>
        <v>0</v>
      </c>
      <c r="W410" s="1">
        <f t="shared" si="469"/>
        <v>0</v>
      </c>
      <c r="X410" s="1">
        <f t="shared" si="470"/>
        <v>-195.68076790246545</v>
      </c>
      <c r="Y410" s="1">
        <f t="shared" si="485"/>
        <v>-260.97663349887313</v>
      </c>
      <c r="Z410" s="1">
        <f t="shared" si="471"/>
        <v>-456.65740140133857</v>
      </c>
      <c r="AA410" s="1">
        <f t="shared" si="472"/>
        <v>-7463.2527542539174</v>
      </c>
      <c r="AB410" s="1">
        <f t="shared" si="520"/>
        <v>47071.751747338094</v>
      </c>
      <c r="AC410" s="1">
        <f t="shared" si="474"/>
        <v>39151.841591682838</v>
      </c>
      <c r="AD410" s="1">
        <f t="shared" si="475"/>
        <v>2.6097663349901268</v>
      </c>
      <c r="AE410">
        <f t="shared" si="476"/>
        <v>39154.451358017832</v>
      </c>
      <c r="AG410" s="19">
        <v>53</v>
      </c>
      <c r="AH410" s="19">
        <f t="shared" ref="AH410:AK410" si="543">AH323</f>
        <v>5.7588805423274748E-2</v>
      </c>
      <c r="AI410" s="19">
        <f t="shared" si="543"/>
        <v>1.5069212376733485E-2</v>
      </c>
      <c r="AJ410" s="19">
        <f t="shared" si="543"/>
        <v>855.82799999999997</v>
      </c>
      <c r="AK410" s="19">
        <f t="shared" si="543"/>
        <v>810.702</v>
      </c>
    </row>
    <row r="411" spans="5:37">
      <c r="E411">
        <v>54</v>
      </c>
      <c r="F411" s="13"/>
      <c r="G411" s="13">
        <f t="shared" si="522"/>
        <v>0</v>
      </c>
      <c r="H411" s="13">
        <f t="shared" si="523"/>
        <v>196.20000000000002</v>
      </c>
      <c r="I411" s="13">
        <f t="shared" si="480"/>
        <v>1000000</v>
      </c>
      <c r="J411" s="13">
        <f t="shared" si="462"/>
        <v>819.69200000000001</v>
      </c>
      <c r="K411" s="5">
        <f t="shared" si="463"/>
        <v>862.96699999999998</v>
      </c>
      <c r="L411" s="21">
        <f t="shared" si="464"/>
        <v>819692</v>
      </c>
      <c r="M411">
        <f t="shared" si="465"/>
        <v>862967</v>
      </c>
      <c r="N411">
        <f t="shared" si="481"/>
        <v>0.28169565606000002</v>
      </c>
      <c r="O411">
        <f t="shared" si="482"/>
        <v>0.99709258046367455</v>
      </c>
      <c r="P411">
        <f t="shared" si="505"/>
        <v>2.8087664860627313E-4</v>
      </c>
      <c r="Q411">
        <f t="shared" si="506"/>
        <v>0.99681170381506823</v>
      </c>
      <c r="R411">
        <f t="shared" si="483"/>
        <v>853339.74895306572</v>
      </c>
      <c r="S411">
        <f t="shared" si="484"/>
        <v>9970.9258046367449</v>
      </c>
      <c r="T411">
        <f t="shared" si="467"/>
        <v>860215.60560617794</v>
      </c>
      <c r="U411" s="22">
        <f t="shared" si="518"/>
        <v>9968.1170381506818</v>
      </c>
      <c r="V411" s="1">
        <f t="shared" si="468"/>
        <v>0</v>
      </c>
      <c r="W411" s="1">
        <f t="shared" si="469"/>
        <v>0</v>
      </c>
      <c r="X411" s="1">
        <f t="shared" si="470"/>
        <v>-195.62956428697296</v>
      </c>
      <c r="Y411" s="1">
        <f t="shared" si="485"/>
        <v>-280.87664860627314</v>
      </c>
      <c r="Z411" s="1">
        <f t="shared" si="471"/>
        <v>-476.50621289324613</v>
      </c>
      <c r="AA411" s="1">
        <f t="shared" si="472"/>
        <v>-6875.8566531122196</v>
      </c>
      <c r="AB411" s="1">
        <f t="shared" si="520"/>
        <v>47482.087111673638</v>
      </c>
      <c r="AC411" s="1">
        <f t="shared" si="474"/>
        <v>40129.724245668171</v>
      </c>
      <c r="AD411" s="1">
        <f t="shared" si="475"/>
        <v>2.8087664860631776</v>
      </c>
      <c r="AE411">
        <f t="shared" si="476"/>
        <v>40132.533012154236</v>
      </c>
      <c r="AG411" s="19">
        <v>54</v>
      </c>
      <c r="AH411" s="19">
        <f t="shared" ref="AH411:AK411" si="544">AH324</f>
        <v>4.2519593046541265E-2</v>
      </c>
      <c r="AI411" s="19">
        <f t="shared" si="544"/>
        <v>1.1977584658649657E-2</v>
      </c>
      <c r="AJ411" s="19">
        <f t="shared" si="544"/>
        <v>862.96699999999998</v>
      </c>
      <c r="AK411" s="19">
        <f t="shared" si="544"/>
        <v>819.69200000000001</v>
      </c>
    </row>
    <row r="412" spans="5:37">
      <c r="E412">
        <v>55</v>
      </c>
      <c r="F412" s="13"/>
      <c r="G412" s="13">
        <f t="shared" si="522"/>
        <v>0</v>
      </c>
      <c r="H412" s="13">
        <f t="shared" si="523"/>
        <v>196.20000000000002</v>
      </c>
      <c r="I412" s="13">
        <f t="shared" si="480"/>
        <v>1000000</v>
      </c>
      <c r="J412" s="13">
        <f t="shared" si="462"/>
        <v>828.077</v>
      </c>
      <c r="K412" s="5">
        <f t="shared" si="463"/>
        <v>869.6</v>
      </c>
      <c r="L412" s="21">
        <f t="shared" si="464"/>
        <v>828077</v>
      </c>
      <c r="M412">
        <f t="shared" si="465"/>
        <v>869600</v>
      </c>
      <c r="N412">
        <f t="shared" si="481"/>
        <v>0.30209182094000003</v>
      </c>
      <c r="O412">
        <f t="shared" si="482"/>
        <v>0.99681170381506823</v>
      </c>
      <c r="P412">
        <f t="shared" si="505"/>
        <v>3.0112866273979794E-4</v>
      </c>
      <c r="Q412">
        <f t="shared" si="506"/>
        <v>0.99651057515232844</v>
      </c>
      <c r="R412">
        <f t="shared" si="483"/>
        <v>860215.60560617794</v>
      </c>
      <c r="S412">
        <f t="shared" si="484"/>
        <v>9968.1170381506818</v>
      </c>
      <c r="T412">
        <f t="shared" si="467"/>
        <v>866565.59615246486</v>
      </c>
      <c r="U412" s="22">
        <f t="shared" si="518"/>
        <v>9965.1057515232842</v>
      </c>
      <c r="V412" s="1">
        <f t="shared" si="468"/>
        <v>0</v>
      </c>
      <c r="W412" s="1">
        <f t="shared" si="469"/>
        <v>0</v>
      </c>
      <c r="X412" s="1">
        <f t="shared" si="470"/>
        <v>-195.57445628851642</v>
      </c>
      <c r="Y412" s="1">
        <f t="shared" si="485"/>
        <v>-301.12866273979796</v>
      </c>
      <c r="Z412" s="1">
        <f t="shared" si="471"/>
        <v>-496.7031190283144</v>
      </c>
      <c r="AA412" s="1">
        <f t="shared" si="472"/>
        <v>-6349.990546286921</v>
      </c>
      <c r="AB412" s="1">
        <f t="shared" si="520"/>
        <v>47860.104745438075</v>
      </c>
      <c r="AC412" s="1">
        <f t="shared" si="474"/>
        <v>41013.411080122838</v>
      </c>
      <c r="AD412" s="1">
        <f t="shared" si="475"/>
        <v>3.0112866273975669</v>
      </c>
      <c r="AE412">
        <f t="shared" si="476"/>
        <v>41016.422366750237</v>
      </c>
      <c r="AG412" s="19">
        <v>55</v>
      </c>
      <c r="AH412" s="19">
        <f t="shared" ref="AH412:AK412" si="545">AH325</f>
        <v>3.054200838789161E-2</v>
      </c>
      <c r="AI412" s="19">
        <f t="shared" si="545"/>
        <v>9.2264909290629311E-3</v>
      </c>
      <c r="AJ412" s="19">
        <f t="shared" si="545"/>
        <v>869.6</v>
      </c>
      <c r="AK412" s="19">
        <f t="shared" si="545"/>
        <v>828.077</v>
      </c>
    </row>
    <row r="413" spans="5:37">
      <c r="E413">
        <v>56</v>
      </c>
      <c r="F413" s="13"/>
      <c r="G413" s="13">
        <f t="shared" si="522"/>
        <v>0</v>
      </c>
      <c r="H413" s="13">
        <f t="shared" si="523"/>
        <v>196.20000000000002</v>
      </c>
      <c r="I413" s="13">
        <f t="shared" si="480"/>
        <v>1000000</v>
      </c>
      <c r="J413" s="13">
        <f t="shared" si="462"/>
        <v>835.79700000000003</v>
      </c>
      <c r="K413" s="5">
        <f t="shared" si="463"/>
        <v>875.68799999999999</v>
      </c>
      <c r="L413" s="21">
        <f t="shared" si="464"/>
        <v>835797</v>
      </c>
      <c r="M413">
        <f t="shared" si="465"/>
        <v>875688</v>
      </c>
      <c r="N413">
        <f t="shared" si="481"/>
        <v>0.32340684194000002</v>
      </c>
      <c r="O413">
        <f t="shared" si="482"/>
        <v>0.99651057515232844</v>
      </c>
      <c r="P413">
        <f t="shared" si="505"/>
        <v>3.2227833806982756E-4</v>
      </c>
      <c r="Q413">
        <f t="shared" si="506"/>
        <v>0.99618829681425858</v>
      </c>
      <c r="R413">
        <f t="shared" si="483"/>
        <v>866565.59615246486</v>
      </c>
      <c r="S413">
        <f t="shared" si="484"/>
        <v>9965.1057515232842</v>
      </c>
      <c r="T413">
        <f t="shared" si="467"/>
        <v>872350.13726068451</v>
      </c>
      <c r="U413" s="22">
        <f t="shared" si="518"/>
        <v>9961.882968142585</v>
      </c>
      <c r="V413" s="1">
        <f t="shared" si="468"/>
        <v>0</v>
      </c>
      <c r="W413" s="1">
        <f t="shared" si="469"/>
        <v>0</v>
      </c>
      <c r="X413" s="1">
        <f t="shared" si="470"/>
        <v>-195.51537484488685</v>
      </c>
      <c r="Y413" s="1">
        <f t="shared" si="485"/>
        <v>-322.27833806982756</v>
      </c>
      <c r="Z413" s="1">
        <f t="shared" si="471"/>
        <v>-517.79371291471443</v>
      </c>
      <c r="AA413" s="1">
        <f t="shared" si="472"/>
        <v>-5784.5411082196515</v>
      </c>
      <c r="AB413" s="1">
        <f t="shared" si="520"/>
        <v>48209.188604719347</v>
      </c>
      <c r="AC413" s="1">
        <f t="shared" si="474"/>
        <v>41906.853783584986</v>
      </c>
      <c r="AD413" s="1">
        <f t="shared" si="475"/>
        <v>3.2227833806991839</v>
      </c>
      <c r="AE413">
        <f t="shared" si="476"/>
        <v>41910.076566965683</v>
      </c>
      <c r="AG413" s="19">
        <v>56</v>
      </c>
      <c r="AH413" s="19">
        <f t="shared" ref="AH413:AK413" si="546">AH326</f>
        <v>2.1315517458828679E-2</v>
      </c>
      <c r="AI413" s="19">
        <f t="shared" si="546"/>
        <v>6.8935841856767174E-3</v>
      </c>
      <c r="AJ413" s="19">
        <f t="shared" si="546"/>
        <v>875.68799999999999</v>
      </c>
      <c r="AK413" s="19">
        <f t="shared" si="546"/>
        <v>835.79700000000003</v>
      </c>
    </row>
    <row r="414" spans="5:37">
      <c r="E414">
        <v>57</v>
      </c>
      <c r="F414" s="13"/>
      <c r="G414" s="13">
        <f t="shared" si="522"/>
        <v>0</v>
      </c>
      <c r="H414" s="13">
        <f t="shared" si="523"/>
        <v>196.20000000000002</v>
      </c>
      <c r="I414" s="13">
        <f t="shared" si="480"/>
        <v>1000000</v>
      </c>
      <c r="J414" s="13">
        <f t="shared" si="462"/>
        <v>842.90899999999999</v>
      </c>
      <c r="K414" s="5">
        <f t="shared" si="463"/>
        <v>881.28200000000004</v>
      </c>
      <c r="L414" s="21">
        <f t="shared" si="464"/>
        <v>842909</v>
      </c>
      <c r="M414">
        <f t="shared" si="465"/>
        <v>881282</v>
      </c>
      <c r="N414">
        <f t="shared" si="481"/>
        <v>0.34486570663999999</v>
      </c>
      <c r="O414">
        <f t="shared" si="482"/>
        <v>0.99618829681425858</v>
      </c>
      <c r="P414">
        <f t="shared" si="505"/>
        <v>3.4355118092734731E-4</v>
      </c>
      <c r="Q414">
        <f t="shared" si="506"/>
        <v>0.99584474563333125</v>
      </c>
      <c r="R414">
        <f t="shared" si="483"/>
        <v>872350.13726068451</v>
      </c>
      <c r="S414">
        <f t="shared" si="484"/>
        <v>9961.882968142585</v>
      </c>
      <c r="T414">
        <f t="shared" si="467"/>
        <v>877620.0491212334</v>
      </c>
      <c r="U414" s="22">
        <f t="shared" si="518"/>
        <v>9958.4474563333133</v>
      </c>
      <c r="V414" s="1">
        <f t="shared" si="468"/>
        <v>0</v>
      </c>
      <c r="W414" s="1">
        <f t="shared" si="469"/>
        <v>0</v>
      </c>
      <c r="X414" s="1">
        <f t="shared" si="470"/>
        <v>-195.45214383495755</v>
      </c>
      <c r="Y414" s="1">
        <f t="shared" si="485"/>
        <v>-343.55118092734733</v>
      </c>
      <c r="Z414" s="1">
        <f t="shared" si="471"/>
        <v>-539.00332476230483</v>
      </c>
      <c r="AA414" s="1">
        <f t="shared" si="472"/>
        <v>-5269.9118605488911</v>
      </c>
      <c r="AB414" s="1">
        <f t="shared" si="520"/>
        <v>48527.161112585491</v>
      </c>
      <c r="AC414" s="1">
        <f t="shared" si="474"/>
        <v>42718.245927274293</v>
      </c>
      <c r="AD414" s="1">
        <f t="shared" si="475"/>
        <v>3.4355118092717021</v>
      </c>
      <c r="AE414">
        <f t="shared" si="476"/>
        <v>42721.681439083564</v>
      </c>
      <c r="AG414" s="19">
        <v>57</v>
      </c>
      <c r="AH414" s="19">
        <f t="shared" ref="AH414:AK414" si="547">AH327</f>
        <v>1.4421933273151961E-2</v>
      </c>
      <c r="AI414" s="19">
        <f t="shared" si="547"/>
        <v>4.9736302093604792E-3</v>
      </c>
      <c r="AJ414" s="19">
        <f t="shared" si="547"/>
        <v>881.28200000000004</v>
      </c>
      <c r="AK414" s="19">
        <f t="shared" si="547"/>
        <v>842.90899999999999</v>
      </c>
    </row>
    <row r="415" spans="5:37">
      <c r="E415">
        <v>58</v>
      </c>
      <c r="F415" s="13"/>
      <c r="G415" s="13">
        <f t="shared" si="522"/>
        <v>0</v>
      </c>
      <c r="H415" s="13">
        <f t="shared" si="523"/>
        <v>196.20000000000002</v>
      </c>
      <c r="I415" s="13">
        <f t="shared" si="480"/>
        <v>1000000</v>
      </c>
      <c r="J415" s="13">
        <f t="shared" si="462"/>
        <v>849.57100000000003</v>
      </c>
      <c r="K415" s="5">
        <f t="shared" si="463"/>
        <v>886.50400000000002</v>
      </c>
      <c r="L415" s="21">
        <f t="shared" si="464"/>
        <v>849571</v>
      </c>
      <c r="M415">
        <f t="shared" si="465"/>
        <v>886504</v>
      </c>
      <c r="N415">
        <f t="shared" si="481"/>
        <v>0.36597324400000003</v>
      </c>
      <c r="O415">
        <f t="shared" si="482"/>
        <v>0.99584474563333125</v>
      </c>
      <c r="P415">
        <f t="shared" si="505"/>
        <v>3.644525320797851E-4</v>
      </c>
      <c r="Q415">
        <f t="shared" si="506"/>
        <v>0.99548029310125141</v>
      </c>
      <c r="R415">
        <f t="shared" si="483"/>
        <v>877620.0491212334</v>
      </c>
      <c r="S415">
        <f t="shared" si="484"/>
        <v>9958.4474563333133</v>
      </c>
      <c r="T415">
        <f t="shared" si="467"/>
        <v>882497.26175543177</v>
      </c>
      <c r="U415" s="22">
        <f t="shared" si="518"/>
        <v>9954.8029310125148</v>
      </c>
      <c r="V415" s="1">
        <f t="shared" si="468"/>
        <v>0</v>
      </c>
      <c r="W415" s="1">
        <f t="shared" si="469"/>
        <v>0</v>
      </c>
      <c r="X415" s="1">
        <f t="shared" si="470"/>
        <v>-195.38473909325961</v>
      </c>
      <c r="Y415" s="1">
        <f t="shared" si="485"/>
        <v>-364.4525320797851</v>
      </c>
      <c r="Z415" s="1">
        <f t="shared" si="471"/>
        <v>-559.83727117304466</v>
      </c>
      <c r="AA415" s="1">
        <f t="shared" si="472"/>
        <v>-4877.2126341983676</v>
      </c>
      <c r="AB415" s="1">
        <f t="shared" si="520"/>
        <v>48816.817311766172</v>
      </c>
      <c r="AC415" s="1">
        <f t="shared" si="474"/>
        <v>43379.767406394763</v>
      </c>
      <c r="AD415" s="1">
        <f t="shared" si="475"/>
        <v>3.6445253207984933</v>
      </c>
      <c r="AE415">
        <f t="shared" si="476"/>
        <v>43383.411931715564</v>
      </c>
      <c r="AG415" s="19">
        <v>58</v>
      </c>
      <c r="AH415" s="19">
        <f t="shared" ref="AH415:AK415" si="548">AH328</f>
        <v>9.4483030637914807E-3</v>
      </c>
      <c r="AI415" s="19">
        <f t="shared" si="548"/>
        <v>3.4578261225509076E-3</v>
      </c>
      <c r="AJ415" s="19">
        <f t="shared" si="548"/>
        <v>886.50400000000002</v>
      </c>
      <c r="AK415" s="19">
        <f t="shared" si="548"/>
        <v>849.57100000000003</v>
      </c>
    </row>
    <row r="416" spans="5:37">
      <c r="E416">
        <v>59</v>
      </c>
      <c r="F416" s="13"/>
      <c r="G416" s="13">
        <f t="shared" si="522"/>
        <v>0</v>
      </c>
      <c r="H416" s="13">
        <f t="shared" si="523"/>
        <v>196.20000000000002</v>
      </c>
      <c r="I416" s="13">
        <f t="shared" si="480"/>
        <v>1000000</v>
      </c>
      <c r="J416" s="13">
        <f t="shared" si="462"/>
        <v>855.79200000000003</v>
      </c>
      <c r="K416" s="5">
        <f t="shared" si="463"/>
        <v>891.36800000000005</v>
      </c>
      <c r="L416" s="21">
        <f t="shared" si="464"/>
        <v>855792</v>
      </c>
      <c r="M416">
        <f t="shared" si="465"/>
        <v>891368</v>
      </c>
      <c r="N416">
        <f t="shared" si="481"/>
        <v>0.38758554198</v>
      </c>
      <c r="O416">
        <f t="shared" si="482"/>
        <v>0.99548029310125141</v>
      </c>
      <c r="P416">
        <f t="shared" si="505"/>
        <v>3.8583376893205776E-4</v>
      </c>
      <c r="Q416">
        <f t="shared" si="506"/>
        <v>0.99509445933231933</v>
      </c>
      <c r="R416">
        <f t="shared" si="483"/>
        <v>882497.26175543177</v>
      </c>
      <c r="S416">
        <f t="shared" si="484"/>
        <v>9954.8029310125148</v>
      </c>
      <c r="T416">
        <f t="shared" si="467"/>
        <v>886995.35802613082</v>
      </c>
      <c r="U416" s="22">
        <f t="shared" si="518"/>
        <v>9950.9445933231927</v>
      </c>
      <c r="V416" s="1">
        <f t="shared" si="468"/>
        <v>0</v>
      </c>
      <c r="W416" s="1">
        <f t="shared" si="469"/>
        <v>0</v>
      </c>
      <c r="X416" s="1">
        <f t="shared" si="470"/>
        <v>-195.31323350646554</v>
      </c>
      <c r="Y416" s="1">
        <f t="shared" si="485"/>
        <v>-385.83376893205775</v>
      </c>
      <c r="Z416" s="1">
        <f t="shared" si="471"/>
        <v>-581.14700243852326</v>
      </c>
      <c r="AA416" s="1">
        <f t="shared" si="472"/>
        <v>-4498.096270699054</v>
      </c>
      <c r="AB416" s="1">
        <f t="shared" si="520"/>
        <v>49084.863557754434</v>
      </c>
      <c r="AC416" s="1">
        <f t="shared" si="474"/>
        <v>44005.62028461686</v>
      </c>
      <c r="AD416" s="1">
        <f t="shared" si="475"/>
        <v>3.8583376893220702</v>
      </c>
      <c r="AE416">
        <f t="shared" si="476"/>
        <v>44009.478622306182</v>
      </c>
      <c r="AG416" s="19">
        <v>59</v>
      </c>
      <c r="AH416" s="19">
        <f t="shared" ref="AH416:AK416" si="549">AH329</f>
        <v>5.9904769412405731E-3</v>
      </c>
      <c r="AI416" s="19">
        <f t="shared" si="549"/>
        <v>2.3218222519894201E-3</v>
      </c>
      <c r="AJ416" s="19">
        <f t="shared" si="549"/>
        <v>891.36800000000005</v>
      </c>
      <c r="AK416" s="19">
        <f t="shared" si="549"/>
        <v>855.79200000000003</v>
      </c>
    </row>
    <row r="417" spans="5:37">
      <c r="E417">
        <v>60</v>
      </c>
      <c r="F417" s="13"/>
      <c r="G417" s="13">
        <f t="shared" si="522"/>
        <v>0</v>
      </c>
      <c r="H417" s="13">
        <f t="shared" si="523"/>
        <v>196.20000000000002</v>
      </c>
      <c r="I417" s="13">
        <f t="shared" si="480"/>
        <v>1000000</v>
      </c>
      <c r="J417" s="13">
        <f t="shared" si="462"/>
        <v>861.59</v>
      </c>
      <c r="K417" s="5">
        <f t="shared" si="463"/>
        <v>895.88800000000003</v>
      </c>
      <c r="L417" s="21">
        <f t="shared" si="464"/>
        <v>861590</v>
      </c>
      <c r="M417">
        <f t="shared" si="465"/>
        <v>895888</v>
      </c>
      <c r="N417">
        <f t="shared" si="481"/>
        <v>0.40957619247999999</v>
      </c>
      <c r="O417">
        <f t="shared" si="482"/>
        <v>0.99509445933231933</v>
      </c>
      <c r="P417">
        <f t="shared" si="505"/>
        <v>4.0756699981127554E-4</v>
      </c>
      <c r="Q417">
        <f t="shared" si="506"/>
        <v>0.99468689233250807</v>
      </c>
      <c r="R417">
        <f t="shared" si="483"/>
        <v>886995.35802613082</v>
      </c>
      <c r="S417">
        <f t="shared" si="484"/>
        <v>9950.9445933231927</v>
      </c>
      <c r="T417">
        <f t="shared" si="467"/>
        <v>891128.05059798597</v>
      </c>
      <c r="U417" s="22">
        <f t="shared" si="518"/>
        <v>9946.8689233250807</v>
      </c>
      <c r="V417" s="1">
        <f t="shared" si="468"/>
        <v>0</v>
      </c>
      <c r="W417" s="1">
        <f t="shared" si="469"/>
        <v>0</v>
      </c>
      <c r="X417" s="1">
        <f t="shared" si="470"/>
        <v>-195.23753292100108</v>
      </c>
      <c r="Y417" s="1">
        <f t="shared" si="485"/>
        <v>-407.56699981127554</v>
      </c>
      <c r="Z417" s="1">
        <f t="shared" si="471"/>
        <v>-602.80453273227658</v>
      </c>
      <c r="AA417" s="1">
        <f t="shared" si="472"/>
        <v>-4132.6925718551502</v>
      </c>
      <c r="AB417" s="1">
        <f t="shared" si="520"/>
        <v>49332.046644069967</v>
      </c>
      <c r="AC417" s="1">
        <f t="shared" si="474"/>
        <v>44596.549539482541</v>
      </c>
      <c r="AD417" s="1">
        <f t="shared" si="475"/>
        <v>4.0756699981120619</v>
      </c>
      <c r="AE417">
        <f t="shared" si="476"/>
        <v>44600.625209480655</v>
      </c>
      <c r="AG417" s="19">
        <v>60</v>
      </c>
      <c r="AH417" s="19">
        <f t="shared" ref="AH417:AK417" si="550">AH330</f>
        <v>3.668654689251153E-3</v>
      </c>
      <c r="AI417" s="19">
        <f t="shared" si="550"/>
        <v>1.5025936191473848E-3</v>
      </c>
      <c r="AJ417" s="19">
        <f t="shared" si="550"/>
        <v>895.88800000000003</v>
      </c>
      <c r="AK417" s="19">
        <f t="shared" si="550"/>
        <v>861.59</v>
      </c>
    </row>
    <row r="418" spans="5:37">
      <c r="E418">
        <v>61</v>
      </c>
      <c r="F418" s="13"/>
      <c r="G418" s="13">
        <f t="shared" si="522"/>
        <v>0</v>
      </c>
      <c r="H418" s="13">
        <f t="shared" si="523"/>
        <v>196.20000000000002</v>
      </c>
      <c r="I418" s="13">
        <f t="shared" si="480"/>
        <v>1000000</v>
      </c>
      <c r="J418" s="13">
        <f t="shared" si="462"/>
        <v>866.99099999999999</v>
      </c>
      <c r="K418" s="5">
        <f t="shared" si="463"/>
        <v>900.09</v>
      </c>
      <c r="L418" s="21">
        <f t="shared" si="464"/>
        <v>866991</v>
      </c>
      <c r="M418">
        <f t="shared" si="465"/>
        <v>900090</v>
      </c>
      <c r="N418">
        <f t="shared" si="481"/>
        <v>0.43180309536</v>
      </c>
      <c r="O418">
        <f t="shared" si="482"/>
        <v>0.99468689233250807</v>
      </c>
      <c r="P418">
        <f t="shared" si="505"/>
        <v>4.2950887902319602E-4</v>
      </c>
      <c r="Q418">
        <f t="shared" si="506"/>
        <v>0.99425738345348491</v>
      </c>
      <c r="R418">
        <f t="shared" si="483"/>
        <v>891128.05059798597</v>
      </c>
      <c r="S418">
        <f t="shared" si="484"/>
        <v>9946.8689233250807</v>
      </c>
      <c r="T418">
        <f t="shared" si="467"/>
        <v>894921.12827264727</v>
      </c>
      <c r="U418" s="22">
        <f t="shared" si="518"/>
        <v>9942.5738345348491</v>
      </c>
      <c r="V418" s="1">
        <f t="shared" si="468"/>
        <v>0</v>
      </c>
      <c r="W418" s="1">
        <f t="shared" si="469"/>
        <v>0</v>
      </c>
      <c r="X418" s="1">
        <f t="shared" si="470"/>
        <v>-195.15756827563811</v>
      </c>
      <c r="Y418" s="1">
        <f t="shared" si="485"/>
        <v>-429.50887902319602</v>
      </c>
      <c r="Z418" s="1">
        <f t="shared" si="471"/>
        <v>-624.6664472988341</v>
      </c>
      <c r="AA418" s="1">
        <f t="shared" si="472"/>
        <v>-3793.0776746612974</v>
      </c>
      <c r="AB418" s="1">
        <f t="shared" si="520"/>
        <v>49559.120573672109</v>
      </c>
      <c r="AC418" s="1">
        <f t="shared" si="474"/>
        <v>45141.376451711978</v>
      </c>
      <c r="AD418" s="1">
        <f t="shared" si="475"/>
        <v>4.2950887902316026</v>
      </c>
      <c r="AE418">
        <f t="shared" si="476"/>
        <v>45145.671540502211</v>
      </c>
      <c r="AG418" s="19">
        <v>61</v>
      </c>
      <c r="AH418" s="19">
        <f t="shared" ref="AH418:AK418" si="551">AH331</f>
        <v>2.1660610701037682E-3</v>
      </c>
      <c r="AI418" s="19">
        <f t="shared" si="551"/>
        <v>9.3531187480960104E-4</v>
      </c>
      <c r="AJ418" s="19">
        <f t="shared" si="551"/>
        <v>900.09</v>
      </c>
      <c r="AK418" s="19">
        <f t="shared" si="551"/>
        <v>866.99099999999999</v>
      </c>
    </row>
    <row r="419" spans="5:37">
      <c r="E419">
        <v>62</v>
      </c>
      <c r="F419" s="13"/>
      <c r="G419" s="13">
        <f t="shared" si="522"/>
        <v>0</v>
      </c>
      <c r="H419" s="13">
        <f t="shared" si="523"/>
        <v>196.20000000000002</v>
      </c>
      <c r="I419" s="13">
        <f t="shared" si="480"/>
        <v>1000000</v>
      </c>
      <c r="J419" s="13">
        <f t="shared" si="462"/>
        <v>872.04100000000005</v>
      </c>
      <c r="K419" s="5">
        <f t="shared" si="463"/>
        <v>904.00800000000004</v>
      </c>
      <c r="L419" s="21">
        <f t="shared" si="464"/>
        <v>872041</v>
      </c>
      <c r="M419">
        <f t="shared" si="465"/>
        <v>904008</v>
      </c>
      <c r="N419">
        <f t="shared" si="481"/>
        <v>0.45412589403999998</v>
      </c>
      <c r="O419">
        <f t="shared" si="482"/>
        <v>0.99425738345348491</v>
      </c>
      <c r="P419">
        <f t="shared" si="505"/>
        <v>4.5151802316668492E-4</v>
      </c>
      <c r="Q419">
        <f t="shared" si="506"/>
        <v>0.99380586543031824</v>
      </c>
      <c r="R419">
        <f t="shared" si="483"/>
        <v>894921.12827264727</v>
      </c>
      <c r="S419">
        <f t="shared" si="484"/>
        <v>9942.5738345348491</v>
      </c>
      <c r="T419">
        <f t="shared" si="467"/>
        <v>898408.45279593114</v>
      </c>
      <c r="U419" s="22">
        <f t="shared" si="518"/>
        <v>9938.0586543031823</v>
      </c>
      <c r="V419" s="1">
        <f t="shared" si="468"/>
        <v>0</v>
      </c>
      <c r="W419" s="1">
        <f t="shared" si="469"/>
        <v>0</v>
      </c>
      <c r="X419" s="1">
        <f t="shared" si="470"/>
        <v>-195.07329863357376</v>
      </c>
      <c r="Y419" s="1">
        <f t="shared" si="485"/>
        <v>-451.51802316668494</v>
      </c>
      <c r="Z419" s="1">
        <f t="shared" si="471"/>
        <v>-646.5913218002587</v>
      </c>
      <c r="AA419" s="1">
        <f t="shared" si="472"/>
        <v>-3487.3245232838672</v>
      </c>
      <c r="AB419" s="1">
        <f t="shared" si="520"/>
        <v>49767.503615895017</v>
      </c>
      <c r="AC419" s="1">
        <f t="shared" si="474"/>
        <v>45633.587770810889</v>
      </c>
      <c r="AD419" s="1">
        <f t="shared" si="475"/>
        <v>4.5151802316668181</v>
      </c>
      <c r="AE419">
        <f t="shared" si="476"/>
        <v>45638.102951042558</v>
      </c>
      <c r="AG419" s="19">
        <v>62</v>
      </c>
      <c r="AH419" s="19">
        <f t="shared" ref="AH419:AK419" si="552">AH332</f>
        <v>1.2307491952941673E-3</v>
      </c>
      <c r="AI419" s="19">
        <f t="shared" si="552"/>
        <v>5.5891507865197425E-4</v>
      </c>
      <c r="AJ419" s="19">
        <f t="shared" si="552"/>
        <v>904.00800000000004</v>
      </c>
      <c r="AK419" s="19">
        <f t="shared" si="552"/>
        <v>872.04100000000005</v>
      </c>
    </row>
    <row r="420" spans="5:37">
      <c r="E420">
        <v>63</v>
      </c>
      <c r="F420" s="13"/>
      <c r="G420" s="13">
        <f t="shared" si="522"/>
        <v>0</v>
      </c>
      <c r="H420" s="13">
        <f t="shared" si="523"/>
        <v>196.20000000000002</v>
      </c>
      <c r="I420" s="13">
        <f t="shared" si="480"/>
        <v>1000000</v>
      </c>
      <c r="J420" s="13">
        <f t="shared" si="462"/>
        <v>876.78200000000004</v>
      </c>
      <c r="K420" s="5">
        <f t="shared" si="463"/>
        <v>907.67899999999997</v>
      </c>
      <c r="L420" s="21">
        <f t="shared" si="464"/>
        <v>876782</v>
      </c>
      <c r="M420">
        <f t="shared" si="465"/>
        <v>907679</v>
      </c>
      <c r="N420">
        <f t="shared" si="481"/>
        <v>0.47656725480000001</v>
      </c>
      <c r="O420">
        <f t="shared" si="482"/>
        <v>0.99380586543031824</v>
      </c>
      <c r="P420">
        <f t="shared" si="505"/>
        <v>4.7361533309226502E-4</v>
      </c>
      <c r="Q420">
        <f t="shared" si="506"/>
        <v>0.99333225009722592</v>
      </c>
      <c r="R420">
        <f t="shared" si="483"/>
        <v>898408.45279593114</v>
      </c>
      <c r="S420">
        <f t="shared" si="484"/>
        <v>9938.0586543031823</v>
      </c>
      <c r="T420">
        <f t="shared" si="467"/>
        <v>901626.82343599992</v>
      </c>
      <c r="U420" s="22">
        <f t="shared" si="518"/>
        <v>9933.3225009722591</v>
      </c>
      <c r="V420" s="1">
        <f t="shared" si="468"/>
        <v>0</v>
      </c>
      <c r="W420" s="1">
        <f t="shared" si="469"/>
        <v>0</v>
      </c>
      <c r="X420" s="1">
        <f t="shared" si="470"/>
        <v>-194.98471079742845</v>
      </c>
      <c r="Y420" s="1">
        <f t="shared" si="485"/>
        <v>-473.61533309226502</v>
      </c>
      <c r="Z420" s="1">
        <f t="shared" si="471"/>
        <v>-668.60004388969344</v>
      </c>
      <c r="AA420" s="1">
        <f t="shared" si="472"/>
        <v>-3218.3706400687806</v>
      </c>
      <c r="AB420" s="1">
        <f t="shared" si="520"/>
        <v>49959.058129762889</v>
      </c>
      <c r="AC420" s="1">
        <f t="shared" si="474"/>
        <v>46072.087445804413</v>
      </c>
      <c r="AD420" s="1">
        <f t="shared" si="475"/>
        <v>4.7361533309231163</v>
      </c>
      <c r="AE420">
        <f t="shared" si="476"/>
        <v>46076.823599135336</v>
      </c>
      <c r="AG420" s="19">
        <v>63</v>
      </c>
      <c r="AH420" s="19">
        <f t="shared" ref="AH420:AK420" si="553">AH333</f>
        <v>6.7183411664219303E-4</v>
      </c>
      <c r="AI420" s="19">
        <f t="shared" si="553"/>
        <v>3.2017414064915292E-4</v>
      </c>
      <c r="AJ420" s="19">
        <f t="shared" si="553"/>
        <v>907.67899999999997</v>
      </c>
      <c r="AK420" s="19">
        <f t="shared" si="553"/>
        <v>876.78200000000004</v>
      </c>
    </row>
    <row r="421" spans="5:37">
      <c r="E421">
        <v>64</v>
      </c>
      <c r="F421" s="13"/>
      <c r="G421" s="13">
        <f t="shared" si="522"/>
        <v>0</v>
      </c>
      <c r="H421" s="13">
        <f t="shared" si="523"/>
        <v>196.20000000000002</v>
      </c>
      <c r="I421" s="13">
        <f t="shared" si="480"/>
        <v>1000000</v>
      </c>
      <c r="J421" s="13">
        <f t="shared" si="462"/>
        <v>881.25599999999997</v>
      </c>
      <c r="K421" s="5">
        <f t="shared" si="463"/>
        <v>911.13599999999997</v>
      </c>
      <c r="L421" s="21">
        <f t="shared" si="464"/>
        <v>881256</v>
      </c>
      <c r="M421">
        <f t="shared" si="465"/>
        <v>911136</v>
      </c>
      <c r="N421">
        <f t="shared" si="481"/>
        <v>0.49916815130000003</v>
      </c>
      <c r="O421">
        <f t="shared" si="482"/>
        <v>0.99333225009722592</v>
      </c>
      <c r="P421">
        <f t="shared" si="505"/>
        <v>4.9583982290770149E-4</v>
      </c>
      <c r="Q421">
        <f t="shared" si="506"/>
        <v>0.99283641027431824</v>
      </c>
      <c r="R421">
        <f t="shared" si="483"/>
        <v>901626.82343599992</v>
      </c>
      <c r="S421">
        <f t="shared" si="484"/>
        <v>9933.3225009722591</v>
      </c>
      <c r="T421">
        <f t="shared" si="467"/>
        <v>904608.99551170121</v>
      </c>
      <c r="U421" s="22">
        <f t="shared" ref="U421:U432" si="554">$B$11*I421*Q421</f>
        <v>9928.3641027431822</v>
      </c>
      <c r="V421" s="1">
        <f t="shared" si="468"/>
        <v>0</v>
      </c>
      <c r="W421" s="1">
        <f t="shared" si="469"/>
        <v>0</v>
      </c>
      <c r="X421" s="1">
        <f t="shared" si="470"/>
        <v>-194.89178746907575</v>
      </c>
      <c r="Y421" s="1">
        <f t="shared" si="485"/>
        <v>-495.83982290770149</v>
      </c>
      <c r="Z421" s="1">
        <f t="shared" si="471"/>
        <v>-690.73161037677721</v>
      </c>
      <c r="AA421" s="1">
        <f t="shared" si="472"/>
        <v>-2982.1720757012954</v>
      </c>
      <c r="AB421" s="1">
        <f t="shared" si="520"/>
        <v>50135.808026533472</v>
      </c>
      <c r="AC421" s="1">
        <f t="shared" si="474"/>
        <v>46462.904340455396</v>
      </c>
      <c r="AD421" s="1">
        <f t="shared" si="475"/>
        <v>4.95839822907692</v>
      </c>
      <c r="AE421">
        <f t="shared" si="476"/>
        <v>46467.862738684475</v>
      </c>
      <c r="AG421" s="19">
        <v>64</v>
      </c>
      <c r="AH421" s="19">
        <f t="shared" ref="AH421:AK421" si="555">AH334</f>
        <v>3.5165997599304012E-4</v>
      </c>
      <c r="AI421" s="19">
        <f t="shared" si="555"/>
        <v>1.7553746010264822E-4</v>
      </c>
      <c r="AJ421" s="19">
        <f t="shared" si="555"/>
        <v>911.13599999999997</v>
      </c>
      <c r="AK421" s="19">
        <f t="shared" si="555"/>
        <v>881.25599999999997</v>
      </c>
    </row>
    <row r="422" spans="5:37">
      <c r="E422">
        <v>65</v>
      </c>
      <c r="F422" s="13"/>
      <c r="G422" s="13">
        <f t="shared" si="522"/>
        <v>0</v>
      </c>
      <c r="H422" s="13">
        <f t="shared" si="523"/>
        <v>196.20000000000002</v>
      </c>
      <c r="I422" s="13">
        <f t="shared" si="480"/>
        <v>1000000</v>
      </c>
      <c r="J422" s="13">
        <f t="shared" ref="J422:J432" si="556">AK422</f>
        <v>885.553</v>
      </c>
      <c r="K422" s="5">
        <f t="shared" ref="K422:K432" si="557">AJ422</f>
        <v>914.44899999999996</v>
      </c>
      <c r="L422" s="21">
        <f t="shared" ref="L422:L432" si="558">I422*J422/1000</f>
        <v>885553</v>
      </c>
      <c r="M422">
        <f t="shared" ref="M422:M432" si="559">I422*K422/1000</f>
        <v>914449</v>
      </c>
      <c r="N422">
        <f t="shared" si="481"/>
        <v>0.52180043188000003</v>
      </c>
      <c r="O422">
        <f t="shared" si="482"/>
        <v>0.99283641027431824</v>
      </c>
      <c r="P422">
        <f t="shared" si="505"/>
        <v>5.1806246766732806E-4</v>
      </c>
      <c r="Q422">
        <f t="shared" si="506"/>
        <v>0.99231834780665096</v>
      </c>
      <c r="R422">
        <f t="shared" si="483"/>
        <v>904608.99551170121</v>
      </c>
      <c r="S422">
        <f t="shared" si="484"/>
        <v>9928.3641027431822</v>
      </c>
      <c r="T422">
        <f t="shared" ref="T422:T432" si="560">M422*Q422</f>
        <v>907424.5208334442</v>
      </c>
      <c r="U422" s="22">
        <f t="shared" si="554"/>
        <v>9923.1834780665104</v>
      </c>
      <c r="V422" s="1">
        <f t="shared" ref="V422:V432" si="561">$O422*F422</f>
        <v>0</v>
      </c>
      <c r="W422" s="1">
        <f t="shared" ref="W422:W432" si="562">-$O422*G422</f>
        <v>0</v>
      </c>
      <c r="X422" s="1">
        <f t="shared" ref="X422:X432" si="563">-$O422*H422</f>
        <v>-194.79450369582125</v>
      </c>
      <c r="Y422" s="1">
        <f t="shared" si="485"/>
        <v>-518.06246766732806</v>
      </c>
      <c r="Z422" s="1">
        <f t="shared" ref="Z422:Z432" si="564">SUM(V422:Y422)</f>
        <v>-712.85697136314934</v>
      </c>
      <c r="AA422" s="1">
        <f t="shared" ref="AA422:AA432" si="565">R422-T422</f>
        <v>-2815.5253217429854</v>
      </c>
      <c r="AB422" s="1">
        <f t="shared" ref="AB422:AB432" si="566">$B$12*SUM(R422:S422,V422:W422)</f>
        <v>50299.554778794445</v>
      </c>
      <c r="AC422" s="1">
        <f t="shared" ref="AC422:AC432" si="567">SUM(Z422:AB422)</f>
        <v>46771.172485688308</v>
      </c>
      <c r="AD422" s="1">
        <f t="shared" ref="AD422:AD432" si="568">S422-U422</f>
        <v>5.1806246766718687</v>
      </c>
      <c r="AE422">
        <f t="shared" ref="AE422:AE432" si="569">SUM(AC422:AD422)</f>
        <v>46776.35311036498</v>
      </c>
      <c r="AG422" s="19">
        <v>65</v>
      </c>
      <c r="AH422" s="19">
        <f t="shared" ref="AH422:AK422" si="570">AH335</f>
        <v>1.7612251589039189E-4</v>
      </c>
      <c r="AI422" s="19">
        <f t="shared" si="570"/>
        <v>9.1900804855398662E-5</v>
      </c>
      <c r="AJ422" s="19">
        <f t="shared" si="570"/>
        <v>914.44899999999996</v>
      </c>
      <c r="AK422" s="19">
        <f t="shared" si="570"/>
        <v>885.553</v>
      </c>
    </row>
    <row r="423" spans="5:37">
      <c r="E423">
        <v>66</v>
      </c>
      <c r="F423" s="13"/>
      <c r="G423" s="13">
        <f t="shared" ref="G423:G432" si="571">F423*$B$15</f>
        <v>0</v>
      </c>
      <c r="H423" s="13">
        <f t="shared" ref="H423:H432" si="572">$B$17</f>
        <v>196.20000000000002</v>
      </c>
      <c r="I423" s="13">
        <f t="shared" ref="I423:I432" si="573">I422</f>
        <v>1000000</v>
      </c>
      <c r="J423" s="13">
        <f t="shared" si="556"/>
        <v>889.88900000000001</v>
      </c>
      <c r="K423" s="5">
        <f t="shared" si="557"/>
        <v>917.77800000000002</v>
      </c>
      <c r="L423" s="21">
        <f t="shared" si="558"/>
        <v>889889</v>
      </c>
      <c r="M423">
        <f t="shared" si="559"/>
        <v>917778</v>
      </c>
      <c r="N423">
        <f t="shared" ref="N423:N432" si="574">N336</f>
        <v>0.54433245775999994</v>
      </c>
      <c r="O423">
        <f t="shared" ref="O423:O432" si="575">Q422</f>
        <v>0.99231834780665096</v>
      </c>
      <c r="P423">
        <f t="shared" si="505"/>
        <v>5.4015108514193679E-4</v>
      </c>
      <c r="Q423">
        <f t="shared" si="506"/>
        <v>0.99177819672150902</v>
      </c>
      <c r="R423">
        <f t="shared" ref="R423:R432" si="576">T422</f>
        <v>907424.5208334442</v>
      </c>
      <c r="S423">
        <f t="shared" ref="S423:S432" si="577">U422</f>
        <v>9923.1834780665104</v>
      </c>
      <c r="T423">
        <f t="shared" si="560"/>
        <v>910232.20983067306</v>
      </c>
      <c r="U423" s="22">
        <f t="shared" si="554"/>
        <v>9917.7819672150908</v>
      </c>
      <c r="V423" s="1">
        <f t="shared" si="561"/>
        <v>0</v>
      </c>
      <c r="W423" s="1">
        <f t="shared" si="562"/>
        <v>0</v>
      </c>
      <c r="X423" s="1">
        <f t="shared" si="563"/>
        <v>-194.69285983966495</v>
      </c>
      <c r="Y423" s="1">
        <f t="shared" ref="Y423:Y432" si="578">-P423*I423</f>
        <v>-540.15108514193685</v>
      </c>
      <c r="Z423" s="1">
        <f t="shared" si="564"/>
        <v>-734.84394498160179</v>
      </c>
      <c r="AA423" s="1">
        <f t="shared" si="565"/>
        <v>-2807.6889972288627</v>
      </c>
      <c r="AB423" s="1">
        <f t="shared" si="566"/>
        <v>50454.123737133086</v>
      </c>
      <c r="AC423" s="1">
        <f t="shared" si="567"/>
        <v>46911.590794922624</v>
      </c>
      <c r="AD423" s="1">
        <f t="shared" si="568"/>
        <v>5.4015108514195163</v>
      </c>
      <c r="AE423">
        <f t="shared" si="569"/>
        <v>46916.992305774045</v>
      </c>
      <c r="AG423" s="19">
        <v>66</v>
      </c>
      <c r="AH423" s="19">
        <f t="shared" ref="AH423:AK423" si="579">AH336</f>
        <v>8.4221711034993232E-5</v>
      </c>
      <c r="AI423" s="19">
        <f t="shared" si="579"/>
        <v>4.5844610964430378E-5</v>
      </c>
      <c r="AJ423" s="19">
        <f t="shared" si="579"/>
        <v>917.77800000000002</v>
      </c>
      <c r="AK423" s="19">
        <f t="shared" si="579"/>
        <v>889.88900000000001</v>
      </c>
    </row>
    <row r="424" spans="5:37">
      <c r="E424">
        <v>67</v>
      </c>
      <c r="F424" s="13"/>
      <c r="G424" s="13">
        <f t="shared" si="571"/>
        <v>0</v>
      </c>
      <c r="H424" s="13">
        <f t="shared" si="572"/>
        <v>196.20000000000002</v>
      </c>
      <c r="I424" s="13">
        <f t="shared" si="573"/>
        <v>1000000</v>
      </c>
      <c r="J424" s="13">
        <f t="shared" si="556"/>
        <v>893.88300000000004</v>
      </c>
      <c r="K424" s="5">
        <f t="shared" si="557"/>
        <v>920.83199999999999</v>
      </c>
      <c r="L424" s="21">
        <f t="shared" si="558"/>
        <v>893883</v>
      </c>
      <c r="M424">
        <f t="shared" si="559"/>
        <v>920832</v>
      </c>
      <c r="N424">
        <f t="shared" si="574"/>
        <v>0.57049196021999993</v>
      </c>
      <c r="O424">
        <f t="shared" si="575"/>
        <v>0.99177819672150902</v>
      </c>
      <c r="P424">
        <f t="shared" si="505"/>
        <v>5.6580148755111038E-4</v>
      </c>
      <c r="Q424">
        <f t="shared" si="506"/>
        <v>0.99121239523395788</v>
      </c>
      <c r="R424">
        <f t="shared" si="576"/>
        <v>910232.20983067306</v>
      </c>
      <c r="S424">
        <f t="shared" si="577"/>
        <v>9917.7819672150908</v>
      </c>
      <c r="T424">
        <f t="shared" si="560"/>
        <v>912740.0923280759</v>
      </c>
      <c r="U424" s="22">
        <f t="shared" si="554"/>
        <v>9912.123952339578</v>
      </c>
      <c r="V424" s="1">
        <f t="shared" si="561"/>
        <v>0</v>
      </c>
      <c r="W424" s="1">
        <f t="shared" si="562"/>
        <v>0</v>
      </c>
      <c r="X424" s="1">
        <f t="shared" si="563"/>
        <v>-194.58688219676009</v>
      </c>
      <c r="Y424" s="1">
        <f t="shared" si="578"/>
        <v>-565.80148755111043</v>
      </c>
      <c r="Z424" s="1">
        <f t="shared" si="564"/>
        <v>-760.38836974787046</v>
      </c>
      <c r="AA424" s="1">
        <f t="shared" si="565"/>
        <v>-2507.8824974028394</v>
      </c>
      <c r="AB424" s="1">
        <f t="shared" si="566"/>
        <v>50608.249548883854</v>
      </c>
      <c r="AC424" s="1">
        <f t="shared" si="567"/>
        <v>47339.978681733148</v>
      </c>
      <c r="AD424" s="1">
        <f t="shared" si="568"/>
        <v>5.6580148755128903</v>
      </c>
      <c r="AE424">
        <f t="shared" si="569"/>
        <v>47345.636696608664</v>
      </c>
      <c r="AG424" s="19">
        <v>67</v>
      </c>
      <c r="AH424" s="19">
        <f t="shared" ref="AH424:AK424" si="580">AH337</f>
        <v>3.8377100070562854E-5</v>
      </c>
      <c r="AI424" s="19">
        <f t="shared" si="580"/>
        <v>2.1893827046814499E-5</v>
      </c>
      <c r="AJ424" s="19">
        <f t="shared" si="580"/>
        <v>920.83199999999999</v>
      </c>
      <c r="AK424" s="19">
        <f t="shared" si="580"/>
        <v>893.88300000000004</v>
      </c>
    </row>
    <row r="425" spans="5:37">
      <c r="E425">
        <v>68</v>
      </c>
      <c r="F425" s="13"/>
      <c r="G425" s="13">
        <f t="shared" si="571"/>
        <v>0</v>
      </c>
      <c r="H425" s="13">
        <f t="shared" si="572"/>
        <v>196.20000000000002</v>
      </c>
      <c r="I425" s="13">
        <f t="shared" si="573"/>
        <v>1000000</v>
      </c>
      <c r="J425" s="13">
        <f t="shared" si="556"/>
        <v>897.53399999999999</v>
      </c>
      <c r="K425" s="5">
        <f t="shared" si="557"/>
        <v>923.59900000000005</v>
      </c>
      <c r="L425" s="21">
        <f t="shared" si="558"/>
        <v>897534</v>
      </c>
      <c r="M425">
        <f t="shared" si="559"/>
        <v>923599</v>
      </c>
      <c r="N425">
        <f t="shared" si="574"/>
        <v>0.59650936254000009</v>
      </c>
      <c r="O425">
        <f t="shared" si="575"/>
        <v>0.99121239523395788</v>
      </c>
      <c r="P425">
        <f t="shared" si="505"/>
        <v>5.9126747402275478E-4</v>
      </c>
      <c r="Q425">
        <f t="shared" si="506"/>
        <v>0.99062112775993516</v>
      </c>
      <c r="R425">
        <f t="shared" si="576"/>
        <v>912740.0923280759</v>
      </c>
      <c r="S425">
        <f t="shared" si="577"/>
        <v>9912.123952339578</v>
      </c>
      <c r="T425">
        <f t="shared" si="560"/>
        <v>914936.68297794834</v>
      </c>
      <c r="U425" s="22">
        <f t="shared" si="554"/>
        <v>9906.2112775993519</v>
      </c>
      <c r="V425" s="1">
        <f t="shared" si="561"/>
        <v>0</v>
      </c>
      <c r="W425" s="1">
        <f t="shared" si="562"/>
        <v>0</v>
      </c>
      <c r="X425" s="1">
        <f t="shared" si="563"/>
        <v>-194.47587194490256</v>
      </c>
      <c r="Y425" s="1">
        <f t="shared" si="578"/>
        <v>-591.26747402275475</v>
      </c>
      <c r="Z425" s="1">
        <f t="shared" si="564"/>
        <v>-785.74334596765732</v>
      </c>
      <c r="AA425" s="1">
        <f t="shared" si="565"/>
        <v>-2196.5906498724362</v>
      </c>
      <c r="AB425" s="1">
        <f t="shared" si="566"/>
        <v>50745.871895422846</v>
      </c>
      <c r="AC425" s="1">
        <f t="shared" si="567"/>
        <v>47763.537899582756</v>
      </c>
      <c r="AD425" s="1">
        <f t="shared" si="568"/>
        <v>5.9126747402260662</v>
      </c>
      <c r="AE425">
        <f t="shared" si="569"/>
        <v>47769.450574322982</v>
      </c>
      <c r="AG425" s="19">
        <v>68</v>
      </c>
      <c r="AH425" s="19">
        <f t="shared" ref="AH425:AK425" si="581">AH338</f>
        <v>1.6483273023748356E-5</v>
      </c>
      <c r="AI425" s="19">
        <f t="shared" si="581"/>
        <v>9.8324266839689121E-6</v>
      </c>
      <c r="AJ425" s="19">
        <f t="shared" si="581"/>
        <v>923.59900000000005</v>
      </c>
      <c r="AK425" s="19">
        <f t="shared" si="581"/>
        <v>897.53399999999999</v>
      </c>
    </row>
    <row r="426" spans="5:37">
      <c r="E426">
        <v>69</v>
      </c>
      <c r="F426" s="13"/>
      <c r="G426" s="13">
        <f t="shared" si="571"/>
        <v>0</v>
      </c>
      <c r="H426" s="13">
        <f t="shared" si="572"/>
        <v>196.20000000000002</v>
      </c>
      <c r="I426" s="13">
        <f t="shared" si="573"/>
        <v>1000000</v>
      </c>
      <c r="J426" s="13">
        <f t="shared" si="556"/>
        <v>900.77</v>
      </c>
      <c r="K426" s="5">
        <f t="shared" si="557"/>
        <v>925.99</v>
      </c>
      <c r="L426" s="21">
        <f t="shared" si="558"/>
        <v>900770</v>
      </c>
      <c r="M426">
        <f t="shared" si="559"/>
        <v>925990</v>
      </c>
      <c r="N426">
        <f t="shared" si="574"/>
        <v>0.62235240886000009</v>
      </c>
      <c r="O426">
        <f t="shared" si="575"/>
        <v>0.99062112775993516</v>
      </c>
      <c r="P426">
        <f t="shared" si="505"/>
        <v>6.1651544512900558E-4</v>
      </c>
      <c r="Q426">
        <f t="shared" si="506"/>
        <v>0.99000461231480619</v>
      </c>
      <c r="R426">
        <f t="shared" si="576"/>
        <v>914936.68297794834</v>
      </c>
      <c r="S426">
        <f t="shared" si="577"/>
        <v>9906.2112775993519</v>
      </c>
      <c r="T426">
        <f t="shared" si="560"/>
        <v>916734.37095738738</v>
      </c>
      <c r="U426" s="22">
        <f t="shared" si="554"/>
        <v>9900.0461231480622</v>
      </c>
      <c r="V426" s="1">
        <f t="shared" si="561"/>
        <v>0</v>
      </c>
      <c r="W426" s="1">
        <f t="shared" si="562"/>
        <v>0</v>
      </c>
      <c r="X426" s="1">
        <f t="shared" si="563"/>
        <v>-194.3598652664993</v>
      </c>
      <c r="Y426" s="1">
        <f t="shared" si="578"/>
        <v>-616.51544512900557</v>
      </c>
      <c r="Z426" s="1">
        <f t="shared" si="564"/>
        <v>-810.87531039550481</v>
      </c>
      <c r="AA426" s="1">
        <f t="shared" si="565"/>
        <v>-1797.6879794390406</v>
      </c>
      <c r="AB426" s="1">
        <f t="shared" si="566"/>
        <v>50866.359184055123</v>
      </c>
      <c r="AC426" s="1">
        <f t="shared" si="567"/>
        <v>48257.795894220581</v>
      </c>
      <c r="AD426" s="1">
        <f t="shared" si="568"/>
        <v>6.165154451289709</v>
      </c>
      <c r="AE426">
        <f t="shared" si="569"/>
        <v>48263.961048671874</v>
      </c>
      <c r="AG426" s="19">
        <v>69</v>
      </c>
      <c r="AH426" s="19">
        <f t="shared" ref="AH426:AK426" si="582">AH339</f>
        <v>6.6508463397794435E-6</v>
      </c>
      <c r="AI426" s="19">
        <f t="shared" si="582"/>
        <v>4.1391702405194512E-6</v>
      </c>
      <c r="AJ426" s="19">
        <f t="shared" si="582"/>
        <v>925.99</v>
      </c>
      <c r="AK426" s="19">
        <f t="shared" si="582"/>
        <v>900.77</v>
      </c>
    </row>
    <row r="427" spans="5:37">
      <c r="E427">
        <v>70</v>
      </c>
      <c r="F427" s="13"/>
      <c r="G427" s="13">
        <f t="shared" si="571"/>
        <v>0</v>
      </c>
      <c r="H427" s="13">
        <f t="shared" si="572"/>
        <v>196.20000000000002</v>
      </c>
      <c r="I427" s="13">
        <f t="shared" si="573"/>
        <v>1000000</v>
      </c>
      <c r="J427" s="13">
        <f t="shared" si="556"/>
        <v>903.28700000000003</v>
      </c>
      <c r="K427" s="5">
        <f t="shared" si="557"/>
        <v>927.66499999999996</v>
      </c>
      <c r="L427" s="21">
        <f t="shared" si="558"/>
        <v>903287</v>
      </c>
      <c r="M427">
        <f t="shared" si="559"/>
        <v>927665</v>
      </c>
      <c r="N427">
        <f t="shared" si="574"/>
        <v>0.64798884332000006</v>
      </c>
      <c r="O427">
        <f t="shared" si="575"/>
        <v>0.99000461231480619</v>
      </c>
      <c r="P427">
        <f t="shared" si="505"/>
        <v>6.4151194361533636E-4</v>
      </c>
      <c r="Q427">
        <f t="shared" si="506"/>
        <v>0.9893631003711908</v>
      </c>
      <c r="R427">
        <f t="shared" si="576"/>
        <v>916734.37095738738</v>
      </c>
      <c r="S427">
        <f t="shared" si="577"/>
        <v>9900.0461231480622</v>
      </c>
      <c r="T427">
        <f t="shared" si="560"/>
        <v>917797.52050584066</v>
      </c>
      <c r="U427" s="22">
        <f t="shared" si="554"/>
        <v>9893.6310037119074</v>
      </c>
      <c r="V427" s="1">
        <f t="shared" si="561"/>
        <v>0</v>
      </c>
      <c r="W427" s="1">
        <f t="shared" si="562"/>
        <v>0</v>
      </c>
      <c r="X427" s="1">
        <f t="shared" si="563"/>
        <v>-194.238904936165</v>
      </c>
      <c r="Y427" s="1">
        <f t="shared" si="578"/>
        <v>-641.51194361533635</v>
      </c>
      <c r="Z427" s="1">
        <f t="shared" si="564"/>
        <v>-835.75084855150135</v>
      </c>
      <c r="AA427" s="1">
        <f t="shared" si="565"/>
        <v>-1063.1495484532788</v>
      </c>
      <c r="AB427" s="1">
        <f t="shared" si="566"/>
        <v>50964.892939429446</v>
      </c>
      <c r="AC427" s="1">
        <f t="shared" si="567"/>
        <v>49065.992542424668</v>
      </c>
      <c r="AD427" s="1">
        <f t="shared" si="568"/>
        <v>6.4151194361547823</v>
      </c>
      <c r="AE427">
        <f t="shared" si="569"/>
        <v>49072.407661860823</v>
      </c>
      <c r="AG427" s="19">
        <v>70</v>
      </c>
      <c r="AH427" s="19">
        <f t="shared" ref="AH427:AK427" si="583">AH340</f>
        <v>2.5116760992599924E-6</v>
      </c>
      <c r="AI427" s="19">
        <f t="shared" si="583"/>
        <v>1.6275380903539721E-6</v>
      </c>
      <c r="AJ427" s="19">
        <f t="shared" si="583"/>
        <v>927.66499999999996</v>
      </c>
      <c r="AK427" s="19">
        <f t="shared" si="583"/>
        <v>903.28700000000003</v>
      </c>
    </row>
    <row r="428" spans="5:37">
      <c r="E428">
        <v>71</v>
      </c>
      <c r="F428" s="13"/>
      <c r="G428" s="13">
        <f t="shared" si="571"/>
        <v>0</v>
      </c>
      <c r="H428" s="13">
        <f t="shared" si="572"/>
        <v>196.20000000000002</v>
      </c>
      <c r="I428" s="13">
        <f t="shared" si="573"/>
        <v>1000000</v>
      </c>
      <c r="J428" s="13">
        <f t="shared" si="556"/>
        <v>903.93499999999995</v>
      </c>
      <c r="K428" s="5">
        <f t="shared" si="557"/>
        <v>927.37199999999996</v>
      </c>
      <c r="L428" s="21">
        <f t="shared" si="558"/>
        <v>903935</v>
      </c>
      <c r="M428">
        <f t="shared" si="559"/>
        <v>927372</v>
      </c>
      <c r="N428">
        <f t="shared" si="574"/>
        <v>0.67338728183999996</v>
      </c>
      <c r="O428">
        <f t="shared" si="575"/>
        <v>0.9893631003711908</v>
      </c>
      <c r="P428">
        <f t="shared" si="505"/>
        <v>6.6622452891175118E-4</v>
      </c>
      <c r="Q428">
        <f t="shared" si="506"/>
        <v>0.98869687584227905</v>
      </c>
      <c r="R428">
        <f t="shared" si="576"/>
        <v>917797.52050584066</v>
      </c>
      <c r="S428">
        <f t="shared" si="577"/>
        <v>9893.6310037119074</v>
      </c>
      <c r="T428">
        <f t="shared" si="560"/>
        <v>916889.79914360598</v>
      </c>
      <c r="U428" s="22">
        <f t="shared" si="554"/>
        <v>9886.9687584227904</v>
      </c>
      <c r="V428" s="1">
        <f t="shared" si="561"/>
        <v>0</v>
      </c>
      <c r="W428" s="1">
        <f t="shared" si="562"/>
        <v>0</v>
      </c>
      <c r="X428" s="1">
        <f t="shared" si="563"/>
        <v>-194.11304029282766</v>
      </c>
      <c r="Y428" s="1">
        <f t="shared" si="578"/>
        <v>-666.22452891175124</v>
      </c>
      <c r="Z428" s="1">
        <f t="shared" si="564"/>
        <v>-860.33756920457893</v>
      </c>
      <c r="AA428" s="1">
        <f t="shared" si="565"/>
        <v>907.72136223467533</v>
      </c>
      <c r="AB428" s="1">
        <f t="shared" si="566"/>
        <v>51023.013333025396</v>
      </c>
      <c r="AC428" s="1">
        <f t="shared" si="567"/>
        <v>51070.39712605549</v>
      </c>
      <c r="AD428" s="1">
        <f t="shared" si="568"/>
        <v>6.6622452891169814</v>
      </c>
      <c r="AE428">
        <f t="shared" si="569"/>
        <v>51077.059371344607</v>
      </c>
      <c r="AG428" s="19">
        <v>71</v>
      </c>
      <c r="AH428" s="19">
        <f t="shared" ref="AH428:AK428" si="584">AH341</f>
        <v>8.8413800890602027E-7</v>
      </c>
      <c r="AI428" s="19">
        <f t="shared" si="584"/>
        <v>5.9536729058865463E-7</v>
      </c>
      <c r="AJ428" s="19">
        <f t="shared" si="584"/>
        <v>927.37199999999996</v>
      </c>
      <c r="AK428" s="19">
        <f t="shared" si="584"/>
        <v>903.93499999999995</v>
      </c>
    </row>
    <row r="429" spans="5:37">
      <c r="E429">
        <v>72</v>
      </c>
      <c r="F429" s="13"/>
      <c r="G429" s="13">
        <f t="shared" si="571"/>
        <v>0</v>
      </c>
      <c r="H429" s="13">
        <f t="shared" si="572"/>
        <v>196.20000000000002</v>
      </c>
      <c r="I429" s="13">
        <f t="shared" si="573"/>
        <v>1000000</v>
      </c>
      <c r="J429" s="13">
        <f t="shared" si="556"/>
        <v>898.16</v>
      </c>
      <c r="K429" s="5">
        <f t="shared" si="557"/>
        <v>920.27300000000002</v>
      </c>
      <c r="L429" s="21">
        <f t="shared" si="558"/>
        <v>898160</v>
      </c>
      <c r="M429">
        <f t="shared" si="559"/>
        <v>920273</v>
      </c>
      <c r="N429">
        <f t="shared" si="574"/>
        <v>0.69865669691999999</v>
      </c>
      <c r="O429">
        <f t="shared" si="575"/>
        <v>0.98869687584227905</v>
      </c>
      <c r="P429">
        <f t="shared" si="505"/>
        <v>6.9075969353108997E-4</v>
      </c>
      <c r="Q429">
        <f t="shared" si="506"/>
        <v>0.988006116148748</v>
      </c>
      <c r="R429">
        <f t="shared" si="576"/>
        <v>916889.79914360598</v>
      </c>
      <c r="S429">
        <f t="shared" si="577"/>
        <v>9886.9687584227904</v>
      </c>
      <c r="T429">
        <f t="shared" si="560"/>
        <v>909235.35252655682</v>
      </c>
      <c r="U429" s="22">
        <f t="shared" si="554"/>
        <v>9880.0611614874797</v>
      </c>
      <c r="V429" s="1">
        <f t="shared" si="561"/>
        <v>0</v>
      </c>
      <c r="W429" s="1">
        <f t="shared" si="562"/>
        <v>0</v>
      </c>
      <c r="X429" s="1">
        <f t="shared" si="563"/>
        <v>-193.98232704025517</v>
      </c>
      <c r="Y429" s="1">
        <f t="shared" si="578"/>
        <v>-690.75969353108997</v>
      </c>
      <c r="Z429" s="1">
        <f t="shared" si="564"/>
        <v>-884.74202057134517</v>
      </c>
      <c r="AA429" s="1">
        <f t="shared" si="565"/>
        <v>7654.4466170491651</v>
      </c>
      <c r="AB429" s="1">
        <f t="shared" si="566"/>
        <v>50972.722234611581</v>
      </c>
      <c r="AC429" s="1">
        <f t="shared" si="567"/>
        <v>57742.426831089404</v>
      </c>
      <c r="AD429" s="1">
        <f t="shared" si="568"/>
        <v>6.9075969353107212</v>
      </c>
      <c r="AE429">
        <f t="shared" si="569"/>
        <v>57749.334428024711</v>
      </c>
      <c r="AG429" s="19">
        <v>72</v>
      </c>
      <c r="AH429" s="19">
        <f t="shared" ref="AH429:AK429" si="585">AH342</f>
        <v>2.8877071831736564E-7</v>
      </c>
      <c r="AI429" s="19">
        <f t="shared" si="585"/>
        <v>2.0175159622682641E-7</v>
      </c>
      <c r="AJ429" s="19">
        <f t="shared" si="585"/>
        <v>920.27300000000002</v>
      </c>
      <c r="AK429" s="19">
        <f t="shared" si="585"/>
        <v>898.16</v>
      </c>
    </row>
    <row r="430" spans="5:37">
      <c r="E430">
        <v>73</v>
      </c>
      <c r="F430" s="13"/>
      <c r="G430" s="13">
        <f t="shared" si="571"/>
        <v>0</v>
      </c>
      <c r="H430" s="13">
        <f t="shared" si="572"/>
        <v>196.20000000000002</v>
      </c>
      <c r="I430" s="13">
        <f t="shared" si="573"/>
        <v>1000000</v>
      </c>
      <c r="J430" s="13">
        <f t="shared" si="556"/>
        <v>866.66399999999999</v>
      </c>
      <c r="K430" s="5">
        <f t="shared" si="557"/>
        <v>886.23199999999997</v>
      </c>
      <c r="L430" s="21">
        <f t="shared" si="558"/>
        <v>866664</v>
      </c>
      <c r="M430">
        <f t="shared" si="559"/>
        <v>886232</v>
      </c>
      <c r="N430">
        <f t="shared" si="574"/>
        <v>0.72392524022000004</v>
      </c>
      <c r="O430">
        <f t="shared" si="575"/>
        <v>0.988006116148748</v>
      </c>
      <c r="P430">
        <f t="shared" si="505"/>
        <v>7.1524256497181168E-4</v>
      </c>
      <c r="Q430">
        <f t="shared" si="506"/>
        <v>0.98729087358377621</v>
      </c>
      <c r="R430">
        <f t="shared" si="576"/>
        <v>909235.35252655682</v>
      </c>
      <c r="S430">
        <f t="shared" si="577"/>
        <v>9880.0611614874797</v>
      </c>
      <c r="T430">
        <f t="shared" si="560"/>
        <v>874968.76547789713</v>
      </c>
      <c r="U430" s="22">
        <f t="shared" si="554"/>
        <v>9872.9087358377619</v>
      </c>
      <c r="V430" s="1">
        <f t="shared" si="561"/>
        <v>0</v>
      </c>
      <c r="W430" s="1">
        <f t="shared" si="562"/>
        <v>0</v>
      </c>
      <c r="X430" s="1">
        <f t="shared" si="563"/>
        <v>-193.84679998838436</v>
      </c>
      <c r="Y430" s="1">
        <f t="shared" si="578"/>
        <v>-715.2425649718117</v>
      </c>
      <c r="Z430" s="1">
        <f t="shared" si="564"/>
        <v>-909.08936496019601</v>
      </c>
      <c r="AA430" s="1">
        <f t="shared" si="565"/>
        <v>34266.587048659683</v>
      </c>
      <c r="AB430" s="1">
        <f t="shared" si="566"/>
        <v>50551.347752842434</v>
      </c>
      <c r="AC430" s="1">
        <f t="shared" si="567"/>
        <v>83908.845436541917</v>
      </c>
      <c r="AD430" s="1">
        <f t="shared" si="568"/>
        <v>7.1524256497177703</v>
      </c>
      <c r="AE430">
        <f t="shared" si="569"/>
        <v>83915.997862191638</v>
      </c>
      <c r="AG430" s="19">
        <v>73</v>
      </c>
      <c r="AH430" s="19">
        <f t="shared" ref="AH430:AK430" si="586">AH343</f>
        <v>8.7019122090539232E-8</v>
      </c>
      <c r="AI430" s="19">
        <f t="shared" si="586"/>
        <v>6.2995338863127127E-8</v>
      </c>
      <c r="AJ430" s="19">
        <f t="shared" si="586"/>
        <v>886.23199999999997</v>
      </c>
      <c r="AK430" s="19">
        <f t="shared" si="586"/>
        <v>866.66399999999999</v>
      </c>
    </row>
    <row r="431" spans="5:37">
      <c r="E431">
        <v>74</v>
      </c>
      <c r="F431" s="13"/>
      <c r="G431" s="13">
        <f t="shared" si="571"/>
        <v>0</v>
      </c>
      <c r="H431" s="13">
        <f t="shared" si="572"/>
        <v>196.20000000000002</v>
      </c>
      <c r="I431" s="13">
        <f t="shared" si="573"/>
        <v>1000000</v>
      </c>
      <c r="J431" s="13">
        <f t="shared" si="556"/>
        <v>710.20299999999997</v>
      </c>
      <c r="K431" s="5">
        <f t="shared" si="557"/>
        <v>733.61199999999997</v>
      </c>
      <c r="L431" s="21">
        <f t="shared" si="558"/>
        <v>710203</v>
      </c>
      <c r="M431">
        <f t="shared" si="559"/>
        <v>733612</v>
      </c>
      <c r="N431">
        <f t="shared" si="574"/>
        <v>0.74919465529999996</v>
      </c>
      <c r="O431">
        <f t="shared" si="575"/>
        <v>0.98729087358377621</v>
      </c>
      <c r="P431">
        <f t="shared" si="505"/>
        <v>7.39673045715433E-4</v>
      </c>
      <c r="Q431">
        <f t="shared" si="506"/>
        <v>0.98655120053806078</v>
      </c>
      <c r="R431">
        <f t="shared" si="576"/>
        <v>874968.76547789713</v>
      </c>
      <c r="S431">
        <f t="shared" si="577"/>
        <v>9872.9087358377619</v>
      </c>
      <c r="T431">
        <f t="shared" si="560"/>
        <v>723745.79932912788</v>
      </c>
      <c r="U431" s="22">
        <f t="shared" si="554"/>
        <v>9865.5120053806077</v>
      </c>
      <c r="V431" s="1">
        <f t="shared" si="561"/>
        <v>0</v>
      </c>
      <c r="W431" s="1">
        <f t="shared" si="562"/>
        <v>0</v>
      </c>
      <c r="X431" s="1">
        <f t="shared" si="563"/>
        <v>-193.70646939713691</v>
      </c>
      <c r="Y431" s="1">
        <f t="shared" si="578"/>
        <v>-739.67304571543298</v>
      </c>
      <c r="Z431" s="1">
        <f t="shared" si="564"/>
        <v>-933.37951511256983</v>
      </c>
      <c r="AA431" s="1">
        <f t="shared" si="565"/>
        <v>151222.96614876925</v>
      </c>
      <c r="AB431" s="1">
        <f t="shared" si="566"/>
        <v>48666.292081755419</v>
      </c>
      <c r="AC431" s="1">
        <f t="shared" si="567"/>
        <v>198955.87871541208</v>
      </c>
      <c r="AD431" s="1">
        <f t="shared" si="568"/>
        <v>7.3967304571542627</v>
      </c>
      <c r="AE431">
        <f t="shared" si="569"/>
        <v>198963.27544586922</v>
      </c>
      <c r="AG431" s="19">
        <v>74</v>
      </c>
      <c r="AH431" s="19">
        <f t="shared" ref="AH431:AK431" si="587">AH344</f>
        <v>2.4023783227412105E-8</v>
      </c>
      <c r="AI431" s="19">
        <f t="shared" si="587"/>
        <v>1.7998489994062932E-8</v>
      </c>
      <c r="AJ431" s="19">
        <f t="shared" si="587"/>
        <v>733.61199999999997</v>
      </c>
      <c r="AK431" s="19">
        <f t="shared" si="587"/>
        <v>710.20299999999997</v>
      </c>
    </row>
    <row r="432" spans="5:37">
      <c r="E432">
        <v>75</v>
      </c>
      <c r="F432" s="13"/>
      <c r="G432" s="13">
        <f t="shared" si="571"/>
        <v>0</v>
      </c>
      <c r="H432" s="13">
        <f t="shared" si="572"/>
        <v>196.20000000000002</v>
      </c>
      <c r="I432" s="13">
        <f t="shared" si="573"/>
        <v>1000000</v>
      </c>
      <c r="J432" s="13">
        <f t="shared" si="556"/>
        <v>0</v>
      </c>
      <c r="K432" s="5">
        <f t="shared" si="557"/>
        <v>0</v>
      </c>
      <c r="L432" s="21">
        <f t="shared" si="558"/>
        <v>0</v>
      </c>
      <c r="M432">
        <f t="shared" si="559"/>
        <v>0</v>
      </c>
      <c r="N432">
        <f t="shared" si="574"/>
        <v>0.77446407037999998</v>
      </c>
      <c r="O432">
        <f t="shared" si="575"/>
        <v>0.98655120053806078</v>
      </c>
      <c r="P432">
        <f t="shared" si="505"/>
        <v>7.6404845840698221E-4</v>
      </c>
      <c r="Q432">
        <f t="shared" si="506"/>
        <v>0.98578715207965384</v>
      </c>
      <c r="R432">
        <f t="shared" si="576"/>
        <v>723745.79932912788</v>
      </c>
      <c r="S432">
        <f t="shared" si="577"/>
        <v>9865.5120053806077</v>
      </c>
      <c r="T432">
        <f t="shared" si="560"/>
        <v>0</v>
      </c>
      <c r="U432" s="22">
        <f t="shared" si="554"/>
        <v>9857.8715207965379</v>
      </c>
      <c r="V432" s="1">
        <f t="shared" si="561"/>
        <v>0</v>
      </c>
      <c r="W432" s="1">
        <f t="shared" si="562"/>
        <v>0</v>
      </c>
      <c r="X432" s="1">
        <f t="shared" si="563"/>
        <v>-193.56134554556755</v>
      </c>
      <c r="Y432" s="1">
        <f t="shared" si="578"/>
        <v>-764.04845840698226</v>
      </c>
      <c r="Z432" s="1">
        <f t="shared" si="564"/>
        <v>-957.60980395254978</v>
      </c>
      <c r="AA432" s="1">
        <f t="shared" si="565"/>
        <v>723745.79932912788</v>
      </c>
      <c r="AB432" s="1">
        <f t="shared" si="566"/>
        <v>40348.622123397967</v>
      </c>
      <c r="AC432" s="1">
        <f t="shared" si="567"/>
        <v>763136.81164857338</v>
      </c>
      <c r="AD432" s="1">
        <f t="shared" si="568"/>
        <v>7.6404845840697817</v>
      </c>
      <c r="AE432">
        <f t="shared" si="569"/>
        <v>763144.45213315741</v>
      </c>
      <c r="AG432" s="19">
        <v>75</v>
      </c>
      <c r="AH432" s="19">
        <f t="shared" ref="AH432:AK432" si="588">AH345</f>
        <v>6.0252932333491729E-9</v>
      </c>
      <c r="AI432" s="19">
        <f t="shared" si="588"/>
        <v>4.6663731227326711E-9</v>
      </c>
      <c r="AJ432" s="19">
        <f t="shared" si="588"/>
        <v>0</v>
      </c>
      <c r="AK432" s="19">
        <f t="shared" si="588"/>
        <v>0</v>
      </c>
    </row>
    <row r="433" spans="1:37">
      <c r="F433" s="13"/>
      <c r="G433" s="13"/>
      <c r="H433" s="13"/>
      <c r="I433" s="13"/>
      <c r="J433" s="13"/>
      <c r="AG433" s="19"/>
    </row>
    <row r="434" spans="1:37">
      <c r="T434" s="19"/>
      <c r="AG434" s="19"/>
      <c r="AH434" s="19"/>
      <c r="AI434" s="19"/>
      <c r="AJ434" s="19"/>
      <c r="AK434" s="19"/>
    </row>
    <row r="435" spans="1:37">
      <c r="T435" s="19"/>
      <c r="U435" s="19" t="s">
        <v>116</v>
      </c>
      <c r="V435" s="19">
        <f>SUM(V357:V432)</f>
        <v>91013.185540388804</v>
      </c>
      <c r="W435" s="19">
        <f t="shared" ref="W435:AE435" si="589">SUM(W357:W432)</f>
        <v>-9101.3185540388804</v>
      </c>
      <c r="X435" s="19">
        <f t="shared" si="589"/>
        <v>-14751.482796915769</v>
      </c>
      <c r="Y435" s="19">
        <f t="shared" si="589"/>
        <v>-14212.847920346167</v>
      </c>
      <c r="Z435" s="19">
        <f t="shared" si="589"/>
        <v>52947.536269087977</v>
      </c>
      <c r="AA435" s="19">
        <f t="shared" si="589"/>
        <v>0</v>
      </c>
      <c r="AB435" s="19">
        <f t="shared" si="589"/>
        <v>2422886.9321544562</v>
      </c>
      <c r="AC435" s="19">
        <f t="shared" si="589"/>
        <v>2475834.4684235435</v>
      </c>
      <c r="AD435" s="19">
        <f t="shared" si="589"/>
        <v>-9857.8715207965379</v>
      </c>
      <c r="AE435" s="19">
        <f t="shared" si="589"/>
        <v>2465976.5969027472</v>
      </c>
      <c r="AF435" s="19"/>
      <c r="AG435" s="19"/>
      <c r="AH435" s="19"/>
      <c r="AI435" s="19"/>
      <c r="AJ435" s="19"/>
      <c r="AK435" s="19"/>
    </row>
    <row r="436" spans="1:37">
      <c r="T436" s="19"/>
      <c r="U436" t="str">
        <f>"PV at "&amp;$B$12</f>
        <v>PV at 0.055</v>
      </c>
      <c r="V436">
        <f>V357+NPV($B$12,V358:V432)</f>
        <v>91013.185540388804</v>
      </c>
      <c r="W436">
        <f t="shared" ref="W436:AE436" si="590">W357+NPV($B$12,W358:W432)</f>
        <v>-9101.3185540388804</v>
      </c>
      <c r="X436">
        <f t="shared" si="590"/>
        <v>-3585.2093046726905</v>
      </c>
      <c r="Y436">
        <f t="shared" si="590"/>
        <v>-666.58235413910779</v>
      </c>
      <c r="Z436">
        <f t="shared" si="590"/>
        <v>77660.075327538128</v>
      </c>
      <c r="AA436">
        <f t="shared" si="590"/>
        <v>-282730.36678962951</v>
      </c>
      <c r="AB436">
        <f t="shared" si="590"/>
        <v>292545.93497392937</v>
      </c>
      <c r="AC436">
        <f t="shared" si="590"/>
        <v>87475.643511837814</v>
      </c>
      <c r="AD436">
        <f t="shared" si="590"/>
        <v>-9993.3341764586094</v>
      </c>
      <c r="AE436">
        <f t="shared" si="590"/>
        <v>77482.309335379221</v>
      </c>
      <c r="AH436" s="19"/>
      <c r="AI436" s="19"/>
      <c r="AJ436" s="19"/>
      <c r="AK436" s="19"/>
    </row>
    <row r="437" spans="1:37">
      <c r="T437" s="19"/>
      <c r="U437" t="str">
        <f>"PV at "&amp;$B$13</f>
        <v>PV at 0.12</v>
      </c>
      <c r="V437" s="19">
        <f>V357+NPV($B$13,V358:V432)</f>
        <v>91013.185540388804</v>
      </c>
      <c r="W437" s="19">
        <f t="shared" ref="W437:AE437" si="591">W357+NPV($B$13,W358:W432)</f>
        <v>-9101.3185540388804</v>
      </c>
      <c r="X437" s="19">
        <f t="shared" si="591"/>
        <v>-1729.0974301343726</v>
      </c>
      <c r="Y437" s="19">
        <f t="shared" si="591"/>
        <v>-58.679823616045411</v>
      </c>
      <c r="Z437" s="19">
        <f t="shared" si="591"/>
        <v>80124.089732599503</v>
      </c>
      <c r="AA437" s="19">
        <f t="shared" si="591"/>
        <v>-154608.49198847427</v>
      </c>
      <c r="AB437" s="19">
        <f t="shared" si="591"/>
        <v>75444.370249353524</v>
      </c>
      <c r="AC437" s="19">
        <f t="shared" si="591"/>
        <v>959.96799347869091</v>
      </c>
      <c r="AD437" s="19">
        <f t="shared" si="591"/>
        <v>-9999.4132017638403</v>
      </c>
      <c r="AE437" s="19">
        <f t="shared" si="591"/>
        <v>-9039.4452082851203</v>
      </c>
      <c r="AF437" s="19"/>
      <c r="AG437" s="19"/>
      <c r="AH437" s="19"/>
      <c r="AI437" s="19"/>
      <c r="AJ437" s="19"/>
      <c r="AK437" s="19"/>
    </row>
    <row r="438" spans="1:37">
      <c r="T438" s="19"/>
      <c r="AG438" s="19"/>
      <c r="AH438" s="19"/>
      <c r="AI438" s="19"/>
      <c r="AJ438" s="19"/>
      <c r="AK438" s="19"/>
    </row>
    <row r="439" spans="1:37">
      <c r="U439" t="s">
        <v>117</v>
      </c>
      <c r="V439">
        <f>AC437</f>
        <v>959.96799347869091</v>
      </c>
      <c r="AG439" s="19"/>
      <c r="AH439" s="19"/>
      <c r="AI439" s="19"/>
      <c r="AJ439" s="19"/>
      <c r="AK439" s="19"/>
    </row>
    <row r="440" spans="1:37">
      <c r="U440" t="s">
        <v>118</v>
      </c>
      <c r="V440">
        <f>AE437</f>
        <v>-9039.4452082851203</v>
      </c>
      <c r="AG440" s="19"/>
      <c r="AH440" s="19"/>
      <c r="AI440" s="19"/>
      <c r="AJ440" s="19"/>
      <c r="AK440" s="19"/>
    </row>
    <row r="441" spans="1:37">
      <c r="AH441" s="19"/>
      <c r="AI441" s="19"/>
      <c r="AJ441" s="19"/>
      <c r="AK441" s="19"/>
    </row>
    <row r="442" spans="1:37">
      <c r="A442" s="4" t="str">
        <f>"Base Assumptions for "&amp;B445&amp;" Death benefit (M,NS,44,Moderate)"</f>
        <v>Base Assumptions for 2000000 Death benefit (M,NS,44,Moderate)</v>
      </c>
      <c r="E442" s="8" t="s">
        <v>61</v>
      </c>
      <c r="F442" s="8"/>
      <c r="G442" s="8"/>
      <c r="H442" s="8"/>
      <c r="I442" s="8"/>
      <c r="J442" s="8"/>
      <c r="K442" s="8"/>
      <c r="L442" s="8"/>
      <c r="M442" s="8"/>
      <c r="N442" s="9" t="s">
        <v>62</v>
      </c>
      <c r="O442" s="9"/>
      <c r="P442" s="9"/>
      <c r="Q442" s="9"/>
      <c r="R442" s="10" t="s">
        <v>63</v>
      </c>
      <c r="S442" s="10"/>
      <c r="T442" s="10"/>
      <c r="U442" s="11"/>
      <c r="V442" s="48" t="s">
        <v>64</v>
      </c>
      <c r="W442" s="48" t="s">
        <v>65</v>
      </c>
      <c r="X442" s="48" t="s">
        <v>66</v>
      </c>
      <c r="Y442" s="48" t="s">
        <v>121</v>
      </c>
      <c r="Z442" s="48"/>
      <c r="AA442" s="48" t="s">
        <v>68</v>
      </c>
      <c r="AB442" s="48" t="s">
        <v>69</v>
      </c>
      <c r="AC442" s="48" t="s">
        <v>70</v>
      </c>
      <c r="AD442" s="48" t="s">
        <v>71</v>
      </c>
      <c r="AE442" s="48" t="s">
        <v>72</v>
      </c>
      <c r="AH442" s="19"/>
      <c r="AI442" s="19"/>
      <c r="AJ442" s="19"/>
      <c r="AK442" s="19"/>
    </row>
    <row r="443" spans="1:37" ht="42.95">
      <c r="E443" t="s">
        <v>73</v>
      </c>
      <c r="F443" s="19" t="s">
        <v>60</v>
      </c>
      <c r="G443" s="19" t="s">
        <v>74</v>
      </c>
      <c r="H443" s="19" t="s">
        <v>46</v>
      </c>
      <c r="I443" s="1" t="s">
        <v>75</v>
      </c>
      <c r="J443" s="1" t="s">
        <v>122</v>
      </c>
      <c r="K443" s="1" t="s">
        <v>76</v>
      </c>
      <c r="L443" s="1" t="s">
        <v>123</v>
      </c>
      <c r="M443" s="1" t="s">
        <v>77</v>
      </c>
      <c r="N443" s="1" t="s">
        <v>79</v>
      </c>
      <c r="O443" s="1" t="s">
        <v>81</v>
      </c>
      <c r="P443" s="1" t="s">
        <v>82</v>
      </c>
      <c r="Q443" s="1" t="s">
        <v>84</v>
      </c>
      <c r="R443" s="1" t="s">
        <v>85</v>
      </c>
      <c r="S443" s="1" t="s">
        <v>86</v>
      </c>
      <c r="T443" s="1" t="s">
        <v>87</v>
      </c>
      <c r="U443" s="1" t="s">
        <v>88</v>
      </c>
      <c r="V443" s="1" t="s">
        <v>89</v>
      </c>
      <c r="W443" s="1" t="s">
        <v>90</v>
      </c>
      <c r="X443" s="1" t="s">
        <v>91</v>
      </c>
      <c r="Y443" s="1" t="s">
        <v>124</v>
      </c>
      <c r="Z443" s="1" t="s">
        <v>93</v>
      </c>
      <c r="AA443" s="1" t="s">
        <v>94</v>
      </c>
      <c r="AB443" s="1" t="s">
        <v>95</v>
      </c>
      <c r="AC443" s="1" t="s">
        <v>44</v>
      </c>
      <c r="AD443" s="1" t="s">
        <v>96</v>
      </c>
      <c r="AE443" s="1" t="s">
        <v>97</v>
      </c>
      <c r="AG443" s="19" t="s">
        <v>73</v>
      </c>
      <c r="AH443" s="19" t="s">
        <v>125</v>
      </c>
      <c r="AI443" s="19" t="s">
        <v>82</v>
      </c>
      <c r="AJ443" s="19" t="s">
        <v>77</v>
      </c>
      <c r="AK443" s="19" t="s">
        <v>126</v>
      </c>
    </row>
    <row r="444" spans="1:37">
      <c r="A444" t="s">
        <v>60</v>
      </c>
      <c r="B444" s="12">
        <v>180105.17736201436</v>
      </c>
      <c r="E444">
        <v>0</v>
      </c>
      <c r="F444" s="13">
        <f>$B$444</f>
        <v>180105.17736201436</v>
      </c>
      <c r="G444" s="13">
        <f>F444*$B$14</f>
        <v>18010.517736201436</v>
      </c>
      <c r="H444" s="13">
        <f>$B$16</f>
        <v>269.70000000000005</v>
      </c>
      <c r="I444" s="13">
        <f>B445</f>
        <v>2000000</v>
      </c>
      <c r="J444" s="13">
        <f>AK444</f>
        <v>0</v>
      </c>
      <c r="K444" s="5">
        <f>AJ444</f>
        <v>37.930999999999997</v>
      </c>
      <c r="L444" s="21">
        <f>I444*J444/1000</f>
        <v>0</v>
      </c>
      <c r="M444">
        <f>I444*K444/1000</f>
        <v>75862</v>
      </c>
      <c r="O444">
        <v>1</v>
      </c>
      <c r="Q444">
        <f t="shared" ref="Q444:Q464" si="592">O444-SUM(P444:P444)</f>
        <v>1</v>
      </c>
      <c r="T444">
        <f>M444*Q444</f>
        <v>75862</v>
      </c>
      <c r="U444" s="22">
        <f t="shared" ref="U444:U475" si="593">$B$11*I444*Q444</f>
        <v>20000</v>
      </c>
      <c r="V444" s="1">
        <f>$O444*F444</f>
        <v>180105.17736201436</v>
      </c>
      <c r="W444" s="1">
        <f>-$O444*G444</f>
        <v>-18010.517736201436</v>
      </c>
      <c r="X444" s="1">
        <f>-$O444*H444</f>
        <v>-269.70000000000005</v>
      </c>
      <c r="Y444" s="1"/>
      <c r="Z444" s="1">
        <f>SUM(V444:Y444)</f>
        <v>161824.95962581292</v>
      </c>
      <c r="AA444" s="1">
        <f>R444-T444</f>
        <v>-75862</v>
      </c>
      <c r="AB444" s="1"/>
      <c r="AC444" s="1">
        <f>SUM(Z444:AB444)</f>
        <v>85962.959625812917</v>
      </c>
      <c r="AD444" s="1">
        <f>S444-U444</f>
        <v>-20000</v>
      </c>
      <c r="AE444">
        <f>SUM(AC444:AD444)</f>
        <v>65962.959625812917</v>
      </c>
      <c r="AG444" s="19">
        <v>0</v>
      </c>
      <c r="AH444" s="19">
        <f>AH357</f>
        <v>1</v>
      </c>
      <c r="AI444" s="19" t="str">
        <f t="shared" ref="AI444:AK444" si="594">AI357</f>
        <v xml:space="preserve">               -  </v>
      </c>
      <c r="AJ444" s="19">
        <f t="shared" si="594"/>
        <v>37.930999999999997</v>
      </c>
      <c r="AK444" s="19">
        <f t="shared" si="594"/>
        <v>0</v>
      </c>
    </row>
    <row r="445" spans="1:37">
      <c r="A445" t="s">
        <v>98</v>
      </c>
      <c r="B445" s="12">
        <v>2000000</v>
      </c>
      <c r="E445">
        <v>1</v>
      </c>
      <c r="I445" s="13">
        <f>I444</f>
        <v>2000000</v>
      </c>
      <c r="J445" s="13">
        <f t="shared" ref="J445:J508" si="595">AK445</f>
        <v>0</v>
      </c>
      <c r="K445" s="5">
        <f t="shared" ref="K445:K508" si="596">AJ445</f>
        <v>49.417000000000002</v>
      </c>
      <c r="L445" s="21">
        <f t="shared" ref="L445:L508" si="597">I445*J445/1000</f>
        <v>0</v>
      </c>
      <c r="M445">
        <f t="shared" ref="M445:M508" si="598">I445*K445/1000</f>
        <v>98834</v>
      </c>
      <c r="N445">
        <f>N358</f>
        <v>1.6188954599999999E-3</v>
      </c>
      <c r="O445">
        <f>Q444</f>
        <v>1</v>
      </c>
      <c r="P445">
        <f t="shared" ref="P445:P464" si="599">N445*O445/1000</f>
        <v>1.6188954599999999E-6</v>
      </c>
      <c r="Q445">
        <f t="shared" si="592"/>
        <v>0.99999838110453998</v>
      </c>
      <c r="R445">
        <f>T444</f>
        <v>75862</v>
      </c>
      <c r="S445">
        <f>U444</f>
        <v>20000</v>
      </c>
      <c r="T445">
        <f t="shared" ref="T445:T508" si="600">M445*Q445</f>
        <v>98833.8399980861</v>
      </c>
      <c r="U445" s="22">
        <f t="shared" si="593"/>
        <v>19999.9676220908</v>
      </c>
      <c r="V445" s="1">
        <f t="shared" ref="V445:V508" si="601">$O445*F445</f>
        <v>0</v>
      </c>
      <c r="W445" s="1">
        <f t="shared" ref="W445:W508" si="602">-$O445*G445</f>
        <v>0</v>
      </c>
      <c r="X445" s="1">
        <f t="shared" ref="X445:X508" si="603">-$O445*H445</f>
        <v>0</v>
      </c>
      <c r="Y445" s="1">
        <f>-P445*I445</f>
        <v>-3.2377909199999997</v>
      </c>
      <c r="Z445" s="1">
        <f t="shared" ref="Z445:Z508" si="604">SUM(V445:Y445)</f>
        <v>-3.2377909199999997</v>
      </c>
      <c r="AA445" s="1">
        <f t="shared" ref="AA445:AA508" si="605">R445-T445</f>
        <v>-22971.8399980861</v>
      </c>
      <c r="AB445" s="1">
        <f t="shared" ref="AB445:AB476" si="606">$B$12*SUM(R445:S445,V445:W445)</f>
        <v>5272.41</v>
      </c>
      <c r="AC445" s="1">
        <f t="shared" ref="AC445:AC508" si="607">SUM(Z445:AB445)</f>
        <v>-17702.6677890061</v>
      </c>
      <c r="AD445" s="1">
        <f t="shared" ref="AD445:AD508" si="608">S445-U445</f>
        <v>3.2377909199567512E-2</v>
      </c>
      <c r="AE445">
        <f t="shared" ref="AE445:AE508" si="609">SUM(AC445:AD445)</f>
        <v>-17702.6354110969</v>
      </c>
      <c r="AG445" s="19">
        <v>1</v>
      </c>
      <c r="AH445" s="19">
        <f t="shared" ref="AH445:AK445" si="610">AH358</f>
        <v>1</v>
      </c>
      <c r="AI445" s="19">
        <f t="shared" si="610"/>
        <v>1.6188954599999999E-3</v>
      </c>
      <c r="AJ445" s="19">
        <f t="shared" si="610"/>
        <v>49.417000000000002</v>
      </c>
      <c r="AK445" s="19">
        <f t="shared" si="610"/>
        <v>0</v>
      </c>
    </row>
    <row r="446" spans="1:37">
      <c r="E446">
        <v>2</v>
      </c>
      <c r="F446" s="13"/>
      <c r="G446" s="13">
        <f t="shared" ref="G446:G477" si="611">F446*$B$15</f>
        <v>0</v>
      </c>
      <c r="H446" s="13">
        <f t="shared" ref="H446:H477" si="612">$B$17</f>
        <v>196.20000000000002</v>
      </c>
      <c r="I446" s="13">
        <f t="shared" ref="I446:I509" si="613">I445</f>
        <v>2000000</v>
      </c>
      <c r="J446" s="13">
        <f t="shared" si="595"/>
        <v>0</v>
      </c>
      <c r="K446" s="5">
        <f t="shared" si="596"/>
        <v>61.253</v>
      </c>
      <c r="L446" s="21">
        <f t="shared" si="597"/>
        <v>0</v>
      </c>
      <c r="M446">
        <f t="shared" si="598"/>
        <v>122506</v>
      </c>
      <c r="N446">
        <f t="shared" ref="N446:N509" si="614">N359</f>
        <v>1.7557649200000002E-3</v>
      </c>
      <c r="O446">
        <f t="shared" ref="O446:O509" si="615">Q445</f>
        <v>0.99999838110453998</v>
      </c>
      <c r="P446">
        <f t="shared" si="599"/>
        <v>1.7557620776001423E-6</v>
      </c>
      <c r="Q446">
        <f t="shared" si="592"/>
        <v>0.99999662534246236</v>
      </c>
      <c r="R446">
        <f t="shared" ref="R446:R509" si="616">T445</f>
        <v>98833.8399980861</v>
      </c>
      <c r="S446">
        <f t="shared" ref="S446:S509" si="617">U445</f>
        <v>19999.9676220908</v>
      </c>
      <c r="T446">
        <f t="shared" si="600"/>
        <v>122505.58658420369</v>
      </c>
      <c r="U446" s="22">
        <f t="shared" si="593"/>
        <v>19999.932506849247</v>
      </c>
      <c r="V446" s="1">
        <f t="shared" si="601"/>
        <v>0</v>
      </c>
      <c r="W446" s="1">
        <f t="shared" si="602"/>
        <v>0</v>
      </c>
      <c r="X446" s="1">
        <f t="shared" si="603"/>
        <v>-196.19968237271075</v>
      </c>
      <c r="Y446" s="1">
        <f t="shared" ref="Y446:Y509" si="618">-P446*I446</f>
        <v>-3.5115241552002847</v>
      </c>
      <c r="Z446" s="1">
        <f t="shared" si="604"/>
        <v>-199.71120652791103</v>
      </c>
      <c r="AA446" s="1">
        <f t="shared" si="605"/>
        <v>-23671.746586117588</v>
      </c>
      <c r="AB446" s="1">
        <f t="shared" si="606"/>
        <v>6535.85941910973</v>
      </c>
      <c r="AC446" s="1">
        <f t="shared" si="607"/>
        <v>-17335.598373535769</v>
      </c>
      <c r="AD446" s="1">
        <f t="shared" si="608"/>
        <v>3.5115241553285159E-2</v>
      </c>
      <c r="AE446">
        <f t="shared" si="609"/>
        <v>-17335.563258294216</v>
      </c>
      <c r="AG446" s="19">
        <v>2</v>
      </c>
      <c r="AH446" s="19">
        <f t="shared" ref="AH446:AK446" si="619">AH359</f>
        <v>0.99838110453999995</v>
      </c>
      <c r="AI446" s="19">
        <f t="shared" si="619"/>
        <v>1.7529225201421848E-3</v>
      </c>
      <c r="AJ446" s="19">
        <f t="shared" si="619"/>
        <v>61.253</v>
      </c>
      <c r="AK446" s="19">
        <f t="shared" si="619"/>
        <v>0</v>
      </c>
    </row>
    <row r="447" spans="1:37">
      <c r="E447">
        <v>3</v>
      </c>
      <c r="F447" s="13"/>
      <c r="G447" s="13">
        <f t="shared" si="611"/>
        <v>0</v>
      </c>
      <c r="H447" s="13">
        <f t="shared" si="612"/>
        <v>196.20000000000002</v>
      </c>
      <c r="I447" s="13">
        <f t="shared" si="613"/>
        <v>2000000</v>
      </c>
      <c r="J447" s="13">
        <f t="shared" si="595"/>
        <v>8.91</v>
      </c>
      <c r="K447" s="5">
        <f t="shared" si="596"/>
        <v>73.433999999999997</v>
      </c>
      <c r="L447" s="21">
        <f t="shared" si="597"/>
        <v>17820</v>
      </c>
      <c r="M447">
        <f t="shared" si="598"/>
        <v>146868</v>
      </c>
      <c r="N447">
        <f t="shared" si="614"/>
        <v>1.9170442199999999E-3</v>
      </c>
      <c r="O447">
        <f t="shared" si="615"/>
        <v>0.99999662534246236</v>
      </c>
      <c r="P447">
        <f t="shared" si="599"/>
        <v>1.9170377506322728E-6</v>
      </c>
      <c r="Q447">
        <f t="shared" si="592"/>
        <v>0.99999470830471171</v>
      </c>
      <c r="R447">
        <f t="shared" si="616"/>
        <v>122505.58658420369</v>
      </c>
      <c r="S447">
        <f t="shared" si="617"/>
        <v>19999.932506849247</v>
      </c>
      <c r="T447">
        <f t="shared" si="600"/>
        <v>146867.22281929641</v>
      </c>
      <c r="U447" s="22">
        <f t="shared" si="593"/>
        <v>19999.894166094233</v>
      </c>
      <c r="V447" s="1">
        <f t="shared" si="601"/>
        <v>0</v>
      </c>
      <c r="W447" s="1">
        <f t="shared" si="602"/>
        <v>0</v>
      </c>
      <c r="X447" s="1">
        <f t="shared" si="603"/>
        <v>-196.19933789219112</v>
      </c>
      <c r="Y447" s="1">
        <f t="shared" si="618"/>
        <v>-3.8340755012645458</v>
      </c>
      <c r="Z447" s="1">
        <f t="shared" si="604"/>
        <v>-200.03341339345567</v>
      </c>
      <c r="AA447" s="1">
        <f t="shared" si="605"/>
        <v>-24361.636235092723</v>
      </c>
      <c r="AB447" s="1">
        <f t="shared" si="606"/>
        <v>7837.8035500079113</v>
      </c>
      <c r="AC447" s="1">
        <f t="shared" si="607"/>
        <v>-16723.866098478269</v>
      </c>
      <c r="AD447" s="1">
        <f t="shared" si="608"/>
        <v>3.8340755014360184E-2</v>
      </c>
      <c r="AE447">
        <f t="shared" si="609"/>
        <v>-16723.827757723255</v>
      </c>
      <c r="AG447" s="19">
        <v>3</v>
      </c>
      <c r="AH447" s="19">
        <f t="shared" ref="AH447:AK447" si="620">AH360</f>
        <v>0.99662818201985781</v>
      </c>
      <c r="AI447" s="19">
        <f t="shared" si="620"/>
        <v>1.9105802958302763E-3</v>
      </c>
      <c r="AJ447" s="19">
        <f t="shared" si="620"/>
        <v>73.433999999999997</v>
      </c>
      <c r="AK447" s="19">
        <f t="shared" si="620"/>
        <v>8.91</v>
      </c>
    </row>
    <row r="448" spans="1:37">
      <c r="E448">
        <v>4</v>
      </c>
      <c r="F448" s="13"/>
      <c r="G448" s="13">
        <f t="shared" si="611"/>
        <v>0</v>
      </c>
      <c r="H448" s="13">
        <f t="shared" si="612"/>
        <v>196.20000000000002</v>
      </c>
      <c r="I448" s="13">
        <f t="shared" si="613"/>
        <v>2000000</v>
      </c>
      <c r="J448" s="13">
        <f t="shared" si="595"/>
        <v>18.521000000000001</v>
      </c>
      <c r="K448" s="5">
        <f t="shared" si="596"/>
        <v>85.957999999999998</v>
      </c>
      <c r="L448" s="21">
        <f t="shared" si="597"/>
        <v>37042</v>
      </c>
      <c r="M448">
        <f t="shared" si="598"/>
        <v>171916</v>
      </c>
      <c r="N448">
        <f t="shared" si="614"/>
        <v>2.1018615799999999E-3</v>
      </c>
      <c r="O448">
        <f t="shared" si="615"/>
        <v>0.99999470830471171</v>
      </c>
      <c r="P448">
        <f t="shared" si="599"/>
        <v>2.1018504575889805E-6</v>
      </c>
      <c r="Q448">
        <f t="shared" si="592"/>
        <v>0.99999260645425414</v>
      </c>
      <c r="R448">
        <f t="shared" si="616"/>
        <v>146867.22281929641</v>
      </c>
      <c r="S448">
        <f t="shared" si="617"/>
        <v>19999.894166094233</v>
      </c>
      <c r="T448">
        <f t="shared" si="600"/>
        <v>171914.72893118954</v>
      </c>
      <c r="U448" s="22">
        <f t="shared" si="593"/>
        <v>19999.852129085084</v>
      </c>
      <c r="V448" s="1">
        <f t="shared" si="601"/>
        <v>0</v>
      </c>
      <c r="W448" s="1">
        <f t="shared" si="602"/>
        <v>0</v>
      </c>
      <c r="X448" s="1">
        <f t="shared" si="603"/>
        <v>-196.19896176938445</v>
      </c>
      <c r="Y448" s="1">
        <f t="shared" si="618"/>
        <v>-4.2037009151779605</v>
      </c>
      <c r="Z448" s="1">
        <f t="shared" si="604"/>
        <v>-200.40266268456242</v>
      </c>
      <c r="AA448" s="1">
        <f t="shared" si="605"/>
        <v>-25047.506111893133</v>
      </c>
      <c r="AB448" s="1">
        <f t="shared" si="606"/>
        <v>9177.6914341964857</v>
      </c>
      <c r="AC448" s="1">
        <f t="shared" si="607"/>
        <v>-16070.21734038121</v>
      </c>
      <c r="AD448" s="1">
        <f t="shared" si="608"/>
        <v>4.2037009148771176E-2</v>
      </c>
      <c r="AE448">
        <f t="shared" si="609"/>
        <v>-16070.175303372062</v>
      </c>
      <c r="AG448" s="19">
        <v>4</v>
      </c>
      <c r="AH448" s="19">
        <f t="shared" ref="AH448:AK448" si="621">AH361</f>
        <v>0.99471760172402757</v>
      </c>
      <c r="AI448" s="19">
        <f t="shared" si="621"/>
        <v>2.0907587100134749E-3</v>
      </c>
      <c r="AJ448" s="19">
        <f t="shared" si="621"/>
        <v>85.957999999999998</v>
      </c>
      <c r="AK448" s="19">
        <f t="shared" si="621"/>
        <v>18.521000000000001</v>
      </c>
    </row>
    <row r="449" spans="5:37">
      <c r="E449">
        <v>5</v>
      </c>
      <c r="F449" s="13"/>
      <c r="G449" s="13">
        <f t="shared" si="611"/>
        <v>0</v>
      </c>
      <c r="H449" s="13">
        <f t="shared" si="612"/>
        <v>196.20000000000002</v>
      </c>
      <c r="I449" s="13">
        <f t="shared" si="613"/>
        <v>2000000</v>
      </c>
      <c r="J449" s="13">
        <f t="shared" si="595"/>
        <v>28.541</v>
      </c>
      <c r="K449" s="5">
        <f t="shared" si="596"/>
        <v>98.834000000000003</v>
      </c>
      <c r="L449" s="21">
        <f t="shared" si="597"/>
        <v>57082</v>
      </c>
      <c r="M449">
        <f t="shared" si="598"/>
        <v>197668</v>
      </c>
      <c r="N449">
        <f t="shared" si="614"/>
        <v>2.2971403000000001E-3</v>
      </c>
      <c r="O449">
        <f t="shared" si="615"/>
        <v>0.99999260645425414</v>
      </c>
      <c r="P449">
        <f t="shared" si="599"/>
        <v>2.2971233159881075E-6</v>
      </c>
      <c r="Q449">
        <f t="shared" si="592"/>
        <v>0.99999030933093813</v>
      </c>
      <c r="R449">
        <f t="shared" si="616"/>
        <v>171914.72893118954</v>
      </c>
      <c r="S449">
        <f t="shared" si="617"/>
        <v>19999.852129085084</v>
      </c>
      <c r="T449">
        <f t="shared" si="600"/>
        <v>197666.08446482787</v>
      </c>
      <c r="U449" s="22">
        <f t="shared" si="593"/>
        <v>19999.806186618764</v>
      </c>
      <c r="V449" s="1">
        <f t="shared" si="601"/>
        <v>0</v>
      </c>
      <c r="W449" s="1">
        <f t="shared" si="602"/>
        <v>0</v>
      </c>
      <c r="X449" s="1">
        <f t="shared" si="603"/>
        <v>-196.19854938632469</v>
      </c>
      <c r="Y449" s="1">
        <f t="shared" si="618"/>
        <v>-4.5942466319762154</v>
      </c>
      <c r="Z449" s="1">
        <f t="shared" si="604"/>
        <v>-200.79279601830089</v>
      </c>
      <c r="AA449" s="1">
        <f t="shared" si="605"/>
        <v>-25751.355533638329</v>
      </c>
      <c r="AB449" s="1">
        <f t="shared" si="606"/>
        <v>10555.301958315104</v>
      </c>
      <c r="AC449" s="1">
        <f t="shared" si="607"/>
        <v>-15396.846371341526</v>
      </c>
      <c r="AD449" s="1">
        <f t="shared" si="608"/>
        <v>4.5942466320411768E-2</v>
      </c>
      <c r="AE449">
        <f t="shared" si="609"/>
        <v>-15396.800428875205</v>
      </c>
      <c r="AG449" s="19">
        <v>5</v>
      </c>
      <c r="AH449" s="19">
        <f t="shared" ref="AH449:AK449" si="622">AH362</f>
        <v>0.99262684301401405</v>
      </c>
      <c r="AI449" s="19">
        <f t="shared" si="622"/>
        <v>2.2802031239492651E-3</v>
      </c>
      <c r="AJ449" s="19">
        <f t="shared" si="622"/>
        <v>98.834000000000003</v>
      </c>
      <c r="AK449" s="19">
        <f t="shared" si="622"/>
        <v>28.541</v>
      </c>
    </row>
    <row r="450" spans="5:37">
      <c r="E450">
        <v>6</v>
      </c>
      <c r="F450" s="13"/>
      <c r="G450" s="13">
        <f t="shared" si="611"/>
        <v>0</v>
      </c>
      <c r="H450" s="13">
        <f t="shared" si="612"/>
        <v>196.20000000000002</v>
      </c>
      <c r="I450" s="13">
        <f t="shared" si="613"/>
        <v>2000000</v>
      </c>
      <c r="J450" s="13">
        <f t="shared" si="595"/>
        <v>38.979999999999997</v>
      </c>
      <c r="K450" s="5">
        <f t="shared" si="596"/>
        <v>112.065</v>
      </c>
      <c r="L450" s="21">
        <f t="shared" si="597"/>
        <v>77960</v>
      </c>
      <c r="M450">
        <f t="shared" si="598"/>
        <v>224130</v>
      </c>
      <c r="N450">
        <f t="shared" si="614"/>
        <v>2.51159818E-3</v>
      </c>
      <c r="O450">
        <f t="shared" si="615"/>
        <v>0.99999030933093813</v>
      </c>
      <c r="P450">
        <f t="shared" si="599"/>
        <v>2.5115738409332209E-6</v>
      </c>
      <c r="Q450">
        <f t="shared" si="592"/>
        <v>0.99998779775709723</v>
      </c>
      <c r="R450">
        <f t="shared" si="616"/>
        <v>197666.08446482787</v>
      </c>
      <c r="S450">
        <f t="shared" si="617"/>
        <v>19999.806186618764</v>
      </c>
      <c r="T450">
        <f t="shared" si="600"/>
        <v>224127.26511129821</v>
      </c>
      <c r="U450" s="22">
        <f t="shared" si="593"/>
        <v>19999.755955141944</v>
      </c>
      <c r="V450" s="1">
        <f t="shared" si="601"/>
        <v>0</v>
      </c>
      <c r="W450" s="1">
        <f t="shared" si="602"/>
        <v>0</v>
      </c>
      <c r="X450" s="1">
        <f t="shared" si="603"/>
        <v>-196.19809869073009</v>
      </c>
      <c r="Y450" s="1">
        <f t="shared" si="618"/>
        <v>-5.0231476818664413</v>
      </c>
      <c r="Z450" s="1">
        <f t="shared" si="604"/>
        <v>-201.22124637259654</v>
      </c>
      <c r="AA450" s="1">
        <f t="shared" si="605"/>
        <v>-26461.18064647034</v>
      </c>
      <c r="AB450" s="1">
        <f t="shared" si="606"/>
        <v>11971.623985829567</v>
      </c>
      <c r="AC450" s="1">
        <f t="shared" si="607"/>
        <v>-14690.777907013369</v>
      </c>
      <c r="AD450" s="1">
        <f t="shared" si="608"/>
        <v>5.0231476820044918E-2</v>
      </c>
      <c r="AE450">
        <f t="shared" si="609"/>
        <v>-14690.727675536549</v>
      </c>
      <c r="AG450" s="19">
        <v>6</v>
      </c>
      <c r="AH450" s="19">
        <f t="shared" ref="AH450:AK450" si="623">AH363</f>
        <v>0.99034663989006477</v>
      </c>
      <c r="AI450" s="19">
        <f t="shared" si="623"/>
        <v>2.4873528183170022E-3</v>
      </c>
      <c r="AJ450" s="19">
        <f t="shared" si="623"/>
        <v>112.065</v>
      </c>
      <c r="AK450" s="19">
        <f t="shared" si="623"/>
        <v>38.979999999999997</v>
      </c>
    </row>
    <row r="451" spans="5:37">
      <c r="E451">
        <v>7</v>
      </c>
      <c r="F451" s="13"/>
      <c r="G451" s="13">
        <f t="shared" si="611"/>
        <v>0</v>
      </c>
      <c r="H451" s="13">
        <f t="shared" si="612"/>
        <v>196.20000000000002</v>
      </c>
      <c r="I451" s="13">
        <f t="shared" si="613"/>
        <v>2000000</v>
      </c>
      <c r="J451" s="13">
        <f t="shared" si="595"/>
        <v>49.853000000000002</v>
      </c>
      <c r="K451" s="5">
        <f t="shared" si="596"/>
        <v>125.658</v>
      </c>
      <c r="L451" s="21">
        <f t="shared" si="597"/>
        <v>99706</v>
      </c>
      <c r="M451">
        <f t="shared" si="598"/>
        <v>251316</v>
      </c>
      <c r="N451">
        <f t="shared" si="614"/>
        <v>2.7417480999999996E-3</v>
      </c>
      <c r="O451">
        <f t="shared" si="615"/>
        <v>0.99998779775709723</v>
      </c>
      <c r="P451">
        <f t="shared" si="599"/>
        <v>2.7417146445237053E-6</v>
      </c>
      <c r="Q451">
        <f t="shared" si="592"/>
        <v>0.99998505604245269</v>
      </c>
      <c r="R451">
        <f t="shared" si="616"/>
        <v>224127.26511129821</v>
      </c>
      <c r="S451">
        <f t="shared" si="617"/>
        <v>19999.755955141944</v>
      </c>
      <c r="T451">
        <f t="shared" si="600"/>
        <v>251312.24434436503</v>
      </c>
      <c r="U451" s="22">
        <f t="shared" si="593"/>
        <v>19999.701120849055</v>
      </c>
      <c r="V451" s="1">
        <f t="shared" si="601"/>
        <v>0</v>
      </c>
      <c r="W451" s="1">
        <f t="shared" si="602"/>
        <v>0</v>
      </c>
      <c r="X451" s="1">
        <f t="shared" si="603"/>
        <v>-196.1976059199425</v>
      </c>
      <c r="Y451" s="1">
        <f t="shared" si="618"/>
        <v>-5.483429289047411</v>
      </c>
      <c r="Z451" s="1">
        <f t="shared" si="604"/>
        <v>-201.68103520898993</v>
      </c>
      <c r="AA451" s="1">
        <f t="shared" si="605"/>
        <v>-27184.979233066813</v>
      </c>
      <c r="AB451" s="1">
        <f t="shared" si="606"/>
        <v>13426.986158654208</v>
      </c>
      <c r="AC451" s="1">
        <f t="shared" si="607"/>
        <v>-13959.674109621594</v>
      </c>
      <c r="AD451" s="1">
        <f t="shared" si="608"/>
        <v>5.4834292888699565E-2</v>
      </c>
      <c r="AE451">
        <f t="shared" si="609"/>
        <v>-13959.619275328705</v>
      </c>
      <c r="AG451" s="19">
        <v>7</v>
      </c>
      <c r="AH451" s="19">
        <f t="shared" ref="AH451:AK451" si="624">AH364</f>
        <v>0.98785928707174775</v>
      </c>
      <c r="AI451" s="19">
        <f t="shared" si="624"/>
        <v>2.7084613233963185E-3</v>
      </c>
      <c r="AJ451" s="19">
        <f t="shared" si="624"/>
        <v>125.658</v>
      </c>
      <c r="AK451" s="19">
        <f t="shared" si="624"/>
        <v>49.853000000000002</v>
      </c>
    </row>
    <row r="452" spans="5:37">
      <c r="E452">
        <v>8</v>
      </c>
      <c r="F452" s="13"/>
      <c r="G452" s="13">
        <f t="shared" si="611"/>
        <v>0</v>
      </c>
      <c r="H452" s="13">
        <f t="shared" si="612"/>
        <v>196.20000000000002</v>
      </c>
      <c r="I452" s="13">
        <f t="shared" si="613"/>
        <v>2000000</v>
      </c>
      <c r="J452" s="13">
        <f t="shared" si="595"/>
        <v>61.161999999999999</v>
      </c>
      <c r="K452" s="5">
        <f t="shared" si="596"/>
        <v>139.60400000000001</v>
      </c>
      <c r="L452" s="21">
        <f t="shared" si="597"/>
        <v>122324</v>
      </c>
      <c r="M452">
        <f t="shared" si="598"/>
        <v>279208</v>
      </c>
      <c r="N452">
        <f t="shared" si="614"/>
        <v>3.0067692199999998E-3</v>
      </c>
      <c r="O452">
        <f t="shared" si="615"/>
        <v>0.99998505604245269</v>
      </c>
      <c r="P452">
        <f t="shared" si="599"/>
        <v>3.0067242869684218E-6</v>
      </c>
      <c r="Q452">
        <f t="shared" si="592"/>
        <v>0.9999820493181657</v>
      </c>
      <c r="R452">
        <f t="shared" si="616"/>
        <v>251312.24434436503</v>
      </c>
      <c r="S452">
        <f t="shared" si="617"/>
        <v>19999.701120849055</v>
      </c>
      <c r="T452">
        <f t="shared" si="600"/>
        <v>279202.9880260264</v>
      </c>
      <c r="U452" s="22">
        <f t="shared" si="593"/>
        <v>19999.640986363313</v>
      </c>
      <c r="V452" s="1">
        <f t="shared" si="601"/>
        <v>0</v>
      </c>
      <c r="W452" s="1">
        <f t="shared" si="602"/>
        <v>0</v>
      </c>
      <c r="X452" s="1">
        <f t="shared" si="603"/>
        <v>-196.19706799552924</v>
      </c>
      <c r="Y452" s="1">
        <f t="shared" si="618"/>
        <v>-6.0134485739368433</v>
      </c>
      <c r="Z452" s="1">
        <f t="shared" si="604"/>
        <v>-202.21051656946608</v>
      </c>
      <c r="AA452" s="1">
        <f t="shared" si="605"/>
        <v>-27890.743681661377</v>
      </c>
      <c r="AB452" s="1">
        <f t="shared" si="606"/>
        <v>14922.157000586774</v>
      </c>
      <c r="AC452" s="1">
        <f t="shared" si="607"/>
        <v>-13170.797197644069</v>
      </c>
      <c r="AD452" s="1">
        <f t="shared" si="608"/>
        <v>6.0134485742310062E-2</v>
      </c>
      <c r="AE452">
        <f t="shared" si="609"/>
        <v>-13170.737063158327</v>
      </c>
      <c r="AG452" s="19">
        <v>8</v>
      </c>
      <c r="AH452" s="19">
        <f t="shared" ref="AH452:AK452" si="625">AH365</f>
        <v>0.98515082574835144</v>
      </c>
      <c r="AI452" s="19">
        <f t="shared" si="625"/>
        <v>2.9621211799177264E-3</v>
      </c>
      <c r="AJ452" s="19">
        <f t="shared" si="625"/>
        <v>139.60400000000001</v>
      </c>
      <c r="AK452" s="19">
        <f t="shared" si="625"/>
        <v>61.161999999999999</v>
      </c>
    </row>
    <row r="453" spans="5:37">
      <c r="E453">
        <v>9</v>
      </c>
      <c r="F453" s="13"/>
      <c r="G453" s="13">
        <f t="shared" si="611"/>
        <v>0</v>
      </c>
      <c r="H453" s="13">
        <f t="shared" si="612"/>
        <v>196.20000000000002</v>
      </c>
      <c r="I453" s="13">
        <f t="shared" si="613"/>
        <v>2000000</v>
      </c>
      <c r="J453" s="13">
        <f t="shared" si="595"/>
        <v>72.903999999999996</v>
      </c>
      <c r="K453" s="5">
        <f t="shared" si="596"/>
        <v>153.89699999999999</v>
      </c>
      <c r="L453" s="21">
        <f t="shared" si="597"/>
        <v>145808</v>
      </c>
      <c r="M453">
        <f t="shared" si="598"/>
        <v>307794</v>
      </c>
      <c r="N453">
        <f t="shared" si="614"/>
        <v>3.3084051E-3</v>
      </c>
      <c r="O453">
        <f t="shared" si="615"/>
        <v>0.9999820493181657</v>
      </c>
      <c r="P453">
        <f t="shared" si="599"/>
        <v>3.308345711872671E-6</v>
      </c>
      <c r="Q453">
        <f t="shared" si="592"/>
        <v>0.99997874097245387</v>
      </c>
      <c r="R453">
        <f t="shared" si="616"/>
        <v>279202.9880260264</v>
      </c>
      <c r="S453">
        <f t="shared" si="617"/>
        <v>19999.640986363313</v>
      </c>
      <c r="T453">
        <f t="shared" si="600"/>
        <v>307787.45659887546</v>
      </c>
      <c r="U453" s="22">
        <f t="shared" si="593"/>
        <v>19999.574819449077</v>
      </c>
      <c r="V453" s="1">
        <f t="shared" si="601"/>
        <v>0</v>
      </c>
      <c r="W453" s="1">
        <f t="shared" si="602"/>
        <v>0</v>
      </c>
      <c r="X453" s="1">
        <f t="shared" si="603"/>
        <v>-196.19647807622414</v>
      </c>
      <c r="Y453" s="1">
        <f t="shared" si="618"/>
        <v>-6.6166914237453422</v>
      </c>
      <c r="Z453" s="1">
        <f t="shared" si="604"/>
        <v>-202.81316949996949</v>
      </c>
      <c r="AA453" s="1">
        <f t="shared" si="605"/>
        <v>-28584.468572849059</v>
      </c>
      <c r="AB453" s="1">
        <f t="shared" si="606"/>
        <v>16456.144595681431</v>
      </c>
      <c r="AC453" s="1">
        <f t="shared" si="607"/>
        <v>-12331.137146667596</v>
      </c>
      <c r="AD453" s="1">
        <f t="shared" si="608"/>
        <v>6.6166914235509466E-2</v>
      </c>
      <c r="AE453">
        <f t="shared" si="609"/>
        <v>-12331.07097975336</v>
      </c>
      <c r="AG453" s="19">
        <v>9</v>
      </c>
      <c r="AH453" s="19">
        <f t="shared" ref="AH453:AK453" si="626">AH366</f>
        <v>0.98218870456843377</v>
      </c>
      <c r="AI453" s="19">
        <f t="shared" si="626"/>
        <v>3.2494781193565993E-3</v>
      </c>
      <c r="AJ453" s="19">
        <f t="shared" si="626"/>
        <v>153.89699999999999</v>
      </c>
      <c r="AK453" s="19">
        <f t="shared" si="626"/>
        <v>72.903999999999996</v>
      </c>
    </row>
    <row r="454" spans="5:37">
      <c r="E454">
        <v>10</v>
      </c>
      <c r="F454" s="13"/>
      <c r="G454" s="13">
        <f t="shared" si="611"/>
        <v>0</v>
      </c>
      <c r="H454" s="13">
        <f t="shared" si="612"/>
        <v>196.20000000000002</v>
      </c>
      <c r="I454" s="13">
        <f t="shared" si="613"/>
        <v>2000000</v>
      </c>
      <c r="J454" s="13">
        <f t="shared" si="595"/>
        <v>85.085999999999999</v>
      </c>
      <c r="K454" s="5">
        <f t="shared" si="596"/>
        <v>168.53200000000001</v>
      </c>
      <c r="L454" s="21">
        <f t="shared" si="597"/>
        <v>170172</v>
      </c>
      <c r="M454">
        <f t="shared" si="598"/>
        <v>337064</v>
      </c>
      <c r="N454">
        <f t="shared" si="614"/>
        <v>3.6422968400000003E-3</v>
      </c>
      <c r="O454">
        <f t="shared" si="615"/>
        <v>0.99997874097245387</v>
      </c>
      <c r="P454">
        <f t="shared" si="599"/>
        <v>3.6422194083111475E-6</v>
      </c>
      <c r="Q454">
        <f t="shared" si="592"/>
        <v>0.99997509875304558</v>
      </c>
      <c r="R454">
        <f t="shared" si="616"/>
        <v>307787.45659887546</v>
      </c>
      <c r="S454">
        <f t="shared" si="617"/>
        <v>19999.574819449077</v>
      </c>
      <c r="T454">
        <f t="shared" si="600"/>
        <v>337055.60668609658</v>
      </c>
      <c r="U454" s="22">
        <f t="shared" si="593"/>
        <v>19999.50197506091</v>
      </c>
      <c r="V454" s="1">
        <f t="shared" si="601"/>
        <v>0</v>
      </c>
      <c r="W454" s="1">
        <f t="shared" si="602"/>
        <v>0</v>
      </c>
      <c r="X454" s="1">
        <f t="shared" si="603"/>
        <v>-196.19582897879548</v>
      </c>
      <c r="Y454" s="1">
        <f t="shared" si="618"/>
        <v>-7.2844388166222949</v>
      </c>
      <c r="Z454" s="1">
        <f t="shared" si="604"/>
        <v>-203.48026779541777</v>
      </c>
      <c r="AA454" s="1">
        <f t="shared" si="605"/>
        <v>-29268.150087221118</v>
      </c>
      <c r="AB454" s="1">
        <f t="shared" si="606"/>
        <v>18028.28672800785</v>
      </c>
      <c r="AC454" s="1">
        <f t="shared" si="607"/>
        <v>-11443.343627008686</v>
      </c>
      <c r="AD454" s="1">
        <f t="shared" si="608"/>
        <v>7.2844388167141005E-2</v>
      </c>
      <c r="AE454">
        <f t="shared" si="609"/>
        <v>-11443.270782620519</v>
      </c>
      <c r="AG454" s="19">
        <v>10</v>
      </c>
      <c r="AH454" s="19">
        <f t="shared" ref="AH454:AK454" si="627">AH367</f>
        <v>0.97893922644907716</v>
      </c>
      <c r="AI454" s="19">
        <f t="shared" si="627"/>
        <v>3.5655872510475185E-3</v>
      </c>
      <c r="AJ454" s="19">
        <f t="shared" si="627"/>
        <v>168.53200000000001</v>
      </c>
      <c r="AK454" s="19">
        <f t="shared" si="627"/>
        <v>85.085999999999999</v>
      </c>
    </row>
    <row r="455" spans="5:37">
      <c r="E455">
        <v>11</v>
      </c>
      <c r="F455" s="13"/>
      <c r="G455" s="13">
        <f t="shared" si="611"/>
        <v>0</v>
      </c>
      <c r="H455" s="13">
        <f t="shared" si="612"/>
        <v>196.20000000000002</v>
      </c>
      <c r="I455" s="13">
        <f t="shared" si="613"/>
        <v>2000000</v>
      </c>
      <c r="J455" s="13">
        <f t="shared" si="595"/>
        <v>97.701999999999998</v>
      </c>
      <c r="K455" s="5">
        <f t="shared" si="596"/>
        <v>183.49700000000001</v>
      </c>
      <c r="L455" s="21">
        <f t="shared" si="597"/>
        <v>195404</v>
      </c>
      <c r="M455">
        <f t="shared" si="598"/>
        <v>366994</v>
      </c>
      <c r="N455">
        <f t="shared" si="614"/>
        <v>4.0215211399999996E-3</v>
      </c>
      <c r="O455">
        <f t="shared" si="615"/>
        <v>0.99997509875304558</v>
      </c>
      <c r="P455">
        <f t="shared" si="599"/>
        <v>4.0214209991089604E-6</v>
      </c>
      <c r="Q455">
        <f t="shared" si="592"/>
        <v>0.99997107733204649</v>
      </c>
      <c r="R455">
        <f t="shared" si="616"/>
        <v>337055.60668609658</v>
      </c>
      <c r="S455">
        <f t="shared" si="617"/>
        <v>19999.50197506091</v>
      </c>
      <c r="T455">
        <f t="shared" si="600"/>
        <v>366983.38555439707</v>
      </c>
      <c r="U455" s="22">
        <f t="shared" si="593"/>
        <v>19999.42154664093</v>
      </c>
      <c r="V455" s="1">
        <f t="shared" si="601"/>
        <v>0</v>
      </c>
      <c r="W455" s="1">
        <f t="shared" si="602"/>
        <v>0</v>
      </c>
      <c r="X455" s="1">
        <f t="shared" si="603"/>
        <v>-196.19511437534757</v>
      </c>
      <c r="Y455" s="1">
        <f t="shared" si="618"/>
        <v>-8.04284199821792</v>
      </c>
      <c r="Z455" s="1">
        <f t="shared" si="604"/>
        <v>-204.23795637356548</v>
      </c>
      <c r="AA455" s="1">
        <f t="shared" si="605"/>
        <v>-29927.778868300491</v>
      </c>
      <c r="AB455" s="1">
        <f t="shared" si="606"/>
        <v>19638.030976363661</v>
      </c>
      <c r="AC455" s="1">
        <f t="shared" si="607"/>
        <v>-10493.985848310396</v>
      </c>
      <c r="AD455" s="1">
        <f t="shared" si="608"/>
        <v>8.0428419980307808E-2</v>
      </c>
      <c r="AE455">
        <f t="shared" si="609"/>
        <v>-10493.905419890416</v>
      </c>
      <c r="AG455" s="19">
        <v>11</v>
      </c>
      <c r="AH455" s="19">
        <f t="shared" ref="AH455:AK455" si="628">AH368</f>
        <v>0.97537363919802966</v>
      </c>
      <c r="AI455" s="19">
        <f t="shared" si="628"/>
        <v>3.9224857094336089E-3</v>
      </c>
      <c r="AJ455" s="19">
        <f t="shared" si="628"/>
        <v>183.49700000000001</v>
      </c>
      <c r="AK455" s="19">
        <f t="shared" si="628"/>
        <v>97.701999999999998</v>
      </c>
    </row>
    <row r="456" spans="5:37">
      <c r="E456">
        <v>12</v>
      </c>
      <c r="F456" s="13"/>
      <c r="G456" s="13">
        <f t="shared" si="611"/>
        <v>0</v>
      </c>
      <c r="H456" s="13">
        <f t="shared" si="612"/>
        <v>196.20000000000002</v>
      </c>
      <c r="I456" s="13">
        <f t="shared" si="613"/>
        <v>2000000</v>
      </c>
      <c r="J456" s="13">
        <f t="shared" si="595"/>
        <v>110.746</v>
      </c>
      <c r="K456" s="5">
        <f t="shared" si="596"/>
        <v>198.77799999999999</v>
      </c>
      <c r="L456" s="21">
        <f t="shared" si="597"/>
        <v>221492</v>
      </c>
      <c r="M456">
        <f t="shared" si="598"/>
        <v>397556</v>
      </c>
      <c r="N456">
        <f t="shared" si="614"/>
        <v>4.4513086800000001E-3</v>
      </c>
      <c r="O456">
        <f t="shared" si="615"/>
        <v>0.99997107733204649</v>
      </c>
      <c r="P456">
        <f t="shared" si="599"/>
        <v>4.4511799362770898E-6</v>
      </c>
      <c r="Q456">
        <f t="shared" si="592"/>
        <v>0.99996662615211018</v>
      </c>
      <c r="R456">
        <f t="shared" si="616"/>
        <v>366983.38555439707</v>
      </c>
      <c r="S456">
        <f t="shared" si="617"/>
        <v>19999.42154664093</v>
      </c>
      <c r="T456">
        <f t="shared" si="600"/>
        <v>397542.73202652833</v>
      </c>
      <c r="U456" s="22">
        <f t="shared" si="593"/>
        <v>19999.332523042205</v>
      </c>
      <c r="V456" s="1">
        <f t="shared" si="601"/>
        <v>0</v>
      </c>
      <c r="W456" s="1">
        <f t="shared" si="602"/>
        <v>0</v>
      </c>
      <c r="X456" s="1">
        <f t="shared" si="603"/>
        <v>-196.19432537254752</v>
      </c>
      <c r="Y456" s="1">
        <f t="shared" si="618"/>
        <v>-8.9023598725541788</v>
      </c>
      <c r="Z456" s="1">
        <f t="shared" si="604"/>
        <v>-205.0966852451017</v>
      </c>
      <c r="AA456" s="1">
        <f t="shared" si="605"/>
        <v>-30559.346472131263</v>
      </c>
      <c r="AB456" s="1">
        <f t="shared" si="606"/>
        <v>21284.054390557088</v>
      </c>
      <c r="AC456" s="1">
        <f t="shared" si="607"/>
        <v>-9480.3887668192765</v>
      </c>
      <c r="AD456" s="1">
        <f t="shared" si="608"/>
        <v>8.9023598724452313E-2</v>
      </c>
      <c r="AE456">
        <f t="shared" si="609"/>
        <v>-9480.299743220552</v>
      </c>
      <c r="AG456" s="19">
        <v>12</v>
      </c>
      <c r="AH456" s="19">
        <f t="shared" ref="AH456:AK456" si="629">AH369</f>
        <v>0.97145115348859601</v>
      </c>
      <c r="AI456" s="19">
        <f t="shared" si="629"/>
        <v>4.3242289517197996E-3</v>
      </c>
      <c r="AJ456" s="19">
        <f t="shared" si="629"/>
        <v>198.77799999999999</v>
      </c>
      <c r="AK456" s="19">
        <f t="shared" si="629"/>
        <v>110.746</v>
      </c>
    </row>
    <row r="457" spans="5:37">
      <c r="E457">
        <v>13</v>
      </c>
      <c r="F457" s="13"/>
      <c r="G457" s="13">
        <f t="shared" si="611"/>
        <v>0</v>
      </c>
      <c r="H457" s="13">
        <f t="shared" si="612"/>
        <v>196.20000000000002</v>
      </c>
      <c r="I457" s="13">
        <f t="shared" si="613"/>
        <v>2000000</v>
      </c>
      <c r="J457" s="13">
        <f t="shared" si="595"/>
        <v>124.24</v>
      </c>
      <c r="K457" s="5">
        <f t="shared" si="596"/>
        <v>214.38800000000001</v>
      </c>
      <c r="L457" s="21">
        <f t="shared" si="597"/>
        <v>248480</v>
      </c>
      <c r="M457">
        <f t="shared" si="598"/>
        <v>428776</v>
      </c>
      <c r="N457">
        <f t="shared" si="614"/>
        <v>4.8994036000000003E-3</v>
      </c>
      <c r="O457">
        <f t="shared" si="615"/>
        <v>0.99996662615211018</v>
      </c>
      <c r="P457">
        <f t="shared" si="599"/>
        <v>4.8992400880495033E-6</v>
      </c>
      <c r="Q457">
        <f t="shared" si="592"/>
        <v>0.99996172691202212</v>
      </c>
      <c r="R457">
        <f t="shared" si="616"/>
        <v>397542.73202652833</v>
      </c>
      <c r="S457">
        <f t="shared" si="617"/>
        <v>19999.332523042205</v>
      </c>
      <c r="T457">
        <f t="shared" si="600"/>
        <v>428759.58941842918</v>
      </c>
      <c r="U457" s="22">
        <f t="shared" si="593"/>
        <v>19999.234538240442</v>
      </c>
      <c r="V457" s="1">
        <f t="shared" si="601"/>
        <v>0</v>
      </c>
      <c r="W457" s="1">
        <f t="shared" si="602"/>
        <v>0</v>
      </c>
      <c r="X457" s="1">
        <f t="shared" si="603"/>
        <v>-196.19345205104403</v>
      </c>
      <c r="Y457" s="1">
        <f t="shared" si="618"/>
        <v>-9.798480176099007</v>
      </c>
      <c r="Z457" s="1">
        <f t="shared" si="604"/>
        <v>-205.99193222714305</v>
      </c>
      <c r="AA457" s="1">
        <f t="shared" si="605"/>
        <v>-31216.857391900849</v>
      </c>
      <c r="AB457" s="1">
        <f t="shared" si="606"/>
        <v>22964.813550226379</v>
      </c>
      <c r="AC457" s="1">
        <f t="shared" si="607"/>
        <v>-8458.0357739016108</v>
      </c>
      <c r="AD457" s="1">
        <f t="shared" si="608"/>
        <v>9.7984801763232099E-2</v>
      </c>
      <c r="AE457">
        <f t="shared" si="609"/>
        <v>-8457.9377890998476</v>
      </c>
      <c r="AG457" s="19">
        <v>13</v>
      </c>
      <c r="AH457" s="19">
        <f t="shared" ref="AH457:AK457" si="630">AH370</f>
        <v>0.96712692453687621</v>
      </c>
      <c r="AI457" s="19">
        <f t="shared" si="630"/>
        <v>4.7383451357329003E-3</v>
      </c>
      <c r="AJ457" s="19">
        <f t="shared" si="630"/>
        <v>214.38800000000001</v>
      </c>
      <c r="AK457" s="19">
        <f t="shared" si="630"/>
        <v>124.24</v>
      </c>
    </row>
    <row r="458" spans="5:37">
      <c r="E458">
        <v>14</v>
      </c>
      <c r="F458" s="13"/>
      <c r="G458" s="13">
        <f t="shared" si="611"/>
        <v>0</v>
      </c>
      <c r="H458" s="13">
        <f t="shared" si="612"/>
        <v>196.20000000000002</v>
      </c>
      <c r="I458" s="13">
        <f t="shared" si="613"/>
        <v>2000000</v>
      </c>
      <c r="J458" s="13">
        <f t="shared" si="595"/>
        <v>138.19900000000001</v>
      </c>
      <c r="K458" s="5">
        <f t="shared" si="596"/>
        <v>230.33099999999999</v>
      </c>
      <c r="L458" s="21">
        <f t="shared" si="597"/>
        <v>276398</v>
      </c>
      <c r="M458">
        <f t="shared" si="598"/>
        <v>460662</v>
      </c>
      <c r="N458">
        <f t="shared" si="614"/>
        <v>5.3788826E-3</v>
      </c>
      <c r="O458">
        <f t="shared" si="615"/>
        <v>0.99996172691202212</v>
      </c>
      <c r="P458">
        <f t="shared" si="599"/>
        <v>5.378676733553027E-6</v>
      </c>
      <c r="Q458">
        <f t="shared" si="592"/>
        <v>0.99995634823528856</v>
      </c>
      <c r="R458">
        <f t="shared" si="616"/>
        <v>428759.58941842918</v>
      </c>
      <c r="S458">
        <f t="shared" si="617"/>
        <v>19999.234538240442</v>
      </c>
      <c r="T458">
        <f t="shared" si="600"/>
        <v>460641.8912907645</v>
      </c>
      <c r="U458" s="22">
        <f t="shared" si="593"/>
        <v>19999.126964705771</v>
      </c>
      <c r="V458" s="1">
        <f t="shared" si="601"/>
        <v>0</v>
      </c>
      <c r="W458" s="1">
        <f t="shared" si="602"/>
        <v>0</v>
      </c>
      <c r="X458" s="1">
        <f t="shared" si="603"/>
        <v>-196.19249082013874</v>
      </c>
      <c r="Y458" s="1">
        <f t="shared" si="618"/>
        <v>-10.757353467106054</v>
      </c>
      <c r="Z458" s="1">
        <f t="shared" si="604"/>
        <v>-206.94984428724479</v>
      </c>
      <c r="AA458" s="1">
        <f t="shared" si="605"/>
        <v>-31882.301872335316</v>
      </c>
      <c r="AB458" s="1">
        <f t="shared" si="606"/>
        <v>24681.735317616829</v>
      </c>
      <c r="AC458" s="1">
        <f t="shared" si="607"/>
        <v>-7407.5163990057335</v>
      </c>
      <c r="AD458" s="1">
        <f t="shared" si="608"/>
        <v>0.10757353467124631</v>
      </c>
      <c r="AE458">
        <f t="shared" si="609"/>
        <v>-7407.4088254710623</v>
      </c>
      <c r="AG458" s="19">
        <v>14</v>
      </c>
      <c r="AH458" s="19">
        <f t="shared" ref="AH458:AK458" si="631">AH371</f>
        <v>0.96238857940114331</v>
      </c>
      <c r="AI458" s="19">
        <f t="shared" si="631"/>
        <v>5.1765751841795285E-3</v>
      </c>
      <c r="AJ458" s="19">
        <f t="shared" si="631"/>
        <v>230.33099999999999</v>
      </c>
      <c r="AK458" s="19">
        <f t="shared" si="631"/>
        <v>138.19900000000001</v>
      </c>
    </row>
    <row r="459" spans="5:37">
      <c r="E459">
        <v>15</v>
      </c>
      <c r="F459" s="13"/>
      <c r="G459" s="13">
        <f t="shared" si="611"/>
        <v>0</v>
      </c>
      <c r="H459" s="13">
        <f t="shared" si="612"/>
        <v>196.20000000000002</v>
      </c>
      <c r="I459" s="13">
        <f t="shared" si="613"/>
        <v>2000000</v>
      </c>
      <c r="J459" s="13">
        <f t="shared" si="595"/>
        <v>152.625</v>
      </c>
      <c r="K459" s="5">
        <f t="shared" si="596"/>
        <v>246.602</v>
      </c>
      <c r="L459" s="21">
        <f t="shared" si="597"/>
        <v>305250</v>
      </c>
      <c r="M459">
        <f t="shared" si="598"/>
        <v>493204</v>
      </c>
      <c r="N459">
        <f t="shared" si="614"/>
        <v>5.9071812799999998E-3</v>
      </c>
      <c r="O459">
        <f t="shared" si="615"/>
        <v>0.99995634823528856</v>
      </c>
      <c r="P459">
        <f t="shared" si="599"/>
        <v>5.9069234211126574E-6</v>
      </c>
      <c r="Q459">
        <f t="shared" si="592"/>
        <v>0.9999504413118675</v>
      </c>
      <c r="R459">
        <f t="shared" si="616"/>
        <v>460641.8912907645</v>
      </c>
      <c r="S459">
        <f t="shared" si="617"/>
        <v>19999.126964705771</v>
      </c>
      <c r="T459">
        <f t="shared" si="600"/>
        <v>493179.5574567783</v>
      </c>
      <c r="U459" s="22">
        <f t="shared" si="593"/>
        <v>19999.00882623735</v>
      </c>
      <c r="V459" s="1">
        <f t="shared" si="601"/>
        <v>0</v>
      </c>
      <c r="W459" s="1">
        <f t="shared" si="602"/>
        <v>0</v>
      </c>
      <c r="X459" s="1">
        <f t="shared" si="603"/>
        <v>-196.19143552376363</v>
      </c>
      <c r="Y459" s="1">
        <f t="shared" si="618"/>
        <v>-11.813846842225315</v>
      </c>
      <c r="Z459" s="1">
        <f t="shared" si="604"/>
        <v>-208.00528236598893</v>
      </c>
      <c r="AA459" s="1">
        <f t="shared" si="605"/>
        <v>-32537.666166013805</v>
      </c>
      <c r="AB459" s="1">
        <f t="shared" si="606"/>
        <v>26435.256004050865</v>
      </c>
      <c r="AC459" s="1">
        <f t="shared" si="607"/>
        <v>-6310.4154443289299</v>
      </c>
      <c r="AD459" s="1">
        <f t="shared" si="608"/>
        <v>0.11813846842051134</v>
      </c>
      <c r="AE459">
        <f t="shared" si="609"/>
        <v>-6310.2973058605094</v>
      </c>
      <c r="AG459" s="19">
        <v>15</v>
      </c>
      <c r="AH459" s="19">
        <f t="shared" ref="AH459:AK459" si="632">AH372</f>
        <v>0.95721200421696373</v>
      </c>
      <c r="AI459" s="19">
        <f t="shared" si="632"/>
        <v>5.6544248323017292E-3</v>
      </c>
      <c r="AJ459" s="19">
        <f t="shared" si="632"/>
        <v>246.602</v>
      </c>
      <c r="AK459" s="19">
        <f t="shared" si="632"/>
        <v>152.625</v>
      </c>
    </row>
    <row r="460" spans="5:37">
      <c r="E460">
        <v>16</v>
      </c>
      <c r="F460" s="13"/>
      <c r="G460" s="13">
        <f t="shared" si="611"/>
        <v>0</v>
      </c>
      <c r="H460" s="13">
        <f t="shared" si="612"/>
        <v>196.20000000000002</v>
      </c>
      <c r="I460" s="13">
        <f t="shared" si="613"/>
        <v>2000000</v>
      </c>
      <c r="J460" s="13">
        <f t="shared" si="595"/>
        <v>167.47900000000001</v>
      </c>
      <c r="K460" s="5">
        <f t="shared" si="596"/>
        <v>263.15499999999997</v>
      </c>
      <c r="L460" s="21">
        <f t="shared" si="597"/>
        <v>334958</v>
      </c>
      <c r="M460">
        <f t="shared" si="598"/>
        <v>526309.99999999988</v>
      </c>
      <c r="N460">
        <f t="shared" si="614"/>
        <v>6.5392217799999999E-3</v>
      </c>
      <c r="O460">
        <f t="shared" si="615"/>
        <v>0.9999504413118675</v>
      </c>
      <c r="P460">
        <f t="shared" si="599"/>
        <v>6.5388977047471757E-6</v>
      </c>
      <c r="Q460">
        <f t="shared" si="592"/>
        <v>0.99994390241416276</v>
      </c>
      <c r="R460">
        <f t="shared" si="616"/>
        <v>493179.5574567783</v>
      </c>
      <c r="S460">
        <f t="shared" si="617"/>
        <v>19999.00882623735</v>
      </c>
      <c r="T460">
        <f t="shared" si="600"/>
        <v>526280.47527959791</v>
      </c>
      <c r="U460" s="22">
        <f t="shared" si="593"/>
        <v>19998.878048283255</v>
      </c>
      <c r="V460" s="1">
        <f t="shared" si="601"/>
        <v>0</v>
      </c>
      <c r="W460" s="1">
        <f t="shared" si="602"/>
        <v>0</v>
      </c>
      <c r="X460" s="1">
        <f t="shared" si="603"/>
        <v>-196.19027658538843</v>
      </c>
      <c r="Y460" s="1">
        <f t="shared" si="618"/>
        <v>-13.077795409494351</v>
      </c>
      <c r="Z460" s="1">
        <f t="shared" si="604"/>
        <v>-209.26807199488277</v>
      </c>
      <c r="AA460" s="1">
        <f t="shared" si="605"/>
        <v>-33100.917822819611</v>
      </c>
      <c r="AB460" s="1">
        <f t="shared" si="606"/>
        <v>28224.82114556586</v>
      </c>
      <c r="AC460" s="1">
        <f t="shared" si="607"/>
        <v>-5085.3647492486343</v>
      </c>
      <c r="AD460" s="1">
        <f t="shared" si="608"/>
        <v>0.13077795409481041</v>
      </c>
      <c r="AE460">
        <f t="shared" si="609"/>
        <v>-5085.2339712945395</v>
      </c>
      <c r="AG460" s="19">
        <v>16</v>
      </c>
      <c r="AH460" s="19">
        <f t="shared" ref="AH460:AK460" si="633">AH373</f>
        <v>0.95155757938466201</v>
      </c>
      <c r="AI460" s="19">
        <f t="shared" si="633"/>
        <v>6.2224460480362611E-3</v>
      </c>
      <c r="AJ460" s="19">
        <f t="shared" si="633"/>
        <v>263.15499999999997</v>
      </c>
      <c r="AK460" s="19">
        <f t="shared" si="633"/>
        <v>167.47900000000001</v>
      </c>
    </row>
    <row r="461" spans="5:37">
      <c r="E461">
        <v>17</v>
      </c>
      <c r="F461" s="13"/>
      <c r="G461" s="13">
        <f t="shared" si="611"/>
        <v>0</v>
      </c>
      <c r="H461" s="13">
        <f t="shared" si="612"/>
        <v>196.20000000000002</v>
      </c>
      <c r="I461" s="13">
        <f t="shared" si="613"/>
        <v>2000000</v>
      </c>
      <c r="J461" s="13">
        <f t="shared" si="595"/>
        <v>182.773</v>
      </c>
      <c r="K461" s="5">
        <f t="shared" si="596"/>
        <v>279.995</v>
      </c>
      <c r="L461" s="21">
        <f t="shared" si="597"/>
        <v>365546</v>
      </c>
      <c r="M461">
        <f t="shared" si="598"/>
        <v>559990</v>
      </c>
      <c r="N461">
        <f t="shared" si="614"/>
        <v>7.2131077200000004E-3</v>
      </c>
      <c r="O461">
        <f t="shared" si="615"/>
        <v>0.99994390241416276</v>
      </c>
      <c r="P461">
        <f t="shared" si="599"/>
        <v>7.2127030820705252E-6</v>
      </c>
      <c r="Q461">
        <f t="shared" si="592"/>
        <v>0.99993668971108074</v>
      </c>
      <c r="R461">
        <f t="shared" si="616"/>
        <v>526280.47527959791</v>
      </c>
      <c r="S461">
        <f t="shared" si="617"/>
        <v>19998.878048283255</v>
      </c>
      <c r="T461">
        <f t="shared" si="600"/>
        <v>559954.54687130812</v>
      </c>
      <c r="U461" s="22">
        <f t="shared" si="593"/>
        <v>19998.733794221615</v>
      </c>
      <c r="V461" s="1">
        <f t="shared" si="601"/>
        <v>0</v>
      </c>
      <c r="W461" s="1">
        <f t="shared" si="602"/>
        <v>0</v>
      </c>
      <c r="X461" s="1">
        <f t="shared" si="603"/>
        <v>-196.18899365365874</v>
      </c>
      <c r="Y461" s="1">
        <f t="shared" si="618"/>
        <v>-14.42540616414105</v>
      </c>
      <c r="Z461" s="1">
        <f t="shared" si="604"/>
        <v>-210.61439981779978</v>
      </c>
      <c r="AA461" s="1">
        <f t="shared" si="605"/>
        <v>-33674.071591710206</v>
      </c>
      <c r="AB461" s="1">
        <f t="shared" si="606"/>
        <v>30045.364433033465</v>
      </c>
      <c r="AC461" s="1">
        <f t="shared" si="607"/>
        <v>-3839.3215584945428</v>
      </c>
      <c r="AD461" s="1">
        <f t="shared" si="608"/>
        <v>0.14425406164082233</v>
      </c>
      <c r="AE461">
        <f t="shared" si="609"/>
        <v>-3839.177304432902</v>
      </c>
      <c r="AG461" s="19">
        <v>17</v>
      </c>
      <c r="AH461" s="19">
        <f t="shared" ref="AH461:AK461" si="634">AH374</f>
        <v>0.94533513333662578</v>
      </c>
      <c r="AI461" s="19">
        <f t="shared" si="634"/>
        <v>6.8188041482576452E-3</v>
      </c>
      <c r="AJ461" s="19">
        <f t="shared" si="634"/>
        <v>279.995</v>
      </c>
      <c r="AK461" s="19">
        <f t="shared" si="634"/>
        <v>182.773</v>
      </c>
    </row>
    <row r="462" spans="5:37">
      <c r="E462">
        <v>18</v>
      </c>
      <c r="F462" s="13"/>
      <c r="G462" s="13">
        <f t="shared" si="611"/>
        <v>0</v>
      </c>
      <c r="H462" s="13">
        <f t="shared" si="612"/>
        <v>196.20000000000002</v>
      </c>
      <c r="I462" s="13">
        <f t="shared" si="613"/>
        <v>2000000</v>
      </c>
      <c r="J462" s="13">
        <f t="shared" si="595"/>
        <v>198.56</v>
      </c>
      <c r="K462" s="5">
        <f t="shared" si="596"/>
        <v>297.161</v>
      </c>
      <c r="L462" s="21">
        <f t="shared" si="597"/>
        <v>397120</v>
      </c>
      <c r="M462">
        <f t="shared" si="598"/>
        <v>594322</v>
      </c>
      <c r="N462">
        <f t="shared" si="614"/>
        <v>7.8843783199999996E-3</v>
      </c>
      <c r="O462">
        <f t="shared" si="615"/>
        <v>0.99993668971108074</v>
      </c>
      <c r="P462">
        <f t="shared" si="599"/>
        <v>7.8838791577306114E-6</v>
      </c>
      <c r="Q462">
        <f t="shared" si="592"/>
        <v>0.99992880583192301</v>
      </c>
      <c r="R462">
        <f t="shared" si="616"/>
        <v>559954.54687130812</v>
      </c>
      <c r="S462">
        <f t="shared" si="617"/>
        <v>19998.733794221615</v>
      </c>
      <c r="T462">
        <f t="shared" si="600"/>
        <v>594279.68773964013</v>
      </c>
      <c r="U462" s="22">
        <f t="shared" si="593"/>
        <v>19998.576116638462</v>
      </c>
      <c r="V462" s="1">
        <f t="shared" si="601"/>
        <v>0</v>
      </c>
      <c r="W462" s="1">
        <f t="shared" si="602"/>
        <v>0</v>
      </c>
      <c r="X462" s="1">
        <f t="shared" si="603"/>
        <v>-196.18757852131407</v>
      </c>
      <c r="Y462" s="1">
        <f t="shared" si="618"/>
        <v>-15.767758315461222</v>
      </c>
      <c r="Z462" s="1">
        <f t="shared" si="604"/>
        <v>-211.9553368367753</v>
      </c>
      <c r="AA462" s="1">
        <f t="shared" si="605"/>
        <v>-34325.140868332004</v>
      </c>
      <c r="AB462" s="1">
        <f t="shared" si="606"/>
        <v>31897.430436604136</v>
      </c>
      <c r="AC462" s="1">
        <f t="shared" si="607"/>
        <v>-2639.665768564646</v>
      </c>
      <c r="AD462" s="1">
        <f t="shared" si="608"/>
        <v>0.1576775831526902</v>
      </c>
      <c r="AE462">
        <f t="shared" si="609"/>
        <v>-2639.5080909814933</v>
      </c>
      <c r="AG462" s="19">
        <v>18</v>
      </c>
      <c r="AH462" s="19">
        <f t="shared" ref="AH462:AK462" si="635">AH375</f>
        <v>0.93851632918836814</v>
      </c>
      <c r="AI462" s="19">
        <f t="shared" si="635"/>
        <v>7.3996177988187523E-3</v>
      </c>
      <c r="AJ462" s="19">
        <f t="shared" si="635"/>
        <v>297.161</v>
      </c>
      <c r="AK462" s="19">
        <f t="shared" si="635"/>
        <v>198.56</v>
      </c>
    </row>
    <row r="463" spans="5:37">
      <c r="E463">
        <v>19</v>
      </c>
      <c r="F463" s="13"/>
      <c r="G463" s="13">
        <f t="shared" si="611"/>
        <v>0</v>
      </c>
      <c r="H463" s="13">
        <f t="shared" si="612"/>
        <v>196.20000000000002</v>
      </c>
      <c r="I463" s="13">
        <f t="shared" si="613"/>
        <v>2000000</v>
      </c>
      <c r="J463" s="13">
        <f t="shared" si="595"/>
        <v>214.84399999999999</v>
      </c>
      <c r="K463" s="5">
        <f t="shared" si="596"/>
        <v>314.64499999999998</v>
      </c>
      <c r="L463" s="21">
        <f t="shared" si="597"/>
        <v>429688</v>
      </c>
      <c r="M463">
        <f t="shared" si="598"/>
        <v>629290</v>
      </c>
      <c r="N463">
        <f t="shared" si="614"/>
        <v>8.6227759800000005E-3</v>
      </c>
      <c r="O463">
        <f t="shared" si="615"/>
        <v>0.99992880583192301</v>
      </c>
      <c r="P463">
        <f t="shared" si="599"/>
        <v>8.6221620886375896E-6</v>
      </c>
      <c r="Q463">
        <f t="shared" si="592"/>
        <v>0.99992018366983437</v>
      </c>
      <c r="R463">
        <f t="shared" si="616"/>
        <v>594279.68773964013</v>
      </c>
      <c r="S463">
        <f t="shared" si="617"/>
        <v>19998.576116638462</v>
      </c>
      <c r="T463">
        <f t="shared" si="600"/>
        <v>629239.7723815901</v>
      </c>
      <c r="U463" s="22">
        <f t="shared" si="593"/>
        <v>19998.403673396686</v>
      </c>
      <c r="V463" s="1">
        <f t="shared" si="601"/>
        <v>0</v>
      </c>
      <c r="W463" s="1">
        <f t="shared" si="602"/>
        <v>0</v>
      </c>
      <c r="X463" s="1">
        <f t="shared" si="603"/>
        <v>-196.18603170422332</v>
      </c>
      <c r="Y463" s="1">
        <f t="shared" si="618"/>
        <v>-17.244324177275178</v>
      </c>
      <c r="Z463" s="1">
        <f t="shared" si="604"/>
        <v>-213.43035588149851</v>
      </c>
      <c r="AA463" s="1">
        <f t="shared" si="605"/>
        <v>-34960.084641949972</v>
      </c>
      <c r="AB463" s="1">
        <f t="shared" si="606"/>
        <v>33785.304512095325</v>
      </c>
      <c r="AC463" s="1">
        <f t="shared" si="607"/>
        <v>-1388.2104857361483</v>
      </c>
      <c r="AD463" s="1">
        <f t="shared" si="608"/>
        <v>0.17244324177590897</v>
      </c>
      <c r="AE463">
        <f t="shared" si="609"/>
        <v>-1388.0380424943723</v>
      </c>
      <c r="AG463" s="19">
        <v>19</v>
      </c>
      <c r="AH463" s="19">
        <f t="shared" ref="AH463:AK463" si="636">AH376</f>
        <v>0.93111671138954943</v>
      </c>
      <c r="AI463" s="19">
        <f t="shared" si="636"/>
        <v>8.0288108135463995E-3</v>
      </c>
      <c r="AJ463" s="19">
        <f t="shared" si="636"/>
        <v>314.64499999999998</v>
      </c>
      <c r="AK463" s="19">
        <f t="shared" si="636"/>
        <v>214.84399999999999</v>
      </c>
    </row>
    <row r="464" spans="5:37">
      <c r="E464">
        <v>20</v>
      </c>
      <c r="F464" s="13"/>
      <c r="G464" s="13">
        <f t="shared" si="611"/>
        <v>0</v>
      </c>
      <c r="H464" s="13">
        <f t="shared" si="612"/>
        <v>196.20000000000002</v>
      </c>
      <c r="I464" s="13">
        <f t="shared" si="613"/>
        <v>2000000</v>
      </c>
      <c r="J464" s="13">
        <f t="shared" si="595"/>
        <v>231.64500000000001</v>
      </c>
      <c r="K464" s="5">
        <f t="shared" si="596"/>
        <v>332.459</v>
      </c>
      <c r="L464" s="21">
        <f t="shared" si="597"/>
        <v>463290</v>
      </c>
      <c r="M464">
        <f t="shared" si="598"/>
        <v>664918</v>
      </c>
      <c r="N464">
        <f t="shared" si="614"/>
        <v>9.4082497599999992E-3</v>
      </c>
      <c r="O464">
        <f t="shared" si="615"/>
        <v>0.99992018366983437</v>
      </c>
      <c r="P464">
        <f t="shared" si="599"/>
        <v>9.4074988280308749E-6</v>
      </c>
      <c r="Q464">
        <f t="shared" si="592"/>
        <v>0.99991077617100632</v>
      </c>
      <c r="R464">
        <f t="shared" si="616"/>
        <v>629239.7723815901</v>
      </c>
      <c r="S464">
        <f t="shared" si="617"/>
        <v>19998.403673396686</v>
      </c>
      <c r="T464">
        <f t="shared" si="600"/>
        <v>664858.67347007315</v>
      </c>
      <c r="U464" s="22">
        <f t="shared" si="593"/>
        <v>19998.215523420127</v>
      </c>
      <c r="V464" s="1">
        <f t="shared" si="601"/>
        <v>0</v>
      </c>
      <c r="W464" s="1">
        <f t="shared" si="602"/>
        <v>0</v>
      </c>
      <c r="X464" s="1">
        <f t="shared" si="603"/>
        <v>-196.18434003602152</v>
      </c>
      <c r="Y464" s="1">
        <f t="shared" si="618"/>
        <v>-18.814997656061749</v>
      </c>
      <c r="Z464" s="1">
        <f t="shared" si="604"/>
        <v>-214.99933769208326</v>
      </c>
      <c r="AA464" s="1">
        <f t="shared" si="605"/>
        <v>-35618.90108848305</v>
      </c>
      <c r="AB464" s="1">
        <f t="shared" si="606"/>
        <v>35708.099683024273</v>
      </c>
      <c r="AC464" s="1">
        <f t="shared" si="607"/>
        <v>-125.80074315085949</v>
      </c>
      <c r="AD464" s="1">
        <f t="shared" si="608"/>
        <v>0.18814997655863408</v>
      </c>
      <c r="AE464">
        <f t="shared" si="609"/>
        <v>-125.61259317430086</v>
      </c>
      <c r="AG464" s="19">
        <v>20</v>
      </c>
      <c r="AH464" s="19">
        <f t="shared" ref="AH464:AK464" si="637">AH377</f>
        <v>0.92308790057600298</v>
      </c>
      <c r="AI464" s="19">
        <f t="shared" si="637"/>
        <v>8.6846415190530834E-3</v>
      </c>
      <c r="AJ464" s="19">
        <f t="shared" si="637"/>
        <v>332.459</v>
      </c>
      <c r="AK464" s="19">
        <f t="shared" si="637"/>
        <v>231.64500000000001</v>
      </c>
    </row>
    <row r="465" spans="5:37">
      <c r="E465">
        <v>21</v>
      </c>
      <c r="F465" s="13"/>
      <c r="G465" s="13">
        <f t="shared" si="611"/>
        <v>0</v>
      </c>
      <c r="H465" s="13">
        <f t="shared" si="612"/>
        <v>196.20000000000002</v>
      </c>
      <c r="I465" s="13">
        <f t="shared" si="613"/>
        <v>2000000</v>
      </c>
      <c r="J465" s="13">
        <f t="shared" si="595"/>
        <v>248.96100000000001</v>
      </c>
      <c r="K465" s="5">
        <f t="shared" si="596"/>
        <v>350.58699999999999</v>
      </c>
      <c r="L465" s="21">
        <f t="shared" si="597"/>
        <v>497922</v>
      </c>
      <c r="M465">
        <f t="shared" si="598"/>
        <v>701174</v>
      </c>
      <c r="N465">
        <f t="shared" si="614"/>
        <v>1.02826451E-2</v>
      </c>
      <c r="O465">
        <f t="shared" si="615"/>
        <v>0.99991077617100632</v>
      </c>
      <c r="P465">
        <f t="shared" ref="P465:P519" si="638">N465*O465/1000</f>
        <v>1.0281727643031995E-5</v>
      </c>
      <c r="Q465">
        <f t="shared" ref="Q465:Q519" si="639">O465-SUM(P465:P465)</f>
        <v>0.99990049444336326</v>
      </c>
      <c r="R465">
        <f t="shared" si="616"/>
        <v>664858.67347007315</v>
      </c>
      <c r="S465">
        <f t="shared" si="617"/>
        <v>19998.215523420127</v>
      </c>
      <c r="T465">
        <f t="shared" si="600"/>
        <v>701104.22929083079</v>
      </c>
      <c r="U465" s="22">
        <f t="shared" si="593"/>
        <v>19998.009888867266</v>
      </c>
      <c r="V465" s="1">
        <f t="shared" si="601"/>
        <v>0</v>
      </c>
      <c r="W465" s="1">
        <f t="shared" si="602"/>
        <v>0</v>
      </c>
      <c r="X465" s="1">
        <f t="shared" si="603"/>
        <v>-196.18249428475147</v>
      </c>
      <c r="Y465" s="1">
        <f t="shared" si="618"/>
        <v>-20.563455286063988</v>
      </c>
      <c r="Z465" s="1">
        <f t="shared" si="604"/>
        <v>-216.74594957081547</v>
      </c>
      <c r="AA465" s="1">
        <f t="shared" si="605"/>
        <v>-36245.55582075764</v>
      </c>
      <c r="AB465" s="1">
        <f t="shared" si="606"/>
        <v>37667.128894642134</v>
      </c>
      <c r="AC465" s="1">
        <f t="shared" si="607"/>
        <v>1204.8271243136769</v>
      </c>
      <c r="AD465" s="1">
        <f t="shared" si="608"/>
        <v>0.20563455286173848</v>
      </c>
      <c r="AE465">
        <f t="shared" si="609"/>
        <v>1205.0327588665386</v>
      </c>
      <c r="AG465" s="19">
        <v>21</v>
      </c>
      <c r="AH465" s="19">
        <f t="shared" ref="AH465:AK465" si="640">AH378</f>
        <v>0.91440325905694986</v>
      </c>
      <c r="AI465" s="19">
        <f t="shared" si="640"/>
        <v>9.4024841911659763E-3</v>
      </c>
      <c r="AJ465" s="19">
        <f t="shared" si="640"/>
        <v>350.58699999999999</v>
      </c>
      <c r="AK465" s="19">
        <f t="shared" si="640"/>
        <v>248.96100000000001</v>
      </c>
    </row>
    <row r="466" spans="5:37">
      <c r="E466">
        <v>22</v>
      </c>
      <c r="F466" s="13"/>
      <c r="G466" s="13">
        <f t="shared" si="611"/>
        <v>0</v>
      </c>
      <c r="H466" s="13">
        <f t="shared" si="612"/>
        <v>196.20000000000002</v>
      </c>
      <c r="I466" s="13">
        <f t="shared" si="613"/>
        <v>2000000</v>
      </c>
      <c r="J466" s="13">
        <f t="shared" si="595"/>
        <v>266.76</v>
      </c>
      <c r="K466" s="5">
        <f t="shared" si="596"/>
        <v>368.99299999999999</v>
      </c>
      <c r="L466" s="21">
        <f t="shared" si="597"/>
        <v>533520</v>
      </c>
      <c r="M466">
        <f t="shared" si="598"/>
        <v>737986</v>
      </c>
      <c r="N466">
        <f t="shared" si="614"/>
        <v>1.129129456E-2</v>
      </c>
      <c r="O466">
        <f t="shared" si="615"/>
        <v>0.99990049444336326</v>
      </c>
      <c r="P466">
        <f t="shared" si="638"/>
        <v>1.1290171013449658E-5</v>
      </c>
      <c r="Q466">
        <f t="shared" si="639"/>
        <v>0.99988920427234984</v>
      </c>
      <c r="R466">
        <f t="shared" si="616"/>
        <v>701104.22929083079</v>
      </c>
      <c r="S466">
        <f t="shared" si="617"/>
        <v>19998.009888867266</v>
      </c>
      <c r="T466">
        <f t="shared" si="600"/>
        <v>737904.23430413438</v>
      </c>
      <c r="U466" s="22">
        <f t="shared" si="593"/>
        <v>19997.784085446998</v>
      </c>
      <c r="V466" s="1">
        <f t="shared" si="601"/>
        <v>0</v>
      </c>
      <c r="W466" s="1">
        <f t="shared" si="602"/>
        <v>0</v>
      </c>
      <c r="X466" s="1">
        <f t="shared" si="603"/>
        <v>-196.18047700978789</v>
      </c>
      <c r="Y466" s="1">
        <f t="shared" si="618"/>
        <v>-22.580342026899316</v>
      </c>
      <c r="Z466" s="1">
        <f t="shared" si="604"/>
        <v>-218.76081903668722</v>
      </c>
      <c r="AA466" s="1">
        <f t="shared" si="605"/>
        <v>-36800.005013303598</v>
      </c>
      <c r="AB466" s="1">
        <f t="shared" si="606"/>
        <v>39660.623154883397</v>
      </c>
      <c r="AC466" s="1">
        <f t="shared" si="607"/>
        <v>2641.8573225431101</v>
      </c>
      <c r="AD466" s="1">
        <f t="shared" si="608"/>
        <v>0.22580342026776634</v>
      </c>
      <c r="AE466">
        <f t="shared" si="609"/>
        <v>2642.0831259633778</v>
      </c>
      <c r="AG466" s="19">
        <v>22</v>
      </c>
      <c r="AH466" s="19">
        <f t="shared" ref="AH466:AK466" si="641">AH379</f>
        <v>0.9050007748657839</v>
      </c>
      <c r="AI466" s="19">
        <f t="shared" si="641"/>
        <v>1.0218630326037811E-2</v>
      </c>
      <c r="AJ466" s="19">
        <f t="shared" si="641"/>
        <v>368.99299999999999</v>
      </c>
      <c r="AK466" s="19">
        <f t="shared" si="641"/>
        <v>266.76</v>
      </c>
    </row>
    <row r="467" spans="5:37">
      <c r="E467">
        <v>23</v>
      </c>
      <c r="F467" s="13"/>
      <c r="G467" s="13">
        <f t="shared" si="611"/>
        <v>0</v>
      </c>
      <c r="H467" s="13">
        <f t="shared" si="612"/>
        <v>196.20000000000002</v>
      </c>
      <c r="I467" s="13">
        <f t="shared" si="613"/>
        <v>2000000</v>
      </c>
      <c r="J467" s="13">
        <f t="shared" si="595"/>
        <v>285.06200000000001</v>
      </c>
      <c r="K467" s="5">
        <f t="shared" si="596"/>
        <v>387.68599999999998</v>
      </c>
      <c r="L467" s="21">
        <f t="shared" si="597"/>
        <v>570124</v>
      </c>
      <c r="M467">
        <f t="shared" si="598"/>
        <v>775372</v>
      </c>
      <c r="N467">
        <f t="shared" si="614"/>
        <v>1.236968642E-2</v>
      </c>
      <c r="O467">
        <f t="shared" si="615"/>
        <v>0.99988920427234984</v>
      </c>
      <c r="P467">
        <f t="shared" si="638"/>
        <v>1.236831591159229E-5</v>
      </c>
      <c r="Q467">
        <f t="shared" si="639"/>
        <v>0.99987683595643828</v>
      </c>
      <c r="R467">
        <f t="shared" si="616"/>
        <v>737904.23430413438</v>
      </c>
      <c r="S467">
        <f t="shared" si="617"/>
        <v>19997.784085446998</v>
      </c>
      <c r="T467">
        <f t="shared" si="600"/>
        <v>775276.50204921549</v>
      </c>
      <c r="U467" s="22">
        <f t="shared" si="593"/>
        <v>19997.536719128766</v>
      </c>
      <c r="V467" s="1">
        <f t="shared" si="601"/>
        <v>0</v>
      </c>
      <c r="W467" s="1">
        <f t="shared" si="602"/>
        <v>0</v>
      </c>
      <c r="X467" s="1">
        <f t="shared" si="603"/>
        <v>-196.17826187823505</v>
      </c>
      <c r="Y467" s="1">
        <f t="shared" si="618"/>
        <v>-24.736631823184581</v>
      </c>
      <c r="Z467" s="1">
        <f t="shared" si="604"/>
        <v>-220.91489370141963</v>
      </c>
      <c r="AA467" s="1">
        <f t="shared" si="605"/>
        <v>-37372.267745081102</v>
      </c>
      <c r="AB467" s="1">
        <f t="shared" si="606"/>
        <v>41684.611011426976</v>
      </c>
      <c r="AC467" s="1">
        <f t="shared" si="607"/>
        <v>4091.4283726444555</v>
      </c>
      <c r="AD467" s="1">
        <f t="shared" si="608"/>
        <v>0.24736631823179778</v>
      </c>
      <c r="AE467">
        <f t="shared" si="609"/>
        <v>4091.6757389626873</v>
      </c>
      <c r="AG467" s="19">
        <v>23</v>
      </c>
      <c r="AH467" s="19">
        <f t="shared" ref="AH467:AK467" si="642">AH380</f>
        <v>0.89478214453974614</v>
      </c>
      <c r="AI467" s="19">
        <f t="shared" si="642"/>
        <v>1.1068174542171775E-2</v>
      </c>
      <c r="AJ467" s="19">
        <f t="shared" si="642"/>
        <v>387.68599999999998</v>
      </c>
      <c r="AK467" s="19">
        <f t="shared" si="642"/>
        <v>285.06200000000001</v>
      </c>
    </row>
    <row r="468" spans="5:37">
      <c r="E468">
        <v>24</v>
      </c>
      <c r="F468" s="13"/>
      <c r="G468" s="13">
        <f t="shared" si="611"/>
        <v>0</v>
      </c>
      <c r="H468" s="13">
        <f t="shared" si="612"/>
        <v>196.20000000000002</v>
      </c>
      <c r="I468" s="13">
        <f t="shared" si="613"/>
        <v>2000000</v>
      </c>
      <c r="J468" s="13">
        <f t="shared" si="595"/>
        <v>303.89800000000002</v>
      </c>
      <c r="K468" s="5">
        <f t="shared" si="596"/>
        <v>406.68200000000002</v>
      </c>
      <c r="L468" s="21">
        <f t="shared" si="597"/>
        <v>607796</v>
      </c>
      <c r="M468">
        <f t="shared" si="598"/>
        <v>813364</v>
      </c>
      <c r="N468">
        <f t="shared" si="614"/>
        <v>1.3515205339999999E-2</v>
      </c>
      <c r="O468">
        <f t="shared" si="615"/>
        <v>0.99987683595643828</v>
      </c>
      <c r="P468">
        <f t="shared" si="638"/>
        <v>1.3513540752660758E-5</v>
      </c>
      <c r="Q468">
        <f t="shared" si="639"/>
        <v>0.99986332241568565</v>
      </c>
      <c r="R468">
        <f t="shared" si="616"/>
        <v>775276.50204921549</v>
      </c>
      <c r="S468">
        <f t="shared" si="617"/>
        <v>19997.536719128766</v>
      </c>
      <c r="T468">
        <f t="shared" si="600"/>
        <v>813252.8313733117</v>
      </c>
      <c r="U468" s="22">
        <f t="shared" si="593"/>
        <v>19997.266448313712</v>
      </c>
      <c r="V468" s="1">
        <f t="shared" si="601"/>
        <v>0</v>
      </c>
      <c r="W468" s="1">
        <f t="shared" si="602"/>
        <v>0</v>
      </c>
      <c r="X468" s="1">
        <f t="shared" si="603"/>
        <v>-196.1758352146532</v>
      </c>
      <c r="Y468" s="1">
        <f t="shared" si="618"/>
        <v>-27.027081505321515</v>
      </c>
      <c r="Z468" s="1">
        <f t="shared" si="604"/>
        <v>-223.20291671997472</v>
      </c>
      <c r="AA468" s="1">
        <f t="shared" si="605"/>
        <v>-37976.329324096208</v>
      </c>
      <c r="AB468" s="1">
        <f t="shared" si="606"/>
        <v>43740.072132258931</v>
      </c>
      <c r="AC468" s="1">
        <f t="shared" si="607"/>
        <v>5540.5398914427496</v>
      </c>
      <c r="AD468" s="1">
        <f t="shared" si="608"/>
        <v>0.27027081505366368</v>
      </c>
      <c r="AE468">
        <f t="shared" si="609"/>
        <v>5540.8101622578033</v>
      </c>
      <c r="AG468" s="19">
        <v>24</v>
      </c>
      <c r="AH468" s="19">
        <f t="shared" ref="AH468:AK468" si="643">AH381</f>
        <v>0.88371396999757434</v>
      </c>
      <c r="AI468" s="19">
        <f t="shared" si="643"/>
        <v>1.1943575766343816E-2</v>
      </c>
      <c r="AJ468" s="19">
        <f t="shared" si="643"/>
        <v>406.68200000000002</v>
      </c>
      <c r="AK468" s="19">
        <f t="shared" si="643"/>
        <v>303.89800000000002</v>
      </c>
    </row>
    <row r="469" spans="5:37">
      <c r="E469">
        <v>25</v>
      </c>
      <c r="F469" s="13"/>
      <c r="G469" s="13">
        <f t="shared" si="611"/>
        <v>0</v>
      </c>
      <c r="H469" s="13">
        <f t="shared" si="612"/>
        <v>196.20000000000002</v>
      </c>
      <c r="I469" s="13">
        <f t="shared" si="613"/>
        <v>2000000</v>
      </c>
      <c r="J469" s="13">
        <f t="shared" si="595"/>
        <v>323.25200000000001</v>
      </c>
      <c r="K469" s="5">
        <f t="shared" si="596"/>
        <v>425.95800000000003</v>
      </c>
      <c r="L469" s="21">
        <f t="shared" si="597"/>
        <v>646504</v>
      </c>
      <c r="M469">
        <f t="shared" si="598"/>
        <v>851916</v>
      </c>
      <c r="N469">
        <f t="shared" si="614"/>
        <v>1.4805439740000001E-2</v>
      </c>
      <c r="O469">
        <f t="shared" si="615"/>
        <v>0.99986332241568565</v>
      </c>
      <c r="P469">
        <f t="shared" si="638"/>
        <v>1.4803416168261625E-5</v>
      </c>
      <c r="Q469">
        <f t="shared" si="639"/>
        <v>0.99984851899951743</v>
      </c>
      <c r="R469">
        <f t="shared" si="616"/>
        <v>813252.8313733117</v>
      </c>
      <c r="S469">
        <f t="shared" si="617"/>
        <v>19997.266448313712</v>
      </c>
      <c r="T469">
        <f t="shared" si="600"/>
        <v>851786.95091199293</v>
      </c>
      <c r="U469" s="22">
        <f t="shared" si="593"/>
        <v>19996.970379990347</v>
      </c>
      <c r="V469" s="1">
        <f t="shared" si="601"/>
        <v>0</v>
      </c>
      <c r="W469" s="1">
        <f t="shared" si="602"/>
        <v>0</v>
      </c>
      <c r="X469" s="1">
        <f t="shared" si="603"/>
        <v>-196.17318385795755</v>
      </c>
      <c r="Y469" s="1">
        <f t="shared" si="618"/>
        <v>-29.606832336523251</v>
      </c>
      <c r="Z469" s="1">
        <f t="shared" si="604"/>
        <v>-225.78001619448079</v>
      </c>
      <c r="AA469" s="1">
        <f t="shared" si="605"/>
        <v>-38534.119538681232</v>
      </c>
      <c r="AB469" s="1">
        <f t="shared" si="606"/>
        <v>45828.755380189396</v>
      </c>
      <c r="AC469" s="1">
        <f t="shared" si="607"/>
        <v>7068.8558253136798</v>
      </c>
      <c r="AD469" s="1">
        <f t="shared" si="608"/>
        <v>0.2960683233650343</v>
      </c>
      <c r="AE469">
        <f t="shared" si="609"/>
        <v>7069.1518936370449</v>
      </c>
      <c r="AG469" s="19">
        <v>25</v>
      </c>
      <c r="AH469" s="19">
        <f t="shared" ref="AH469:AK469" si="644">AH382</f>
        <v>0.87177039423123048</v>
      </c>
      <c r="AI469" s="19">
        <f t="shared" si="644"/>
        <v>1.2906944038906527E-2</v>
      </c>
      <c r="AJ469" s="19">
        <f t="shared" si="644"/>
        <v>425.95800000000003</v>
      </c>
      <c r="AK469" s="19">
        <f t="shared" si="644"/>
        <v>323.25200000000001</v>
      </c>
    </row>
    <row r="470" spans="5:37">
      <c r="E470">
        <v>26</v>
      </c>
      <c r="F470" s="13"/>
      <c r="G470" s="13">
        <f t="shared" si="611"/>
        <v>0</v>
      </c>
      <c r="H470" s="13">
        <f t="shared" si="612"/>
        <v>196.20000000000002</v>
      </c>
      <c r="I470" s="13">
        <f t="shared" si="613"/>
        <v>2000000</v>
      </c>
      <c r="J470" s="13">
        <f t="shared" si="595"/>
        <v>343.10500000000002</v>
      </c>
      <c r="K470" s="5">
        <f t="shared" si="596"/>
        <v>445.488</v>
      </c>
      <c r="L470" s="21">
        <f t="shared" si="597"/>
        <v>686210</v>
      </c>
      <c r="M470">
        <f t="shared" si="598"/>
        <v>890976</v>
      </c>
      <c r="N470">
        <f t="shared" si="614"/>
        <v>1.6260440559999999E-2</v>
      </c>
      <c r="O470">
        <f t="shared" si="615"/>
        <v>0.99984851899951743</v>
      </c>
      <c r="P470">
        <f t="shared" si="638"/>
        <v>1.6257977412195685E-5</v>
      </c>
      <c r="Q470">
        <f t="shared" si="639"/>
        <v>0.99983226102210521</v>
      </c>
      <c r="R470">
        <f t="shared" si="616"/>
        <v>851786.95091199293</v>
      </c>
      <c r="S470">
        <f t="shared" si="617"/>
        <v>19996.970379990347</v>
      </c>
      <c r="T470">
        <f t="shared" si="600"/>
        <v>890826.54859643115</v>
      </c>
      <c r="U470" s="22">
        <f t="shared" si="593"/>
        <v>19996.645220442104</v>
      </c>
      <c r="V470" s="1">
        <f t="shared" si="601"/>
        <v>0</v>
      </c>
      <c r="W470" s="1">
        <f t="shared" si="602"/>
        <v>0</v>
      </c>
      <c r="X470" s="1">
        <f t="shared" si="603"/>
        <v>-196.17027942770534</v>
      </c>
      <c r="Y470" s="1">
        <f t="shared" si="618"/>
        <v>-32.515954824391372</v>
      </c>
      <c r="Z470" s="1">
        <f t="shared" si="604"/>
        <v>-228.68623425209671</v>
      </c>
      <c r="AA470" s="1">
        <f t="shared" si="605"/>
        <v>-39039.597684438224</v>
      </c>
      <c r="AB470" s="1">
        <f t="shared" si="606"/>
        <v>47948.11567105908</v>
      </c>
      <c r="AC470" s="1">
        <f t="shared" si="607"/>
        <v>8679.8317523687583</v>
      </c>
      <c r="AD470" s="1">
        <f t="shared" si="608"/>
        <v>0.32515954824339133</v>
      </c>
      <c r="AE470">
        <f t="shared" si="609"/>
        <v>8680.1569119170017</v>
      </c>
      <c r="AG470" s="19">
        <v>26</v>
      </c>
      <c r="AH470" s="19">
        <f t="shared" ref="AH470:AK470" si="645">AH383</f>
        <v>0.85886345019232391</v>
      </c>
      <c r="AI470" s="19">
        <f t="shared" si="645"/>
        <v>1.3965498081008802E-2</v>
      </c>
      <c r="AJ470" s="19">
        <f t="shared" si="645"/>
        <v>445.488</v>
      </c>
      <c r="AK470" s="19">
        <f t="shared" si="645"/>
        <v>343.10500000000002</v>
      </c>
    </row>
    <row r="471" spans="5:37">
      <c r="E471">
        <v>27</v>
      </c>
      <c r="F471" s="13"/>
      <c r="G471" s="13">
        <f t="shared" si="611"/>
        <v>0</v>
      </c>
      <c r="H471" s="13">
        <f t="shared" si="612"/>
        <v>196.20000000000002</v>
      </c>
      <c r="I471" s="13">
        <f t="shared" si="613"/>
        <v>2000000</v>
      </c>
      <c r="J471" s="13">
        <f t="shared" si="595"/>
        <v>363.42099999999999</v>
      </c>
      <c r="K471" s="5">
        <f t="shared" si="596"/>
        <v>465.22899999999998</v>
      </c>
      <c r="L471" s="21">
        <f t="shared" si="597"/>
        <v>726842</v>
      </c>
      <c r="M471">
        <f t="shared" si="598"/>
        <v>930458</v>
      </c>
      <c r="N471">
        <f t="shared" si="614"/>
        <v>1.7925540359999999E-2</v>
      </c>
      <c r="O471">
        <f t="shared" si="615"/>
        <v>0.99983226102210521</v>
      </c>
      <c r="P471">
        <f t="shared" si="638"/>
        <v>1.79225335481818E-5</v>
      </c>
      <c r="Q471">
        <f t="shared" si="639"/>
        <v>0.99981433848855705</v>
      </c>
      <c r="R471">
        <f t="shared" si="616"/>
        <v>890826.54859643115</v>
      </c>
      <c r="S471">
        <f t="shared" si="617"/>
        <v>19996.645220442104</v>
      </c>
      <c r="T471">
        <f t="shared" si="600"/>
        <v>930285.24976138584</v>
      </c>
      <c r="U471" s="22">
        <f t="shared" si="593"/>
        <v>19996.286769771141</v>
      </c>
      <c r="V471" s="1">
        <f t="shared" si="601"/>
        <v>0</v>
      </c>
      <c r="W471" s="1">
        <f t="shared" si="602"/>
        <v>0</v>
      </c>
      <c r="X471" s="1">
        <f t="shared" si="603"/>
        <v>-196.16708961253707</v>
      </c>
      <c r="Y471" s="1">
        <f t="shared" si="618"/>
        <v>-35.8450670963636</v>
      </c>
      <c r="Z471" s="1">
        <f t="shared" si="604"/>
        <v>-232.01215670890068</v>
      </c>
      <c r="AA471" s="1">
        <f t="shared" si="605"/>
        <v>-39458.701164954691</v>
      </c>
      <c r="AB471" s="1">
        <f t="shared" si="606"/>
        <v>50095.275659928026</v>
      </c>
      <c r="AC471" s="1">
        <f t="shared" si="607"/>
        <v>10404.562338264433</v>
      </c>
      <c r="AD471" s="1">
        <f t="shared" si="608"/>
        <v>0.35845067096306593</v>
      </c>
      <c r="AE471">
        <f t="shared" si="609"/>
        <v>10404.920788935397</v>
      </c>
      <c r="AG471" s="19">
        <v>27</v>
      </c>
      <c r="AH471" s="19">
        <f t="shared" ref="AH471:AK471" si="646">AH384</f>
        <v>0.84489795211131513</v>
      </c>
      <c r="AI471" s="19">
        <f t="shared" si="646"/>
        <v>1.5145252340652726E-2</v>
      </c>
      <c r="AJ471" s="19">
        <f t="shared" si="646"/>
        <v>465.22899999999998</v>
      </c>
      <c r="AK471" s="19">
        <f t="shared" si="646"/>
        <v>363.42099999999999</v>
      </c>
    </row>
    <row r="472" spans="5:37">
      <c r="E472">
        <v>28</v>
      </c>
      <c r="F472" s="13"/>
      <c r="G472" s="13">
        <f t="shared" si="611"/>
        <v>0</v>
      </c>
      <c r="H472" s="13">
        <f t="shared" si="612"/>
        <v>196.20000000000002</v>
      </c>
      <c r="I472" s="13">
        <f t="shared" si="613"/>
        <v>2000000</v>
      </c>
      <c r="J472" s="13">
        <f t="shared" si="595"/>
        <v>384.14299999999997</v>
      </c>
      <c r="K472" s="5">
        <f t="shared" si="596"/>
        <v>485.12700000000001</v>
      </c>
      <c r="L472" s="21">
        <f t="shared" si="597"/>
        <v>768286</v>
      </c>
      <c r="M472">
        <f t="shared" si="598"/>
        <v>970254</v>
      </c>
      <c r="N472">
        <f t="shared" si="614"/>
        <v>1.984694348E-2</v>
      </c>
      <c r="O472">
        <f t="shared" si="615"/>
        <v>0.99981433848855705</v>
      </c>
      <c r="P472">
        <f t="shared" si="638"/>
        <v>1.9843258666475981E-5</v>
      </c>
      <c r="Q472">
        <f t="shared" si="639"/>
        <v>0.99979449522989061</v>
      </c>
      <c r="R472">
        <f t="shared" si="616"/>
        <v>930285.24976138584</v>
      </c>
      <c r="S472">
        <f t="shared" si="617"/>
        <v>19996.286769771141</v>
      </c>
      <c r="T472">
        <f t="shared" si="600"/>
        <v>970054.60817478225</v>
      </c>
      <c r="U472" s="22">
        <f t="shared" si="593"/>
        <v>19995.889904597811</v>
      </c>
      <c r="V472" s="1">
        <f t="shared" si="601"/>
        <v>0</v>
      </c>
      <c r="W472" s="1">
        <f t="shared" si="602"/>
        <v>0</v>
      </c>
      <c r="X472" s="1">
        <f t="shared" si="603"/>
        <v>-196.16357321145492</v>
      </c>
      <c r="Y472" s="1">
        <f t="shared" si="618"/>
        <v>-39.686517332951965</v>
      </c>
      <c r="Z472" s="1">
        <f t="shared" si="604"/>
        <v>-235.8500905444069</v>
      </c>
      <c r="AA472" s="1">
        <f t="shared" si="605"/>
        <v>-39769.358413396403</v>
      </c>
      <c r="AB472" s="1">
        <f t="shared" si="606"/>
        <v>52265.484509213631</v>
      </c>
      <c r="AC472" s="1">
        <f t="shared" si="607"/>
        <v>12260.276005272819</v>
      </c>
      <c r="AD472" s="1">
        <f t="shared" si="608"/>
        <v>0.39686517333029769</v>
      </c>
      <c r="AE472">
        <f t="shared" si="609"/>
        <v>12260.672870446149</v>
      </c>
      <c r="AG472" s="19">
        <v>28</v>
      </c>
      <c r="AH472" s="19">
        <f t="shared" ref="AH472:AK472" si="647">AH385</f>
        <v>0.82975269977066235</v>
      </c>
      <c r="AI472" s="19">
        <f t="shared" si="647"/>
        <v>1.6468054934725744E-2</v>
      </c>
      <c r="AJ472" s="19">
        <f t="shared" si="647"/>
        <v>485.12700000000001</v>
      </c>
      <c r="AK472" s="19">
        <f t="shared" si="647"/>
        <v>384.14299999999997</v>
      </c>
    </row>
    <row r="473" spans="5:37">
      <c r="E473">
        <v>29</v>
      </c>
      <c r="F473" s="13"/>
      <c r="G473" s="13">
        <f t="shared" si="611"/>
        <v>0</v>
      </c>
      <c r="H473" s="13">
        <f t="shared" si="612"/>
        <v>196.20000000000002</v>
      </c>
      <c r="I473" s="13">
        <f t="shared" si="613"/>
        <v>2000000</v>
      </c>
      <c r="J473" s="13">
        <f t="shared" si="595"/>
        <v>405.209</v>
      </c>
      <c r="K473" s="5">
        <f t="shared" si="596"/>
        <v>505.12099999999998</v>
      </c>
      <c r="L473" s="21">
        <f t="shared" si="597"/>
        <v>810418</v>
      </c>
      <c r="M473">
        <f t="shared" si="598"/>
        <v>1010242</v>
      </c>
      <c r="N473">
        <f t="shared" si="614"/>
        <v>2.2062136459999999E-2</v>
      </c>
      <c r="O473">
        <f t="shared" si="615"/>
        <v>0.99979449522989061</v>
      </c>
      <c r="P473">
        <f t="shared" si="638"/>
        <v>2.2057602585718664E-5</v>
      </c>
      <c r="Q473">
        <f t="shared" si="639"/>
        <v>0.99977243762730494</v>
      </c>
      <c r="R473">
        <f t="shared" si="616"/>
        <v>970054.60817478225</v>
      </c>
      <c r="S473">
        <f t="shared" si="617"/>
        <v>19995.889904597811</v>
      </c>
      <c r="T473">
        <f t="shared" si="600"/>
        <v>1010012.1069334839</v>
      </c>
      <c r="U473" s="22">
        <f t="shared" si="593"/>
        <v>19995.448752546097</v>
      </c>
      <c r="V473" s="1">
        <f t="shared" si="601"/>
        <v>0</v>
      </c>
      <c r="W473" s="1">
        <f t="shared" si="602"/>
        <v>0</v>
      </c>
      <c r="X473" s="1">
        <f t="shared" si="603"/>
        <v>-196.15967996410455</v>
      </c>
      <c r="Y473" s="1">
        <f t="shared" si="618"/>
        <v>-44.115205171437331</v>
      </c>
      <c r="Z473" s="1">
        <f t="shared" si="604"/>
        <v>-240.27488513554189</v>
      </c>
      <c r="AA473" s="1">
        <f t="shared" si="605"/>
        <v>-39957.498758701608</v>
      </c>
      <c r="AB473" s="1">
        <f t="shared" si="606"/>
        <v>54452.777394365905</v>
      </c>
      <c r="AC473" s="1">
        <f t="shared" si="607"/>
        <v>14255.003750528755</v>
      </c>
      <c r="AD473" s="1">
        <f t="shared" si="608"/>
        <v>0.44115205171328853</v>
      </c>
      <c r="AE473">
        <f t="shared" si="609"/>
        <v>14255.444902580468</v>
      </c>
      <c r="AG473" s="19">
        <v>29</v>
      </c>
      <c r="AH473" s="19">
        <f t="shared" ref="AH473:AK473" si="648">AH386</f>
        <v>0.81328464483593665</v>
      </c>
      <c r="AI473" s="19">
        <f t="shared" si="648"/>
        <v>1.794279681519307E-2</v>
      </c>
      <c r="AJ473" s="19">
        <f t="shared" si="648"/>
        <v>505.12099999999998</v>
      </c>
      <c r="AK473" s="19">
        <f t="shared" si="648"/>
        <v>405.209</v>
      </c>
    </row>
    <row r="474" spans="5:37">
      <c r="E474">
        <v>30</v>
      </c>
      <c r="F474" s="13"/>
      <c r="G474" s="13">
        <f t="shared" si="611"/>
        <v>0</v>
      </c>
      <c r="H474" s="13">
        <f t="shared" si="612"/>
        <v>196.20000000000002</v>
      </c>
      <c r="I474" s="13">
        <f t="shared" si="613"/>
        <v>2000000</v>
      </c>
      <c r="J474" s="13">
        <f t="shared" si="595"/>
        <v>426.49599999999998</v>
      </c>
      <c r="K474" s="5">
        <f t="shared" si="596"/>
        <v>525.10299999999995</v>
      </c>
      <c r="L474" s="21">
        <f t="shared" si="597"/>
        <v>852992</v>
      </c>
      <c r="M474">
        <f t="shared" si="598"/>
        <v>1050205.9999999998</v>
      </c>
      <c r="N474">
        <f t="shared" si="614"/>
        <v>2.4701014520000002E-2</v>
      </c>
      <c r="O474">
        <f t="shared" si="615"/>
        <v>0.99977243762730494</v>
      </c>
      <c r="P474">
        <f t="shared" si="638"/>
        <v>2.4695393498527853E-5</v>
      </c>
      <c r="Q474">
        <f t="shared" si="639"/>
        <v>0.99974774223380647</v>
      </c>
      <c r="R474">
        <f t="shared" si="616"/>
        <v>1010012.1069334839</v>
      </c>
      <c r="S474">
        <f t="shared" si="617"/>
        <v>19995.448752546097</v>
      </c>
      <c r="T474">
        <f t="shared" si="600"/>
        <v>1049941.0773803967</v>
      </c>
      <c r="U474" s="22">
        <f t="shared" si="593"/>
        <v>19994.954844676129</v>
      </c>
      <c r="V474" s="1">
        <f t="shared" si="601"/>
        <v>0</v>
      </c>
      <c r="W474" s="1">
        <f t="shared" si="602"/>
        <v>0</v>
      </c>
      <c r="X474" s="1">
        <f t="shared" si="603"/>
        <v>-196.15535226247724</v>
      </c>
      <c r="Y474" s="1">
        <f t="shared" si="618"/>
        <v>-49.390786997055706</v>
      </c>
      <c r="Z474" s="1">
        <f t="shared" si="604"/>
        <v>-245.54613925953294</v>
      </c>
      <c r="AA474" s="1">
        <f t="shared" si="605"/>
        <v>-39928.970446912805</v>
      </c>
      <c r="AB474" s="1">
        <f t="shared" si="606"/>
        <v>56650.41556273165</v>
      </c>
      <c r="AC474" s="1">
        <f t="shared" si="607"/>
        <v>16475.898976559314</v>
      </c>
      <c r="AD474" s="1">
        <f t="shared" si="608"/>
        <v>0.49390786996809766</v>
      </c>
      <c r="AE474">
        <f t="shared" si="609"/>
        <v>16476.392884429282</v>
      </c>
      <c r="AG474" s="19">
        <v>30</v>
      </c>
      <c r="AH474" s="19">
        <f t="shared" ref="AH474:AK474" si="649">AH387</f>
        <v>0.79534184802074359</v>
      </c>
      <c r="AI474" s="19">
        <f t="shared" si="649"/>
        <v>1.9645750536324023E-2</v>
      </c>
      <c r="AJ474" s="19">
        <f t="shared" si="649"/>
        <v>525.10299999999995</v>
      </c>
      <c r="AK474" s="19">
        <f t="shared" si="649"/>
        <v>426.49599999999998</v>
      </c>
    </row>
    <row r="475" spans="5:37">
      <c r="E475">
        <v>31</v>
      </c>
      <c r="F475" s="13"/>
      <c r="G475" s="13">
        <f t="shared" si="611"/>
        <v>0</v>
      </c>
      <c r="H475" s="13">
        <f t="shared" si="612"/>
        <v>196.20000000000002</v>
      </c>
      <c r="I475" s="13">
        <f t="shared" si="613"/>
        <v>2000000</v>
      </c>
      <c r="J475" s="13">
        <f t="shared" si="595"/>
        <v>447.90800000000002</v>
      </c>
      <c r="K475" s="5">
        <f t="shared" si="596"/>
        <v>544.99099999999999</v>
      </c>
      <c r="L475" s="21">
        <f t="shared" si="597"/>
        <v>895816</v>
      </c>
      <c r="M475">
        <f t="shared" si="598"/>
        <v>1089982</v>
      </c>
      <c r="N475">
        <f t="shared" si="614"/>
        <v>2.77443985E-2</v>
      </c>
      <c r="O475">
        <f t="shared" si="615"/>
        <v>0.99974774223380647</v>
      </c>
      <c r="P475">
        <f t="shared" si="638"/>
        <v>2.7737399760010006E-5</v>
      </c>
      <c r="Q475">
        <f t="shared" si="639"/>
        <v>0.99972000483404644</v>
      </c>
      <c r="R475">
        <f t="shared" si="616"/>
        <v>1049941.0773803967</v>
      </c>
      <c r="S475">
        <f t="shared" si="617"/>
        <v>19994.954844676129</v>
      </c>
      <c r="T475">
        <f t="shared" si="600"/>
        <v>1089676.8103090236</v>
      </c>
      <c r="U475" s="22">
        <f t="shared" si="593"/>
        <v>19994.400096680929</v>
      </c>
      <c r="V475" s="1">
        <f t="shared" si="601"/>
        <v>0</v>
      </c>
      <c r="W475" s="1">
        <f t="shared" si="602"/>
        <v>0</v>
      </c>
      <c r="X475" s="1">
        <f t="shared" si="603"/>
        <v>-196.15050702627283</v>
      </c>
      <c r="Y475" s="1">
        <f t="shared" si="618"/>
        <v>-55.474799520020014</v>
      </c>
      <c r="Z475" s="1">
        <f t="shared" si="604"/>
        <v>-251.62530654629285</v>
      </c>
      <c r="AA475" s="1">
        <f t="shared" si="605"/>
        <v>-39735.732928626938</v>
      </c>
      <c r="AB475" s="1">
        <f t="shared" si="606"/>
        <v>58846.481772379004</v>
      </c>
      <c r="AC475" s="1">
        <f t="shared" si="607"/>
        <v>18859.123537205771</v>
      </c>
      <c r="AD475" s="1">
        <f t="shared" si="608"/>
        <v>0.55474799520015949</v>
      </c>
      <c r="AE475">
        <f t="shared" si="609"/>
        <v>18859.678285200971</v>
      </c>
      <c r="AG475" s="19">
        <v>31</v>
      </c>
      <c r="AH475" s="19">
        <f t="shared" ref="AH475:AK475" si="650">AH388</f>
        <v>0.77569609748441959</v>
      </c>
      <c r="AI475" s="19">
        <f t="shared" si="650"/>
        <v>2.1521221643502585E-2</v>
      </c>
      <c r="AJ475" s="19">
        <f t="shared" si="650"/>
        <v>544.99099999999999</v>
      </c>
      <c r="AK475" s="19">
        <f t="shared" si="650"/>
        <v>447.90800000000002</v>
      </c>
    </row>
    <row r="476" spans="5:37">
      <c r="E476">
        <v>32</v>
      </c>
      <c r="F476" s="13"/>
      <c r="G476" s="13">
        <f t="shared" si="611"/>
        <v>0</v>
      </c>
      <c r="H476" s="13">
        <f t="shared" si="612"/>
        <v>196.20000000000002</v>
      </c>
      <c r="I476" s="13">
        <f t="shared" si="613"/>
        <v>2000000</v>
      </c>
      <c r="J476" s="13">
        <f t="shared" si="595"/>
        <v>469.34500000000003</v>
      </c>
      <c r="K476" s="5">
        <f t="shared" si="596"/>
        <v>564.70000000000005</v>
      </c>
      <c r="L476" s="21">
        <f t="shared" si="597"/>
        <v>938690</v>
      </c>
      <c r="M476">
        <f t="shared" si="598"/>
        <v>1129400</v>
      </c>
      <c r="N476">
        <f t="shared" si="614"/>
        <v>3.1239364519999997E-2</v>
      </c>
      <c r="O476">
        <f t="shared" si="615"/>
        <v>0.99972000483404644</v>
      </c>
      <c r="P476">
        <f t="shared" si="638"/>
        <v>3.1230617648946939E-5</v>
      </c>
      <c r="Q476">
        <f t="shared" si="639"/>
        <v>0.99968877421639746</v>
      </c>
      <c r="R476">
        <f t="shared" si="616"/>
        <v>1089676.8103090236</v>
      </c>
      <c r="S476">
        <f t="shared" si="617"/>
        <v>19994.400096680929</v>
      </c>
      <c r="T476">
        <f t="shared" si="600"/>
        <v>1129048.5015999994</v>
      </c>
      <c r="U476" s="22">
        <f t="shared" ref="U476:U507" si="651">$B$11*I476*Q476</f>
        <v>19993.775484327951</v>
      </c>
      <c r="V476" s="1">
        <f t="shared" si="601"/>
        <v>0</v>
      </c>
      <c r="W476" s="1">
        <f t="shared" si="602"/>
        <v>0</v>
      </c>
      <c r="X476" s="1">
        <f t="shared" si="603"/>
        <v>-196.14506494843994</v>
      </c>
      <c r="Y476" s="1">
        <f t="shared" si="618"/>
        <v>-62.461235297893879</v>
      </c>
      <c r="Z476" s="1">
        <f t="shared" si="604"/>
        <v>-258.60630024633383</v>
      </c>
      <c r="AA476" s="1">
        <f t="shared" si="605"/>
        <v>-39371.691290975781</v>
      </c>
      <c r="AB476" s="1">
        <f t="shared" si="606"/>
        <v>61031.916572313748</v>
      </c>
      <c r="AC476" s="1">
        <f t="shared" si="607"/>
        <v>21401.618981091633</v>
      </c>
      <c r="AD476" s="1">
        <f t="shared" si="608"/>
        <v>0.6246123529781471</v>
      </c>
      <c r="AE476">
        <f t="shared" si="609"/>
        <v>21402.243593444611</v>
      </c>
      <c r="AG476" s="19">
        <v>32</v>
      </c>
      <c r="AH476" s="19">
        <f t="shared" ref="AH476:AK476" si="652">AH389</f>
        <v>0.75417487584091703</v>
      </c>
      <c r="AI476" s="19">
        <f t="shared" si="652"/>
        <v>2.3559943858220148E-2</v>
      </c>
      <c r="AJ476" s="19">
        <f t="shared" si="652"/>
        <v>564.70000000000005</v>
      </c>
      <c r="AK476" s="19">
        <f t="shared" si="652"/>
        <v>469.34500000000003</v>
      </c>
    </row>
    <row r="477" spans="5:37">
      <c r="E477">
        <v>33</v>
      </c>
      <c r="F477" s="13"/>
      <c r="G477" s="13">
        <f t="shared" si="611"/>
        <v>0</v>
      </c>
      <c r="H477" s="13">
        <f t="shared" si="612"/>
        <v>196.20000000000002</v>
      </c>
      <c r="I477" s="13">
        <f t="shared" si="613"/>
        <v>2000000</v>
      </c>
      <c r="J477" s="13">
        <f t="shared" si="595"/>
        <v>490.67899999999997</v>
      </c>
      <c r="K477" s="5">
        <f t="shared" si="596"/>
        <v>584.125</v>
      </c>
      <c r="L477" s="21">
        <f t="shared" si="597"/>
        <v>981358</v>
      </c>
      <c r="M477">
        <f t="shared" si="598"/>
        <v>1168250</v>
      </c>
      <c r="N477">
        <f t="shared" si="614"/>
        <v>3.5276577699999999E-2</v>
      </c>
      <c r="O477">
        <f t="shared" si="615"/>
        <v>0.99968877421639746</v>
      </c>
      <c r="P477">
        <f t="shared" si="638"/>
        <v>3.5265598719462499E-5</v>
      </c>
      <c r="Q477">
        <f t="shared" si="639"/>
        <v>0.99965350861767799</v>
      </c>
      <c r="R477">
        <f t="shared" si="616"/>
        <v>1129048.5015999994</v>
      </c>
      <c r="S477">
        <f t="shared" si="617"/>
        <v>19993.775484327951</v>
      </c>
      <c r="T477">
        <f t="shared" si="600"/>
        <v>1167845.2114426023</v>
      </c>
      <c r="U477" s="22">
        <f t="shared" si="651"/>
        <v>19993.07017235356</v>
      </c>
      <c r="V477" s="1">
        <f t="shared" si="601"/>
        <v>0</v>
      </c>
      <c r="W477" s="1">
        <f t="shared" si="602"/>
        <v>0</v>
      </c>
      <c r="X477" s="1">
        <f t="shared" si="603"/>
        <v>-196.1389375012572</v>
      </c>
      <c r="Y477" s="1">
        <f t="shared" si="618"/>
        <v>-70.531197438924991</v>
      </c>
      <c r="Z477" s="1">
        <f t="shared" si="604"/>
        <v>-266.67013494018221</v>
      </c>
      <c r="AA477" s="1">
        <f t="shared" si="605"/>
        <v>-38796.709842602955</v>
      </c>
      <c r="AB477" s="1">
        <f t="shared" ref="AB477:AB508" si="653">$B$12*SUM(R477:S477,V477:W477)</f>
        <v>63197.325239638005</v>
      </c>
      <c r="AC477" s="1">
        <f t="shared" si="607"/>
        <v>24133.945262094865</v>
      </c>
      <c r="AD477" s="1">
        <f t="shared" si="608"/>
        <v>0.7053119743904972</v>
      </c>
      <c r="AE477">
        <f t="shared" si="609"/>
        <v>24134.650574069256</v>
      </c>
      <c r="AG477" s="19">
        <v>33</v>
      </c>
      <c r="AH477" s="19">
        <f t="shared" ref="AH477:AK477" si="654">AH390</f>
        <v>0.73061493198269689</v>
      </c>
      <c r="AI477" s="19">
        <f t="shared" si="654"/>
        <v>2.5773594416867822E-2</v>
      </c>
      <c r="AJ477" s="19">
        <f t="shared" si="654"/>
        <v>584.125</v>
      </c>
      <c r="AK477" s="19">
        <f t="shared" si="654"/>
        <v>490.67899999999997</v>
      </c>
    </row>
    <row r="478" spans="5:37">
      <c r="E478">
        <v>34</v>
      </c>
      <c r="F478" s="13"/>
      <c r="G478" s="13">
        <f t="shared" ref="G478:G509" si="655">F478*$B$15</f>
        <v>0</v>
      </c>
      <c r="H478" s="13">
        <f t="shared" ref="H478:H509" si="656">$B$17</f>
        <v>196.20000000000002</v>
      </c>
      <c r="I478" s="13">
        <f t="shared" si="613"/>
        <v>2000000</v>
      </c>
      <c r="J478" s="13">
        <f t="shared" si="595"/>
        <v>511.83499999999998</v>
      </c>
      <c r="K478" s="5">
        <f t="shared" si="596"/>
        <v>603.20899999999995</v>
      </c>
      <c r="L478" s="21">
        <f t="shared" si="597"/>
        <v>1023670</v>
      </c>
      <c r="M478">
        <f t="shared" si="598"/>
        <v>1206418</v>
      </c>
      <c r="N478">
        <f t="shared" si="614"/>
        <v>3.9790654540000005E-2</v>
      </c>
      <c r="O478">
        <f t="shared" si="615"/>
        <v>0.99965350861767799</v>
      </c>
      <c r="P478">
        <f t="shared" si="638"/>
        <v>3.9776867421104942E-5</v>
      </c>
      <c r="Q478">
        <f t="shared" si="639"/>
        <v>0.99961373175025692</v>
      </c>
      <c r="R478">
        <f t="shared" si="616"/>
        <v>1167845.2114426023</v>
      </c>
      <c r="S478">
        <f t="shared" si="617"/>
        <v>19993.07017235356</v>
      </c>
      <c r="T478">
        <f t="shared" si="600"/>
        <v>1205951.9990306816</v>
      </c>
      <c r="U478" s="22">
        <f t="shared" si="651"/>
        <v>19992.274635005138</v>
      </c>
      <c r="V478" s="1">
        <f t="shared" si="601"/>
        <v>0</v>
      </c>
      <c r="W478" s="1">
        <f t="shared" si="602"/>
        <v>0</v>
      </c>
      <c r="X478" s="1">
        <f t="shared" si="603"/>
        <v>-196.13201839078843</v>
      </c>
      <c r="Y478" s="1">
        <f t="shared" si="618"/>
        <v>-79.553734842209877</v>
      </c>
      <c r="Z478" s="1">
        <f t="shared" si="604"/>
        <v>-275.68575323299831</v>
      </c>
      <c r="AA478" s="1">
        <f t="shared" si="605"/>
        <v>-38106.787588079227</v>
      </c>
      <c r="AB478" s="1">
        <f t="shared" si="653"/>
        <v>65331.105488822577</v>
      </c>
      <c r="AC478" s="1">
        <f t="shared" si="607"/>
        <v>26948.632147510354</v>
      </c>
      <c r="AD478" s="1">
        <f t="shared" si="608"/>
        <v>0.7955373484219308</v>
      </c>
      <c r="AE478">
        <f t="shared" si="609"/>
        <v>26949.427684858776</v>
      </c>
      <c r="AG478" s="19">
        <v>34</v>
      </c>
      <c r="AH478" s="19">
        <f t="shared" ref="AH478:AK478" si="657">AH391</f>
        <v>0.70484133756582912</v>
      </c>
      <c r="AI478" s="19">
        <f t="shared" si="657"/>
        <v>2.8046098168593433E-2</v>
      </c>
      <c r="AJ478" s="19">
        <f t="shared" si="657"/>
        <v>603.20899999999995</v>
      </c>
      <c r="AK478" s="19">
        <f t="shared" si="657"/>
        <v>511.83499999999998</v>
      </c>
    </row>
    <row r="479" spans="5:37">
      <c r="E479">
        <v>35</v>
      </c>
      <c r="F479" s="13"/>
      <c r="G479" s="13">
        <f t="shared" si="655"/>
        <v>0</v>
      </c>
      <c r="H479" s="13">
        <f t="shared" si="656"/>
        <v>196.20000000000002</v>
      </c>
      <c r="I479" s="13">
        <f t="shared" si="613"/>
        <v>2000000</v>
      </c>
      <c r="J479" s="13">
        <f t="shared" si="595"/>
        <v>532.745</v>
      </c>
      <c r="K479" s="5">
        <f t="shared" si="596"/>
        <v>621.9</v>
      </c>
      <c r="L479" s="21">
        <f t="shared" si="597"/>
        <v>1065490</v>
      </c>
      <c r="M479">
        <f t="shared" si="598"/>
        <v>1243800</v>
      </c>
      <c r="N479">
        <f t="shared" si="614"/>
        <v>4.4814722680000002E-2</v>
      </c>
      <c r="O479">
        <f t="shared" si="615"/>
        <v>0.99961373175025692</v>
      </c>
      <c r="P479">
        <f t="shared" si="638"/>
        <v>4.4797412175507678E-5</v>
      </c>
      <c r="Q479">
        <f t="shared" si="639"/>
        <v>0.99956893433808136</v>
      </c>
      <c r="R479">
        <f t="shared" si="616"/>
        <v>1205951.9990306816</v>
      </c>
      <c r="S479">
        <f t="shared" si="617"/>
        <v>19992.274635005138</v>
      </c>
      <c r="T479">
        <f t="shared" si="600"/>
        <v>1243263.8405297056</v>
      </c>
      <c r="U479" s="22">
        <f t="shared" si="651"/>
        <v>19991.378686761625</v>
      </c>
      <c r="V479" s="1">
        <f t="shared" si="601"/>
        <v>0</v>
      </c>
      <c r="W479" s="1">
        <f t="shared" si="602"/>
        <v>0</v>
      </c>
      <c r="X479" s="1">
        <f t="shared" si="603"/>
        <v>-196.12421416940043</v>
      </c>
      <c r="Y479" s="1">
        <f t="shared" si="618"/>
        <v>-89.594824351015362</v>
      </c>
      <c r="Z479" s="1">
        <f t="shared" si="604"/>
        <v>-285.71903852041578</v>
      </c>
      <c r="AA479" s="1">
        <f t="shared" si="605"/>
        <v>-37311.841499024071</v>
      </c>
      <c r="AB479" s="1">
        <f t="shared" si="653"/>
        <v>67426.93505161276</v>
      </c>
      <c r="AC479" s="1">
        <f t="shared" si="607"/>
        <v>29829.374514068273</v>
      </c>
      <c r="AD479" s="1">
        <f t="shared" si="608"/>
        <v>0.89594824351297575</v>
      </c>
      <c r="AE479">
        <f t="shared" si="609"/>
        <v>29830.270462311786</v>
      </c>
      <c r="AG479" s="19">
        <v>35</v>
      </c>
      <c r="AH479" s="19">
        <f t="shared" ref="AH479:AK479" si="658">AH392</f>
        <v>0.67679523939723574</v>
      </c>
      <c r="AI479" s="19">
        <f t="shared" si="658"/>
        <v>3.0330390964731332E-2</v>
      </c>
      <c r="AJ479" s="19">
        <f t="shared" si="658"/>
        <v>621.9</v>
      </c>
      <c r="AK479" s="19">
        <f t="shared" si="658"/>
        <v>532.745</v>
      </c>
    </row>
    <row r="480" spans="5:37">
      <c r="E480">
        <v>36</v>
      </c>
      <c r="F480" s="13"/>
      <c r="G480" s="13">
        <f t="shared" si="655"/>
        <v>0</v>
      </c>
      <c r="H480" s="13">
        <f t="shared" si="656"/>
        <v>196.20000000000002</v>
      </c>
      <c r="I480" s="13">
        <f t="shared" si="613"/>
        <v>2000000</v>
      </c>
      <c r="J480" s="13">
        <f t="shared" si="595"/>
        <v>553.38599999999997</v>
      </c>
      <c r="K480" s="5">
        <f t="shared" si="596"/>
        <v>640.18600000000004</v>
      </c>
      <c r="L480" s="21">
        <f t="shared" si="597"/>
        <v>1106772</v>
      </c>
      <c r="M480">
        <f t="shared" si="598"/>
        <v>1280372</v>
      </c>
      <c r="N480">
        <f t="shared" si="614"/>
        <v>5.0298218879999995E-2</v>
      </c>
      <c r="O480">
        <f t="shared" si="615"/>
        <v>0.99956893433808136</v>
      </c>
      <c r="P480">
        <f t="shared" si="638"/>
        <v>5.0276537044985161E-5</v>
      </c>
      <c r="Q480">
        <f t="shared" si="639"/>
        <v>0.99951865780103633</v>
      </c>
      <c r="R480">
        <f t="shared" si="616"/>
        <v>1243263.8405297056</v>
      </c>
      <c r="S480">
        <f t="shared" si="617"/>
        <v>19991.378686761625</v>
      </c>
      <c r="T480">
        <f t="shared" si="600"/>
        <v>1279755.7029260285</v>
      </c>
      <c r="U480" s="22">
        <f t="shared" si="651"/>
        <v>19990.373156020727</v>
      </c>
      <c r="V480" s="1">
        <f t="shared" si="601"/>
        <v>0</v>
      </c>
      <c r="W480" s="1">
        <f t="shared" si="602"/>
        <v>0</v>
      </c>
      <c r="X480" s="1">
        <f t="shared" si="603"/>
        <v>-196.11542491713158</v>
      </c>
      <c r="Y480" s="1">
        <f t="shared" si="618"/>
        <v>-100.55307408997032</v>
      </c>
      <c r="Z480" s="1">
        <f t="shared" si="604"/>
        <v>-296.6684990071019</v>
      </c>
      <c r="AA480" s="1">
        <f t="shared" si="605"/>
        <v>-36491.862396322889</v>
      </c>
      <c r="AB480" s="1">
        <f t="shared" si="653"/>
        <v>69479.037056905698</v>
      </c>
      <c r="AC480" s="1">
        <f t="shared" si="607"/>
        <v>32690.506161575708</v>
      </c>
      <c r="AD480" s="1">
        <f t="shared" si="608"/>
        <v>1.0055307408983936</v>
      </c>
      <c r="AE480">
        <f t="shared" si="609"/>
        <v>32691.511692316606</v>
      </c>
      <c r="AG480" s="19">
        <v>36</v>
      </c>
      <c r="AH480" s="19">
        <f t="shared" ref="AH480:AK480" si="659">AH393</f>
        <v>0.6464648484325044</v>
      </c>
      <c r="AI480" s="19">
        <f t="shared" si="659"/>
        <v>3.2516030444684131E-2</v>
      </c>
      <c r="AJ480" s="19">
        <f t="shared" si="659"/>
        <v>640.18600000000004</v>
      </c>
      <c r="AK480" s="19">
        <f t="shared" si="659"/>
        <v>553.38599999999997</v>
      </c>
    </row>
    <row r="481" spans="5:37">
      <c r="E481">
        <v>37</v>
      </c>
      <c r="F481" s="13"/>
      <c r="G481" s="13">
        <f t="shared" si="655"/>
        <v>0</v>
      </c>
      <c r="H481" s="13">
        <f t="shared" si="656"/>
        <v>196.20000000000002</v>
      </c>
      <c r="I481" s="13">
        <f t="shared" si="613"/>
        <v>2000000</v>
      </c>
      <c r="J481" s="13">
        <f t="shared" si="595"/>
        <v>573.71799999999996</v>
      </c>
      <c r="K481" s="5">
        <f t="shared" si="596"/>
        <v>658.04</v>
      </c>
      <c r="L481" s="21">
        <f t="shared" si="597"/>
        <v>1147436</v>
      </c>
      <c r="M481">
        <f t="shared" si="598"/>
        <v>1316080</v>
      </c>
      <c r="N481">
        <f t="shared" si="614"/>
        <v>5.63257058E-2</v>
      </c>
      <c r="O481">
        <f t="shared" si="615"/>
        <v>0.99951865780103633</v>
      </c>
      <c r="P481">
        <f t="shared" si="638"/>
        <v>5.6298593860912054E-5</v>
      </c>
      <c r="Q481">
        <f t="shared" si="639"/>
        <v>0.99946235920717541</v>
      </c>
      <c r="R481">
        <f t="shared" si="616"/>
        <v>1279755.7029260285</v>
      </c>
      <c r="S481">
        <f t="shared" si="617"/>
        <v>19990.373156020727</v>
      </c>
      <c r="T481">
        <f t="shared" si="600"/>
        <v>1315372.4217053794</v>
      </c>
      <c r="U481" s="22">
        <f t="shared" si="651"/>
        <v>19989.247184143507</v>
      </c>
      <c r="V481" s="1">
        <f t="shared" si="601"/>
        <v>0</v>
      </c>
      <c r="W481" s="1">
        <f t="shared" si="602"/>
        <v>0</v>
      </c>
      <c r="X481" s="1">
        <f t="shared" si="603"/>
        <v>-196.10556066056336</v>
      </c>
      <c r="Y481" s="1">
        <f t="shared" si="618"/>
        <v>-112.59718772182411</v>
      </c>
      <c r="Z481" s="1">
        <f t="shared" si="604"/>
        <v>-308.70274838238748</v>
      </c>
      <c r="AA481" s="1">
        <f t="shared" si="605"/>
        <v>-35616.718779350864</v>
      </c>
      <c r="AB481" s="1">
        <f t="shared" si="653"/>
        <v>71486.034184512711</v>
      </c>
      <c r="AC481" s="1">
        <f t="shared" si="607"/>
        <v>35560.612656779464</v>
      </c>
      <c r="AD481" s="1">
        <f t="shared" si="608"/>
        <v>1.1259718772198539</v>
      </c>
      <c r="AE481">
        <f t="shared" si="609"/>
        <v>35561.738628656683</v>
      </c>
      <c r="AG481" s="19">
        <v>37</v>
      </c>
      <c r="AH481" s="19">
        <f t="shared" ref="AH481:AK481" si="660">AH394</f>
        <v>0.61394881798782031</v>
      </c>
      <c r="AI481" s="19">
        <f t="shared" si="660"/>
        <v>3.4581100498239717E-2</v>
      </c>
      <c r="AJ481" s="19">
        <f t="shared" si="660"/>
        <v>658.04</v>
      </c>
      <c r="AK481" s="19">
        <f t="shared" si="660"/>
        <v>573.71799999999996</v>
      </c>
    </row>
    <row r="482" spans="5:37">
      <c r="E482">
        <v>38</v>
      </c>
      <c r="F482" s="13"/>
      <c r="G482" s="13">
        <f t="shared" si="655"/>
        <v>0</v>
      </c>
      <c r="H482" s="13">
        <f t="shared" si="656"/>
        <v>196.20000000000002</v>
      </c>
      <c r="I482" s="13">
        <f t="shared" si="613"/>
        <v>2000000</v>
      </c>
      <c r="J482" s="13">
        <f t="shared" si="595"/>
        <v>593.63699999999994</v>
      </c>
      <c r="K482" s="5">
        <f t="shared" si="596"/>
        <v>675.38400000000001</v>
      </c>
      <c r="L482" s="21">
        <f t="shared" si="597"/>
        <v>1187274</v>
      </c>
      <c r="M482">
        <f t="shared" si="598"/>
        <v>1350768</v>
      </c>
      <c r="N482">
        <f t="shared" si="614"/>
        <v>6.3106410639999999E-2</v>
      </c>
      <c r="O482">
        <f t="shared" si="615"/>
        <v>0.99946235920717541</v>
      </c>
      <c r="P482">
        <f t="shared" si="638"/>
        <v>6.3072482059351186E-5</v>
      </c>
      <c r="Q482">
        <f t="shared" si="639"/>
        <v>0.99939928672511602</v>
      </c>
      <c r="R482">
        <f t="shared" si="616"/>
        <v>1315372.4217053794</v>
      </c>
      <c r="S482">
        <f t="shared" si="617"/>
        <v>19989.247184143507</v>
      </c>
      <c r="T482">
        <f t="shared" si="600"/>
        <v>1349956.5757311115</v>
      </c>
      <c r="U482" s="22">
        <f t="shared" si="651"/>
        <v>19987.985734502319</v>
      </c>
      <c r="V482" s="1">
        <f t="shared" si="601"/>
        <v>0</v>
      </c>
      <c r="W482" s="1">
        <f t="shared" si="602"/>
        <v>0</v>
      </c>
      <c r="X482" s="1">
        <f t="shared" si="603"/>
        <v>-196.09451487644785</v>
      </c>
      <c r="Y482" s="1">
        <f t="shared" si="618"/>
        <v>-126.14496411870238</v>
      </c>
      <c r="Z482" s="1">
        <f t="shared" si="604"/>
        <v>-322.23947899515019</v>
      </c>
      <c r="AA482" s="1">
        <f t="shared" si="605"/>
        <v>-34584.154025732074</v>
      </c>
      <c r="AB482" s="1">
        <f t="shared" si="653"/>
        <v>73444.891788923749</v>
      </c>
      <c r="AC482" s="1">
        <f t="shared" si="607"/>
        <v>38538.498284196525</v>
      </c>
      <c r="AD482" s="1">
        <f t="shared" si="608"/>
        <v>1.2614496411879372</v>
      </c>
      <c r="AE482">
        <f t="shared" si="609"/>
        <v>38539.759733837709</v>
      </c>
      <c r="AG482" s="19">
        <v>38</v>
      </c>
      <c r="AH482" s="19">
        <f t="shared" ref="AH482:AK482" si="661">AH395</f>
        <v>0.5793677174895806</v>
      </c>
      <c r="AI482" s="19">
        <f t="shared" si="661"/>
        <v>3.6561817091456984E-2</v>
      </c>
      <c r="AJ482" s="19">
        <f t="shared" si="661"/>
        <v>675.38400000000001</v>
      </c>
      <c r="AK482" s="19">
        <f t="shared" si="661"/>
        <v>593.63699999999994</v>
      </c>
    </row>
    <row r="483" spans="5:37">
      <c r="E483">
        <v>39</v>
      </c>
      <c r="F483" s="13"/>
      <c r="G483" s="13">
        <f t="shared" si="655"/>
        <v>0</v>
      </c>
      <c r="H483" s="13">
        <f t="shared" si="656"/>
        <v>196.20000000000002</v>
      </c>
      <c r="I483" s="13">
        <f t="shared" si="613"/>
        <v>2000000</v>
      </c>
      <c r="J483" s="13">
        <f t="shared" si="595"/>
        <v>613.02599999999995</v>
      </c>
      <c r="K483" s="5">
        <f t="shared" si="596"/>
        <v>692.13199999999995</v>
      </c>
      <c r="L483" s="21">
        <f t="shared" si="597"/>
        <v>1226052</v>
      </c>
      <c r="M483">
        <f t="shared" si="598"/>
        <v>1384264</v>
      </c>
      <c r="N483">
        <f t="shared" si="614"/>
        <v>7.0726639620000004E-2</v>
      </c>
      <c r="O483">
        <f t="shared" si="615"/>
        <v>0.99939928672511602</v>
      </c>
      <c r="P483">
        <f t="shared" si="638"/>
        <v>7.0684153188692338E-5</v>
      </c>
      <c r="Q483">
        <f t="shared" si="639"/>
        <v>0.99932860257192735</v>
      </c>
      <c r="R483">
        <f t="shared" si="616"/>
        <v>1349956.5757311115</v>
      </c>
      <c r="S483">
        <f t="shared" si="617"/>
        <v>19987.985734502319</v>
      </c>
      <c r="T483">
        <f t="shared" si="600"/>
        <v>1383334.6087106264</v>
      </c>
      <c r="U483" s="22">
        <f t="shared" si="651"/>
        <v>19986.572051438547</v>
      </c>
      <c r="V483" s="1">
        <f t="shared" si="601"/>
        <v>0</v>
      </c>
      <c r="W483" s="1">
        <f t="shared" si="602"/>
        <v>0</v>
      </c>
      <c r="X483" s="1">
        <f t="shared" si="603"/>
        <v>-196.08214005546779</v>
      </c>
      <c r="Y483" s="1">
        <f t="shared" si="618"/>
        <v>-141.36830637738467</v>
      </c>
      <c r="Z483" s="1">
        <f t="shared" si="604"/>
        <v>-337.45044643285246</v>
      </c>
      <c r="AA483" s="1">
        <f t="shared" si="605"/>
        <v>-33378.032979514915</v>
      </c>
      <c r="AB483" s="1">
        <f t="shared" si="653"/>
        <v>75346.950880608754</v>
      </c>
      <c r="AC483" s="1">
        <f t="shared" si="607"/>
        <v>41631.467454660989</v>
      </c>
      <c r="AD483" s="1">
        <f t="shared" si="608"/>
        <v>1.4136830637726234</v>
      </c>
      <c r="AE483">
        <f t="shared" si="609"/>
        <v>41632.881137724762</v>
      </c>
      <c r="AG483" s="19">
        <v>39</v>
      </c>
      <c r="AH483" s="19">
        <f t="shared" ref="AH483:AK483" si="662">AH396</f>
        <v>0.5428059003981236</v>
      </c>
      <c r="AI483" s="19">
        <f t="shared" si="662"/>
        <v>3.8390837301067703E-2</v>
      </c>
      <c r="AJ483" s="19">
        <f t="shared" si="662"/>
        <v>692.13199999999995</v>
      </c>
      <c r="AK483" s="19">
        <f t="shared" si="662"/>
        <v>613.02599999999995</v>
      </c>
    </row>
    <row r="484" spans="5:37">
      <c r="E484">
        <v>40</v>
      </c>
      <c r="F484" s="13"/>
      <c r="G484" s="13">
        <f t="shared" si="655"/>
        <v>0</v>
      </c>
      <c r="H484" s="13">
        <f t="shared" si="656"/>
        <v>196.20000000000002</v>
      </c>
      <c r="I484" s="13">
        <f t="shared" si="613"/>
        <v>2000000</v>
      </c>
      <c r="J484" s="13">
        <f t="shared" si="595"/>
        <v>631.73699999999997</v>
      </c>
      <c r="K484" s="5">
        <f t="shared" si="596"/>
        <v>708.17700000000002</v>
      </c>
      <c r="L484" s="21">
        <f t="shared" si="597"/>
        <v>1263474</v>
      </c>
      <c r="M484">
        <f t="shared" si="598"/>
        <v>1416354</v>
      </c>
      <c r="N484">
        <f t="shared" si="614"/>
        <v>7.9320646859999996E-2</v>
      </c>
      <c r="O484">
        <f t="shared" si="615"/>
        <v>0.99932860257192735</v>
      </c>
      <c r="P484">
        <f t="shared" si="638"/>
        <v>7.9267391181705123E-5</v>
      </c>
      <c r="Q484">
        <f t="shared" si="639"/>
        <v>0.99924933518074566</v>
      </c>
      <c r="R484">
        <f t="shared" si="616"/>
        <v>1383334.6087106264</v>
      </c>
      <c r="S484">
        <f t="shared" si="617"/>
        <v>19986.572051438547</v>
      </c>
      <c r="T484">
        <f t="shared" si="600"/>
        <v>1415290.7928805898</v>
      </c>
      <c r="U484" s="22">
        <f t="shared" si="651"/>
        <v>19984.986703614912</v>
      </c>
      <c r="V484" s="1">
        <f t="shared" si="601"/>
        <v>0</v>
      </c>
      <c r="W484" s="1">
        <f t="shared" si="602"/>
        <v>0</v>
      </c>
      <c r="X484" s="1">
        <f t="shared" si="603"/>
        <v>-196.06827182461217</v>
      </c>
      <c r="Y484" s="1">
        <f t="shared" si="618"/>
        <v>-158.53478236341024</v>
      </c>
      <c r="Z484" s="1">
        <f t="shared" si="604"/>
        <v>-354.60305418802238</v>
      </c>
      <c r="AA484" s="1">
        <f t="shared" si="605"/>
        <v>-31956.184169963468</v>
      </c>
      <c r="AB484" s="1">
        <f t="shared" si="653"/>
        <v>77182.664941913565</v>
      </c>
      <c r="AC484" s="1">
        <f t="shared" si="607"/>
        <v>44871.87771776208</v>
      </c>
      <c r="AD484" s="1">
        <f t="shared" si="608"/>
        <v>1.5853478236349474</v>
      </c>
      <c r="AE484">
        <f t="shared" si="609"/>
        <v>44873.463065585718</v>
      </c>
      <c r="AG484" s="19">
        <v>40</v>
      </c>
      <c r="AH484" s="19">
        <f t="shared" ref="AH484:AK484" si="663">AH397</f>
        <v>0.50441506309705586</v>
      </c>
      <c r="AI484" s="19">
        <f t="shared" si="663"/>
        <v>4.0010529090786187E-2</v>
      </c>
      <c r="AJ484" s="19">
        <f t="shared" si="663"/>
        <v>708.17700000000002</v>
      </c>
      <c r="AK484" s="19">
        <f t="shared" si="663"/>
        <v>631.73699999999997</v>
      </c>
    </row>
    <row r="485" spans="5:37">
      <c r="E485">
        <v>41</v>
      </c>
      <c r="F485" s="13"/>
      <c r="G485" s="13">
        <f t="shared" si="655"/>
        <v>0</v>
      </c>
      <c r="H485" s="13">
        <f t="shared" si="656"/>
        <v>196.20000000000002</v>
      </c>
      <c r="I485" s="13">
        <f t="shared" si="613"/>
        <v>2000000</v>
      </c>
      <c r="J485" s="13">
        <f t="shared" si="595"/>
        <v>649.74699999999996</v>
      </c>
      <c r="K485" s="5">
        <f t="shared" si="596"/>
        <v>723.51400000000001</v>
      </c>
      <c r="L485" s="21">
        <f t="shared" si="597"/>
        <v>1299494</v>
      </c>
      <c r="M485">
        <f t="shared" si="598"/>
        <v>1447028</v>
      </c>
      <c r="N485">
        <f t="shared" si="614"/>
        <v>8.8604232079999998E-2</v>
      </c>
      <c r="O485">
        <f t="shared" si="615"/>
        <v>0.99924933518074566</v>
      </c>
      <c r="P485">
        <f t="shared" si="638"/>
        <v>8.8537720000140505E-5</v>
      </c>
      <c r="Q485">
        <f t="shared" si="639"/>
        <v>0.99916079746074549</v>
      </c>
      <c r="R485">
        <f t="shared" si="616"/>
        <v>1415290.7928805898</v>
      </c>
      <c r="S485">
        <f t="shared" si="617"/>
        <v>19984.986703614912</v>
      </c>
      <c r="T485">
        <f t="shared" si="600"/>
        <v>1445813.6504280276</v>
      </c>
      <c r="U485" s="22">
        <f t="shared" si="651"/>
        <v>19983.215949214911</v>
      </c>
      <c r="V485" s="1">
        <f t="shared" si="601"/>
        <v>0</v>
      </c>
      <c r="W485" s="1">
        <f t="shared" si="602"/>
        <v>0</v>
      </c>
      <c r="X485" s="1">
        <f t="shared" si="603"/>
        <v>-196.05271956246233</v>
      </c>
      <c r="Y485" s="1">
        <f t="shared" si="618"/>
        <v>-177.07544000028102</v>
      </c>
      <c r="Z485" s="1">
        <f t="shared" si="604"/>
        <v>-373.12815956274335</v>
      </c>
      <c r="AA485" s="1">
        <f t="shared" si="605"/>
        <v>-30522.857547437772</v>
      </c>
      <c r="AB485" s="1">
        <f t="shared" si="653"/>
        <v>78940.167877131258</v>
      </c>
      <c r="AC485" s="1">
        <f t="shared" si="607"/>
        <v>48044.182170130742</v>
      </c>
      <c r="AD485" s="1">
        <f t="shared" si="608"/>
        <v>1.7707544000004418</v>
      </c>
      <c r="AE485">
        <f t="shared" si="609"/>
        <v>48045.952924530742</v>
      </c>
      <c r="AG485" s="19">
        <v>41</v>
      </c>
      <c r="AH485" s="19">
        <f t="shared" ref="AH485:AK485" si="664">AH398</f>
        <v>0.46440453400626969</v>
      </c>
      <c r="AI485" s="19">
        <f t="shared" si="664"/>
        <v>4.1148207110095772E-2</v>
      </c>
      <c r="AJ485" s="19">
        <f t="shared" si="664"/>
        <v>723.51400000000001</v>
      </c>
      <c r="AK485" s="19">
        <f t="shared" si="664"/>
        <v>649.74699999999996</v>
      </c>
    </row>
    <row r="486" spans="5:37">
      <c r="E486">
        <v>42</v>
      </c>
      <c r="F486" s="13"/>
      <c r="G486" s="13">
        <f t="shared" si="655"/>
        <v>0</v>
      </c>
      <c r="H486" s="13">
        <f t="shared" si="656"/>
        <v>196.20000000000002</v>
      </c>
      <c r="I486" s="13">
        <f t="shared" si="613"/>
        <v>2000000</v>
      </c>
      <c r="J486" s="13">
        <f t="shared" si="595"/>
        <v>667.15099999999995</v>
      </c>
      <c r="K486" s="5">
        <f t="shared" si="596"/>
        <v>738.22900000000004</v>
      </c>
      <c r="L486" s="21">
        <f t="shared" si="597"/>
        <v>1334302</v>
      </c>
      <c r="M486">
        <f t="shared" si="598"/>
        <v>1476458</v>
      </c>
      <c r="N486">
        <f t="shared" si="614"/>
        <v>9.830452814E-2</v>
      </c>
      <c r="O486">
        <f t="shared" si="615"/>
        <v>0.99916079746074549</v>
      </c>
      <c r="P486">
        <f t="shared" si="638"/>
        <v>9.82220307303647E-5</v>
      </c>
      <c r="Q486">
        <f t="shared" si="639"/>
        <v>0.99906257543001509</v>
      </c>
      <c r="R486">
        <f t="shared" si="616"/>
        <v>1445813.6504280276</v>
      </c>
      <c r="S486">
        <f t="shared" si="617"/>
        <v>19983.215949214911</v>
      </c>
      <c r="T486">
        <f t="shared" si="600"/>
        <v>1475073.9319942491</v>
      </c>
      <c r="U486" s="22">
        <f t="shared" si="651"/>
        <v>19981.2515086003</v>
      </c>
      <c r="V486" s="1">
        <f t="shared" si="601"/>
        <v>0</v>
      </c>
      <c r="W486" s="1">
        <f t="shared" si="602"/>
        <v>0</v>
      </c>
      <c r="X486" s="1">
        <f t="shared" si="603"/>
        <v>-196.03534846179829</v>
      </c>
      <c r="Y486" s="1">
        <f t="shared" si="618"/>
        <v>-196.44406146072942</v>
      </c>
      <c r="Z486" s="1">
        <f t="shared" si="604"/>
        <v>-392.47940992252768</v>
      </c>
      <c r="AA486" s="1">
        <f t="shared" si="605"/>
        <v>-29260.2815662215</v>
      </c>
      <c r="AB486" s="1">
        <f t="shared" si="653"/>
        <v>80618.827650748339</v>
      </c>
      <c r="AC486" s="1">
        <f t="shared" si="607"/>
        <v>50966.066674604313</v>
      </c>
      <c r="AD486" s="1">
        <f t="shared" si="608"/>
        <v>1.964440614610794</v>
      </c>
      <c r="AE486">
        <f t="shared" si="609"/>
        <v>50968.031115218924</v>
      </c>
      <c r="AG486" s="19">
        <v>42</v>
      </c>
      <c r="AH486" s="19">
        <f t="shared" ref="AH486:AK486" si="665">AH399</f>
        <v>0.42325632689617393</v>
      </c>
      <c r="AI486" s="19">
        <f t="shared" si="665"/>
        <v>4.1608013497797969E-2</v>
      </c>
      <c r="AJ486" s="19">
        <f t="shared" si="665"/>
        <v>738.22900000000004</v>
      </c>
      <c r="AK486" s="19">
        <f t="shared" si="665"/>
        <v>667.15099999999995</v>
      </c>
    </row>
    <row r="487" spans="5:37">
      <c r="E487">
        <v>43</v>
      </c>
      <c r="F487" s="13"/>
      <c r="G487" s="13">
        <f t="shared" si="655"/>
        <v>0</v>
      </c>
      <c r="H487" s="13">
        <f t="shared" si="656"/>
        <v>196.20000000000002</v>
      </c>
      <c r="I487" s="13">
        <f t="shared" si="613"/>
        <v>2000000</v>
      </c>
      <c r="J487" s="13">
        <f t="shared" si="595"/>
        <v>683.899</v>
      </c>
      <c r="K487" s="5">
        <f t="shared" si="596"/>
        <v>752.29200000000003</v>
      </c>
      <c r="L487" s="21">
        <f t="shared" si="597"/>
        <v>1367798</v>
      </c>
      <c r="M487">
        <f t="shared" si="598"/>
        <v>1504584</v>
      </c>
      <c r="N487">
        <f t="shared" si="614"/>
        <v>0.10889403979999999</v>
      </c>
      <c r="O487">
        <f t="shared" si="615"/>
        <v>0.99906257543001509</v>
      </c>
      <c r="P487">
        <f t="shared" si="638"/>
        <v>1.0879195985156656E-4</v>
      </c>
      <c r="Q487">
        <f t="shared" si="639"/>
        <v>0.9989537834701635</v>
      </c>
      <c r="R487">
        <f t="shared" si="616"/>
        <v>1475073.9319942491</v>
      </c>
      <c r="S487">
        <f t="shared" si="617"/>
        <v>19981.2515086003</v>
      </c>
      <c r="T487">
        <f t="shared" si="600"/>
        <v>1503009.8793486725</v>
      </c>
      <c r="U487" s="22">
        <f t="shared" si="651"/>
        <v>19979.075669403272</v>
      </c>
      <c r="V487" s="1">
        <f t="shared" si="601"/>
        <v>0</v>
      </c>
      <c r="W487" s="1">
        <f t="shared" si="602"/>
        <v>0</v>
      </c>
      <c r="X487" s="1">
        <f t="shared" si="603"/>
        <v>-196.01607729936899</v>
      </c>
      <c r="Y487" s="1">
        <f t="shared" si="618"/>
        <v>-217.58391970313312</v>
      </c>
      <c r="Z487" s="1">
        <f t="shared" si="604"/>
        <v>-413.59999700250211</v>
      </c>
      <c r="AA487" s="1">
        <f t="shared" si="605"/>
        <v>-27935.947354423348</v>
      </c>
      <c r="AB487" s="1">
        <f t="shared" si="653"/>
        <v>82228.035092656719</v>
      </c>
      <c r="AC487" s="1">
        <f t="shared" si="607"/>
        <v>53878.487741230871</v>
      </c>
      <c r="AD487" s="1">
        <f t="shared" si="608"/>
        <v>2.1758391970288358</v>
      </c>
      <c r="AE487">
        <f t="shared" si="609"/>
        <v>53880.663580427899</v>
      </c>
      <c r="AG487" s="19">
        <v>43</v>
      </c>
      <c r="AH487" s="19">
        <f t="shared" ref="AH487:AK487" si="666">AH400</f>
        <v>0.38164831339837596</v>
      </c>
      <c r="AI487" s="19">
        <f t="shared" si="666"/>
        <v>4.1559226628805623E-2</v>
      </c>
      <c r="AJ487" s="19">
        <f t="shared" si="666"/>
        <v>752.29200000000003</v>
      </c>
      <c r="AK487" s="19">
        <f t="shared" si="666"/>
        <v>683.899</v>
      </c>
    </row>
    <row r="488" spans="5:37">
      <c r="E488">
        <v>44</v>
      </c>
      <c r="F488" s="13"/>
      <c r="G488" s="13">
        <f t="shared" si="655"/>
        <v>0</v>
      </c>
      <c r="H488" s="13">
        <f t="shared" si="656"/>
        <v>196.20000000000002</v>
      </c>
      <c r="I488" s="13">
        <f t="shared" si="613"/>
        <v>2000000</v>
      </c>
      <c r="J488" s="13">
        <f t="shared" si="595"/>
        <v>699.96900000000005</v>
      </c>
      <c r="K488" s="5">
        <f t="shared" si="596"/>
        <v>765.697</v>
      </c>
      <c r="L488" s="21">
        <f t="shared" si="597"/>
        <v>1399938</v>
      </c>
      <c r="M488">
        <f t="shared" si="598"/>
        <v>1531394</v>
      </c>
      <c r="N488">
        <f t="shared" si="614"/>
        <v>0.12033266517999999</v>
      </c>
      <c r="O488">
        <f t="shared" si="615"/>
        <v>0.9989537834701635</v>
      </c>
      <c r="P488">
        <f t="shared" si="638"/>
        <v>1.202067711566094E-4</v>
      </c>
      <c r="Q488">
        <f t="shared" si="639"/>
        <v>0.99883357669900685</v>
      </c>
      <c r="R488">
        <f t="shared" si="616"/>
        <v>1503009.8793486725</v>
      </c>
      <c r="S488">
        <f t="shared" si="617"/>
        <v>19979.075669403272</v>
      </c>
      <c r="T488">
        <f t="shared" si="600"/>
        <v>1529607.7463553988</v>
      </c>
      <c r="U488" s="22">
        <f t="shared" si="651"/>
        <v>19976.671533980138</v>
      </c>
      <c r="V488" s="1">
        <f t="shared" si="601"/>
        <v>0</v>
      </c>
      <c r="W488" s="1">
        <f t="shared" si="602"/>
        <v>0</v>
      </c>
      <c r="X488" s="1">
        <f t="shared" si="603"/>
        <v>-195.9947323168461</v>
      </c>
      <c r="Y488" s="1">
        <f t="shared" si="618"/>
        <v>-240.41354231321881</v>
      </c>
      <c r="Z488" s="1">
        <f t="shared" si="604"/>
        <v>-436.40827463006491</v>
      </c>
      <c r="AA488" s="1">
        <f t="shared" si="605"/>
        <v>-26597.86700672633</v>
      </c>
      <c r="AB488" s="1">
        <f t="shared" si="653"/>
        <v>83764.392525994161</v>
      </c>
      <c r="AC488" s="1">
        <f t="shared" si="607"/>
        <v>56730.11724463776</v>
      </c>
      <c r="AD488" s="1">
        <f t="shared" si="608"/>
        <v>2.4041354231339938</v>
      </c>
      <c r="AE488">
        <f t="shared" si="609"/>
        <v>56732.521380060891</v>
      </c>
      <c r="AG488" s="19">
        <v>44</v>
      </c>
      <c r="AH488" s="19">
        <f t="shared" ref="AH488:AK488" si="667">AH401</f>
        <v>0.34008908676957034</v>
      </c>
      <c r="AI488" s="19">
        <f t="shared" si="667"/>
        <v>4.0923826209614669E-2</v>
      </c>
      <c r="AJ488" s="19">
        <f t="shared" si="667"/>
        <v>765.697</v>
      </c>
      <c r="AK488" s="19">
        <f t="shared" si="667"/>
        <v>699.96900000000005</v>
      </c>
    </row>
    <row r="489" spans="5:37">
      <c r="E489">
        <v>45</v>
      </c>
      <c r="F489" s="13"/>
      <c r="G489" s="13">
        <f t="shared" si="655"/>
        <v>0</v>
      </c>
      <c r="H489" s="13">
        <f t="shared" si="656"/>
        <v>196.20000000000002</v>
      </c>
      <c r="I489" s="13">
        <f t="shared" si="613"/>
        <v>2000000</v>
      </c>
      <c r="J489" s="13">
        <f t="shared" si="595"/>
        <v>715.25400000000002</v>
      </c>
      <c r="K489" s="5">
        <f t="shared" si="596"/>
        <v>778.37</v>
      </c>
      <c r="L489" s="21">
        <f t="shared" si="597"/>
        <v>1430508</v>
      </c>
      <c r="M489">
        <f t="shared" si="598"/>
        <v>1556740</v>
      </c>
      <c r="N489">
        <f t="shared" si="614"/>
        <v>0.13293686042000002</v>
      </c>
      <c r="O489">
        <f t="shared" si="615"/>
        <v>0.99883357669900685</v>
      </c>
      <c r="P489">
        <f t="shared" si="638"/>
        <v>1.3278179976844526E-4</v>
      </c>
      <c r="Q489">
        <f t="shared" si="639"/>
        <v>0.99870079489923835</v>
      </c>
      <c r="R489">
        <f t="shared" si="616"/>
        <v>1529607.7463553988</v>
      </c>
      <c r="S489">
        <f t="shared" si="617"/>
        <v>19976.671533980138</v>
      </c>
      <c r="T489">
        <f t="shared" si="600"/>
        <v>1554717.4754514403</v>
      </c>
      <c r="U489" s="22">
        <f t="shared" si="651"/>
        <v>19974.015897984766</v>
      </c>
      <c r="V489" s="1">
        <f t="shared" si="601"/>
        <v>0</v>
      </c>
      <c r="W489" s="1">
        <f t="shared" si="602"/>
        <v>0</v>
      </c>
      <c r="X489" s="1">
        <f t="shared" si="603"/>
        <v>-195.97114774834517</v>
      </c>
      <c r="Y489" s="1">
        <f t="shared" si="618"/>
        <v>-265.56359953689054</v>
      </c>
      <c r="Z489" s="1">
        <f t="shared" si="604"/>
        <v>-461.53474728523571</v>
      </c>
      <c r="AA489" s="1">
        <f t="shared" si="605"/>
        <v>-25109.729096041527</v>
      </c>
      <c r="AB489" s="1">
        <f t="shared" si="653"/>
        <v>85227.142983915837</v>
      </c>
      <c r="AC489" s="1">
        <f t="shared" si="607"/>
        <v>59655.879140589073</v>
      </c>
      <c r="AD489" s="1">
        <f t="shared" si="608"/>
        <v>2.6556359953719948</v>
      </c>
      <c r="AE489">
        <f t="shared" si="609"/>
        <v>59658.534776584449</v>
      </c>
      <c r="AG489" s="19">
        <v>45</v>
      </c>
      <c r="AH489" s="19">
        <f t="shared" ref="AH489:AK489" si="668">AH402</f>
        <v>0.29916526055995568</v>
      </c>
      <c r="AI489" s="19">
        <f t="shared" si="668"/>
        <v>3.9770090485571764E-2</v>
      </c>
      <c r="AJ489" s="19">
        <f t="shared" si="668"/>
        <v>778.37</v>
      </c>
      <c r="AK489" s="19">
        <f t="shared" si="668"/>
        <v>715.25400000000002</v>
      </c>
    </row>
    <row r="490" spans="5:37">
      <c r="E490">
        <v>46</v>
      </c>
      <c r="F490" s="13"/>
      <c r="G490" s="13">
        <f t="shared" si="655"/>
        <v>0</v>
      </c>
      <c r="H490" s="13">
        <f t="shared" si="656"/>
        <v>196.20000000000002</v>
      </c>
      <c r="I490" s="13">
        <f t="shared" si="613"/>
        <v>2000000</v>
      </c>
      <c r="J490" s="13">
        <f t="shared" si="595"/>
        <v>729.59299999999996</v>
      </c>
      <c r="K490" s="5">
        <f t="shared" si="596"/>
        <v>790.197</v>
      </c>
      <c r="L490" s="21">
        <f t="shared" si="597"/>
        <v>1459186</v>
      </c>
      <c r="M490">
        <f t="shared" si="598"/>
        <v>1580394</v>
      </c>
      <c r="N490">
        <f t="shared" si="614"/>
        <v>0.14687575083999999</v>
      </c>
      <c r="O490">
        <f t="shared" si="615"/>
        <v>0.99870079489923835</v>
      </c>
      <c r="P490">
        <f t="shared" si="638"/>
        <v>1.4668492911533047E-4</v>
      </c>
      <c r="Q490">
        <f t="shared" si="639"/>
        <v>0.99855410997012306</v>
      </c>
      <c r="R490">
        <f t="shared" si="616"/>
        <v>1554717.4754514403</v>
      </c>
      <c r="S490">
        <f t="shared" si="617"/>
        <v>19974.015897984766</v>
      </c>
      <c r="T490">
        <f t="shared" si="600"/>
        <v>1578108.9240721227</v>
      </c>
      <c r="U490" s="22">
        <f t="shared" si="651"/>
        <v>19971.082199402463</v>
      </c>
      <c r="V490" s="1">
        <f t="shared" si="601"/>
        <v>0</v>
      </c>
      <c r="W490" s="1">
        <f t="shared" si="602"/>
        <v>0</v>
      </c>
      <c r="X490" s="1">
        <f t="shared" si="603"/>
        <v>-195.94509595923057</v>
      </c>
      <c r="Y490" s="1">
        <f t="shared" si="618"/>
        <v>-293.36985823066095</v>
      </c>
      <c r="Z490" s="1">
        <f t="shared" si="604"/>
        <v>-489.31495418989152</v>
      </c>
      <c r="AA490" s="1">
        <f t="shared" si="605"/>
        <v>-23391.448620682349</v>
      </c>
      <c r="AB490" s="1">
        <f t="shared" si="653"/>
        <v>86608.032024218381</v>
      </c>
      <c r="AC490" s="1">
        <f t="shared" si="607"/>
        <v>62727.268449346142</v>
      </c>
      <c r="AD490" s="1">
        <f t="shared" si="608"/>
        <v>2.9336985823028954</v>
      </c>
      <c r="AE490">
        <f t="shared" si="609"/>
        <v>62730.202147928445</v>
      </c>
      <c r="AG490" s="19">
        <v>46</v>
      </c>
      <c r="AH490" s="19">
        <f t="shared" ref="AH490:AK490" si="669">AH403</f>
        <v>0.2593951700743839</v>
      </c>
      <c r="AI490" s="19">
        <f t="shared" si="669"/>
        <v>3.809886036894463E-2</v>
      </c>
      <c r="AJ490" s="19">
        <f t="shared" si="669"/>
        <v>790.197</v>
      </c>
      <c r="AK490" s="19">
        <f t="shared" si="669"/>
        <v>729.59299999999996</v>
      </c>
    </row>
    <row r="491" spans="5:37">
      <c r="E491">
        <v>47</v>
      </c>
      <c r="F491" s="13"/>
      <c r="G491" s="13">
        <f t="shared" si="655"/>
        <v>0</v>
      </c>
      <c r="H491" s="13">
        <f t="shared" si="656"/>
        <v>196.20000000000002</v>
      </c>
      <c r="I491" s="13">
        <f t="shared" si="613"/>
        <v>2000000</v>
      </c>
      <c r="J491" s="13">
        <f t="shared" si="595"/>
        <v>743.24300000000005</v>
      </c>
      <c r="K491" s="5">
        <f t="shared" si="596"/>
        <v>801.39300000000003</v>
      </c>
      <c r="L491" s="21">
        <f t="shared" si="597"/>
        <v>1486486</v>
      </c>
      <c r="M491">
        <f t="shared" si="598"/>
        <v>1602786</v>
      </c>
      <c r="N491">
        <f t="shared" si="614"/>
        <v>0.16071961724</v>
      </c>
      <c r="O491">
        <f t="shared" si="615"/>
        <v>0.99855410997012306</v>
      </c>
      <c r="P491">
        <f t="shared" si="638"/>
        <v>1.6048723434782704E-4</v>
      </c>
      <c r="Q491">
        <f t="shared" si="639"/>
        <v>0.99839362273577525</v>
      </c>
      <c r="R491">
        <f t="shared" si="616"/>
        <v>1578108.9240721227</v>
      </c>
      <c r="S491">
        <f t="shared" si="617"/>
        <v>19971.082199402463</v>
      </c>
      <c r="T491">
        <f t="shared" si="600"/>
        <v>1600211.3210101824</v>
      </c>
      <c r="U491" s="22">
        <f t="shared" si="651"/>
        <v>19967.872454715503</v>
      </c>
      <c r="V491" s="1">
        <f t="shared" si="601"/>
        <v>0</v>
      </c>
      <c r="W491" s="1">
        <f t="shared" si="602"/>
        <v>0</v>
      </c>
      <c r="X491" s="1">
        <f t="shared" si="603"/>
        <v>-195.91631637613816</v>
      </c>
      <c r="Y491" s="1">
        <f t="shared" si="618"/>
        <v>-320.97446869565408</v>
      </c>
      <c r="Z491" s="1">
        <f t="shared" si="604"/>
        <v>-516.89078507179227</v>
      </c>
      <c r="AA491" s="1">
        <f t="shared" si="605"/>
        <v>-22102.396938059712</v>
      </c>
      <c r="AB491" s="1">
        <f t="shared" si="653"/>
        <v>87894.400344933878</v>
      </c>
      <c r="AC491" s="1">
        <f t="shared" si="607"/>
        <v>65275.112621802371</v>
      </c>
      <c r="AD491" s="1">
        <f t="shared" si="608"/>
        <v>3.2097446869593114</v>
      </c>
      <c r="AE491">
        <f t="shared" si="609"/>
        <v>65278.32236648933</v>
      </c>
      <c r="AG491" s="19">
        <v>47</v>
      </c>
      <c r="AH491" s="19">
        <f t="shared" ref="AH491:AK491" si="670">AH404</f>
        <v>0.22129630970543926</v>
      </c>
      <c r="AI491" s="19">
        <f t="shared" si="670"/>
        <v>3.5566658192482697E-2</v>
      </c>
      <c r="AJ491" s="19">
        <f t="shared" si="670"/>
        <v>801.39300000000003</v>
      </c>
      <c r="AK491" s="19">
        <f t="shared" si="670"/>
        <v>743.24300000000005</v>
      </c>
    </row>
    <row r="492" spans="5:37">
      <c r="E492">
        <v>48</v>
      </c>
      <c r="F492" s="13"/>
      <c r="G492" s="13">
        <f t="shared" si="655"/>
        <v>0</v>
      </c>
      <c r="H492" s="13">
        <f t="shared" si="656"/>
        <v>196.20000000000002</v>
      </c>
      <c r="I492" s="13">
        <f t="shared" si="613"/>
        <v>2000000</v>
      </c>
      <c r="J492" s="13">
        <f t="shared" si="595"/>
        <v>756.13800000000003</v>
      </c>
      <c r="K492" s="5">
        <f t="shared" si="596"/>
        <v>811.91499999999996</v>
      </c>
      <c r="L492" s="21">
        <f t="shared" si="597"/>
        <v>1512276</v>
      </c>
      <c r="M492">
        <f t="shared" si="598"/>
        <v>1623830</v>
      </c>
      <c r="N492">
        <f t="shared" si="614"/>
        <v>0.17567064424000001</v>
      </c>
      <c r="O492">
        <f t="shared" si="615"/>
        <v>0.99839362273577525</v>
      </c>
      <c r="P492">
        <f t="shared" si="638"/>
        <v>1.7538845091110116E-4</v>
      </c>
      <c r="Q492">
        <f t="shared" si="639"/>
        <v>0.99821823428486411</v>
      </c>
      <c r="R492">
        <f t="shared" si="616"/>
        <v>1600211.3210101824</v>
      </c>
      <c r="S492">
        <f t="shared" si="617"/>
        <v>19967.872454715503</v>
      </c>
      <c r="T492">
        <f t="shared" si="600"/>
        <v>1620936.7153787909</v>
      </c>
      <c r="U492" s="22">
        <f t="shared" si="651"/>
        <v>19964.364685697281</v>
      </c>
      <c r="V492" s="1">
        <f t="shared" si="601"/>
        <v>0</v>
      </c>
      <c r="W492" s="1">
        <f t="shared" si="602"/>
        <v>0</v>
      </c>
      <c r="X492" s="1">
        <f t="shared" si="603"/>
        <v>-195.88482878075914</v>
      </c>
      <c r="Y492" s="1">
        <f t="shared" si="618"/>
        <v>-350.77690182220232</v>
      </c>
      <c r="Z492" s="1">
        <f t="shared" si="604"/>
        <v>-546.66173060296148</v>
      </c>
      <c r="AA492" s="1">
        <f t="shared" si="605"/>
        <v>-20725.394368608482</v>
      </c>
      <c r="AB492" s="1">
        <f t="shared" si="653"/>
        <v>89109.855640569382</v>
      </c>
      <c r="AC492" s="1">
        <f t="shared" si="607"/>
        <v>67837.799541357934</v>
      </c>
      <c r="AD492" s="1">
        <f t="shared" si="608"/>
        <v>3.5077690182224615</v>
      </c>
      <c r="AE492">
        <f t="shared" si="609"/>
        <v>67841.307310376156</v>
      </c>
      <c r="AG492" s="19">
        <v>48</v>
      </c>
      <c r="AH492" s="19">
        <f t="shared" ref="AH492:AK492" si="671">AH405</f>
        <v>0.18572965151295656</v>
      </c>
      <c r="AI492" s="19">
        <f t="shared" si="671"/>
        <v>3.2627247535751774E-2</v>
      </c>
      <c r="AJ492" s="19">
        <f t="shared" si="671"/>
        <v>811.91499999999996</v>
      </c>
      <c r="AK492" s="19">
        <f t="shared" si="671"/>
        <v>756.13800000000003</v>
      </c>
    </row>
    <row r="493" spans="5:37">
      <c r="E493">
        <v>49</v>
      </c>
      <c r="F493" s="13"/>
      <c r="G493" s="13">
        <f t="shared" si="655"/>
        <v>0</v>
      </c>
      <c r="H493" s="13">
        <f t="shared" si="656"/>
        <v>196.20000000000002</v>
      </c>
      <c r="I493" s="13">
        <f t="shared" si="613"/>
        <v>2000000</v>
      </c>
      <c r="J493" s="13">
        <f t="shared" si="595"/>
        <v>768.31600000000003</v>
      </c>
      <c r="K493" s="5">
        <f t="shared" si="596"/>
        <v>821.80399999999997</v>
      </c>
      <c r="L493" s="21">
        <f t="shared" si="597"/>
        <v>1536632</v>
      </c>
      <c r="M493">
        <f t="shared" si="598"/>
        <v>1643608</v>
      </c>
      <c r="N493">
        <f t="shared" si="614"/>
        <v>0.19133653084000002</v>
      </c>
      <c r="O493">
        <f t="shared" si="615"/>
        <v>0.99821823428486411</v>
      </c>
      <c r="P493">
        <f t="shared" si="638"/>
        <v>1.9099561396929626E-4</v>
      </c>
      <c r="Q493">
        <f t="shared" si="639"/>
        <v>0.99802723867089482</v>
      </c>
      <c r="R493">
        <f t="shared" si="616"/>
        <v>1620936.7153787909</v>
      </c>
      <c r="S493">
        <f t="shared" si="617"/>
        <v>19964.364685697281</v>
      </c>
      <c r="T493">
        <f t="shared" si="600"/>
        <v>1640365.5536973921</v>
      </c>
      <c r="U493" s="22">
        <f t="shared" si="651"/>
        <v>19960.544773417896</v>
      </c>
      <c r="V493" s="1">
        <f t="shared" si="601"/>
        <v>0</v>
      </c>
      <c r="W493" s="1">
        <f t="shared" si="602"/>
        <v>0</v>
      </c>
      <c r="X493" s="1">
        <f t="shared" si="603"/>
        <v>-195.85041756669037</v>
      </c>
      <c r="Y493" s="1">
        <f t="shared" si="618"/>
        <v>-381.99122793859254</v>
      </c>
      <c r="Z493" s="1">
        <f t="shared" si="604"/>
        <v>-577.84164550528294</v>
      </c>
      <c r="AA493" s="1">
        <f t="shared" si="605"/>
        <v>-19428.838318601251</v>
      </c>
      <c r="AB493" s="1">
        <f t="shared" si="653"/>
        <v>90249.559403546853</v>
      </c>
      <c r="AC493" s="1">
        <f t="shared" si="607"/>
        <v>70242.879439440323</v>
      </c>
      <c r="AD493" s="1">
        <f t="shared" si="608"/>
        <v>3.8199122793848801</v>
      </c>
      <c r="AE493">
        <f t="shared" si="609"/>
        <v>70246.699351719712</v>
      </c>
      <c r="AG493" s="19">
        <v>49</v>
      </c>
      <c r="AH493" s="19">
        <f t="shared" ref="AH493:AK493" si="672">AH406</f>
        <v>0.15310240397720479</v>
      </c>
      <c r="AI493" s="19">
        <f t="shared" si="672"/>
        <v>2.9294082840262584E-2</v>
      </c>
      <c r="AJ493" s="19">
        <f t="shared" si="672"/>
        <v>821.80399999999997</v>
      </c>
      <c r="AK493" s="19">
        <f t="shared" si="672"/>
        <v>768.31600000000003</v>
      </c>
    </row>
    <row r="494" spans="5:37">
      <c r="E494">
        <v>50</v>
      </c>
      <c r="F494" s="13"/>
      <c r="G494" s="13">
        <f t="shared" si="655"/>
        <v>0</v>
      </c>
      <c r="H494" s="13">
        <f t="shared" si="656"/>
        <v>196.20000000000002</v>
      </c>
      <c r="I494" s="13">
        <f t="shared" si="613"/>
        <v>2000000</v>
      </c>
      <c r="J494" s="13">
        <f t="shared" si="595"/>
        <v>779.87400000000002</v>
      </c>
      <c r="K494" s="5">
        <f t="shared" si="596"/>
        <v>831.14099999999996</v>
      </c>
      <c r="L494" s="21">
        <f t="shared" si="597"/>
        <v>1559748</v>
      </c>
      <c r="M494">
        <f t="shared" si="598"/>
        <v>1662282</v>
      </c>
      <c r="N494">
        <f t="shared" si="614"/>
        <v>0.20752287010000001</v>
      </c>
      <c r="O494">
        <f t="shared" si="615"/>
        <v>0.99802723867089482</v>
      </c>
      <c r="P494">
        <f t="shared" si="638"/>
        <v>2.0711347700696182E-4</v>
      </c>
      <c r="Q494">
        <f t="shared" si="639"/>
        <v>0.99782012519388785</v>
      </c>
      <c r="R494">
        <f t="shared" si="616"/>
        <v>1640365.5536973921</v>
      </c>
      <c r="S494">
        <f t="shared" si="617"/>
        <v>19960.544773417896</v>
      </c>
      <c r="T494">
        <f t="shared" si="600"/>
        <v>1658658.4333475463</v>
      </c>
      <c r="U494" s="22">
        <f t="shared" si="651"/>
        <v>19956.402503877758</v>
      </c>
      <c r="V494" s="1">
        <f t="shared" si="601"/>
        <v>0</v>
      </c>
      <c r="W494" s="1">
        <f t="shared" si="602"/>
        <v>0</v>
      </c>
      <c r="X494" s="1">
        <f t="shared" si="603"/>
        <v>-195.81294422722959</v>
      </c>
      <c r="Y494" s="1">
        <f t="shared" si="618"/>
        <v>-414.22695401392366</v>
      </c>
      <c r="Z494" s="1">
        <f t="shared" si="604"/>
        <v>-610.0398982411532</v>
      </c>
      <c r="AA494" s="1">
        <f t="shared" si="605"/>
        <v>-18292.879650154151</v>
      </c>
      <c r="AB494" s="1">
        <f t="shared" si="653"/>
        <v>91317.93541589455</v>
      </c>
      <c r="AC494" s="1">
        <f t="shared" si="607"/>
        <v>72415.015867499242</v>
      </c>
      <c r="AD494" s="1">
        <f t="shared" si="608"/>
        <v>4.1422695401379315</v>
      </c>
      <c r="AE494">
        <f t="shared" si="609"/>
        <v>72419.158137039383</v>
      </c>
      <c r="AG494" s="19">
        <v>50</v>
      </c>
      <c r="AH494" s="19">
        <f t="shared" ref="AH494:AK494" si="673">AH407</f>
        <v>0.12380832113694221</v>
      </c>
      <c r="AI494" s="19">
        <f t="shared" si="673"/>
        <v>2.5693058144600742E-2</v>
      </c>
      <c r="AJ494" s="19">
        <f t="shared" si="673"/>
        <v>831.14099999999996</v>
      </c>
      <c r="AK494" s="19">
        <f t="shared" si="673"/>
        <v>779.87400000000002</v>
      </c>
    </row>
    <row r="495" spans="5:37">
      <c r="E495">
        <v>51</v>
      </c>
      <c r="F495" s="13"/>
      <c r="G495" s="13">
        <f t="shared" si="655"/>
        <v>0</v>
      </c>
      <c r="H495" s="13">
        <f t="shared" si="656"/>
        <v>196.20000000000002</v>
      </c>
      <c r="I495" s="13">
        <f t="shared" si="613"/>
        <v>2000000</v>
      </c>
      <c r="J495" s="13">
        <f t="shared" si="595"/>
        <v>790.74800000000005</v>
      </c>
      <c r="K495" s="5">
        <f t="shared" si="596"/>
        <v>839.88699999999994</v>
      </c>
      <c r="L495" s="21">
        <f t="shared" si="597"/>
        <v>1581496</v>
      </c>
      <c r="M495">
        <f t="shared" si="598"/>
        <v>1679774</v>
      </c>
      <c r="N495">
        <f t="shared" si="614"/>
        <v>0.22489047126</v>
      </c>
      <c r="O495">
        <f t="shared" si="615"/>
        <v>0.99782012519388785</v>
      </c>
      <c r="P495">
        <f t="shared" si="638"/>
        <v>2.2440023818756562E-4</v>
      </c>
      <c r="Q495">
        <f t="shared" si="639"/>
        <v>0.99759572495570026</v>
      </c>
      <c r="R495">
        <f t="shared" si="616"/>
        <v>1658658.4333475463</v>
      </c>
      <c r="S495">
        <f t="shared" si="617"/>
        <v>19956.402503877758</v>
      </c>
      <c r="T495">
        <f t="shared" si="600"/>
        <v>1675735.3612917364</v>
      </c>
      <c r="U495" s="22">
        <f t="shared" si="651"/>
        <v>19951.914499114006</v>
      </c>
      <c r="V495" s="1">
        <f t="shared" si="601"/>
        <v>0</v>
      </c>
      <c r="W495" s="1">
        <f t="shared" si="602"/>
        <v>0</v>
      </c>
      <c r="X495" s="1">
        <f t="shared" si="603"/>
        <v>-195.77230856304081</v>
      </c>
      <c r="Y495" s="1">
        <f t="shared" si="618"/>
        <v>-448.80047637513127</v>
      </c>
      <c r="Z495" s="1">
        <f t="shared" si="604"/>
        <v>-644.57278493817205</v>
      </c>
      <c r="AA495" s="1">
        <f t="shared" si="605"/>
        <v>-17076.927944190102</v>
      </c>
      <c r="AB495" s="1">
        <f t="shared" si="653"/>
        <v>92323.815971828313</v>
      </c>
      <c r="AC495" s="1">
        <f t="shared" si="607"/>
        <v>74602.315242700046</v>
      </c>
      <c r="AD495" s="1">
        <f t="shared" si="608"/>
        <v>4.4880047637525422</v>
      </c>
      <c r="AE495">
        <f t="shared" si="609"/>
        <v>74606.803247463802</v>
      </c>
      <c r="AG495" s="19">
        <v>51</v>
      </c>
      <c r="AH495" s="19">
        <f t="shared" ref="AH495:AK495" si="674">AH408</f>
        <v>9.8115262992341468E-2</v>
      </c>
      <c r="AI495" s="19">
        <f t="shared" si="674"/>
        <v>2.206518773214651E-2</v>
      </c>
      <c r="AJ495" s="19">
        <f t="shared" si="674"/>
        <v>839.88699999999994</v>
      </c>
      <c r="AK495" s="19">
        <f t="shared" si="674"/>
        <v>790.74800000000005</v>
      </c>
    </row>
    <row r="496" spans="5:37">
      <c r="E496">
        <v>52</v>
      </c>
      <c r="F496" s="13"/>
      <c r="G496" s="13">
        <f t="shared" si="655"/>
        <v>0</v>
      </c>
      <c r="H496" s="13">
        <f t="shared" si="656"/>
        <v>196.20000000000002</v>
      </c>
      <c r="I496" s="13">
        <f t="shared" si="613"/>
        <v>2000000</v>
      </c>
      <c r="J496" s="13">
        <f t="shared" si="595"/>
        <v>801.03300000000002</v>
      </c>
      <c r="K496" s="5">
        <f t="shared" si="596"/>
        <v>848.12099999999998</v>
      </c>
      <c r="L496" s="21">
        <f t="shared" si="597"/>
        <v>1602066</v>
      </c>
      <c r="M496">
        <f t="shared" si="598"/>
        <v>1696242</v>
      </c>
      <c r="N496">
        <f t="shared" si="614"/>
        <v>0.2427514999</v>
      </c>
      <c r="O496">
        <f t="shared" si="615"/>
        <v>0.99759572495570026</v>
      </c>
      <c r="P496">
        <f t="shared" si="638"/>
        <v>2.421678585268241E-4</v>
      </c>
      <c r="Q496">
        <f t="shared" si="639"/>
        <v>0.99735355709717344</v>
      </c>
      <c r="R496">
        <f t="shared" si="616"/>
        <v>1675735.3612917364</v>
      </c>
      <c r="S496">
        <f t="shared" si="617"/>
        <v>19951.914499114006</v>
      </c>
      <c r="T496">
        <f t="shared" si="600"/>
        <v>1691752.9923976236</v>
      </c>
      <c r="U496" s="22">
        <f t="shared" si="651"/>
        <v>19947.07114194347</v>
      </c>
      <c r="V496" s="1">
        <f t="shared" si="601"/>
        <v>0</v>
      </c>
      <c r="W496" s="1">
        <f t="shared" si="602"/>
        <v>0</v>
      </c>
      <c r="X496" s="1">
        <f t="shared" si="603"/>
        <v>-195.72828123630842</v>
      </c>
      <c r="Y496" s="1">
        <f t="shared" si="618"/>
        <v>-484.33571705364818</v>
      </c>
      <c r="Z496" s="1">
        <f t="shared" si="604"/>
        <v>-680.06399828995654</v>
      </c>
      <c r="AA496" s="1">
        <f t="shared" si="605"/>
        <v>-16017.631105887238</v>
      </c>
      <c r="AB496" s="1">
        <f t="shared" si="653"/>
        <v>93262.800168496775</v>
      </c>
      <c r="AC496" s="1">
        <f t="shared" si="607"/>
        <v>76565.105064319578</v>
      </c>
      <c r="AD496" s="1">
        <f t="shared" si="608"/>
        <v>4.8433571705354552</v>
      </c>
      <c r="AE496">
        <f t="shared" si="609"/>
        <v>76569.948421490117</v>
      </c>
      <c r="AG496" s="19">
        <v>52</v>
      </c>
      <c r="AH496" s="19">
        <f t="shared" ref="AH496:AK496" si="675">AH409</f>
        <v>7.6050075260194958E-2</v>
      </c>
      <c r="AI496" s="19">
        <f t="shared" si="675"/>
        <v>1.8461269836920209E-2</v>
      </c>
      <c r="AJ496" s="19">
        <f t="shared" si="675"/>
        <v>848.12099999999998</v>
      </c>
      <c r="AK496" s="19">
        <f t="shared" si="675"/>
        <v>801.03300000000002</v>
      </c>
    </row>
    <row r="497" spans="5:37">
      <c r="E497">
        <v>53</v>
      </c>
      <c r="F497" s="13"/>
      <c r="G497" s="13">
        <f t="shared" si="655"/>
        <v>0</v>
      </c>
      <c r="H497" s="13">
        <f t="shared" si="656"/>
        <v>196.20000000000002</v>
      </c>
      <c r="I497" s="13">
        <f t="shared" si="613"/>
        <v>2000000</v>
      </c>
      <c r="J497" s="13">
        <f t="shared" si="595"/>
        <v>810.702</v>
      </c>
      <c r="K497" s="5">
        <f t="shared" si="596"/>
        <v>855.82799999999997</v>
      </c>
      <c r="L497" s="21">
        <f t="shared" si="597"/>
        <v>1621404</v>
      </c>
      <c r="M497">
        <f t="shared" si="598"/>
        <v>1711656</v>
      </c>
      <c r="N497">
        <f t="shared" si="614"/>
        <v>0.26166912590000002</v>
      </c>
      <c r="O497">
        <f t="shared" si="615"/>
        <v>0.99735355709717344</v>
      </c>
      <c r="P497">
        <f t="shared" si="638"/>
        <v>2.609766334988731E-4</v>
      </c>
      <c r="Q497">
        <f t="shared" si="639"/>
        <v>0.99709258046367455</v>
      </c>
      <c r="R497">
        <f t="shared" si="616"/>
        <v>1691752.9923976236</v>
      </c>
      <c r="S497">
        <f t="shared" si="617"/>
        <v>19947.07114194347</v>
      </c>
      <c r="T497">
        <f t="shared" si="600"/>
        <v>1706679.4979061314</v>
      </c>
      <c r="U497" s="22">
        <f t="shared" si="651"/>
        <v>19941.85160927349</v>
      </c>
      <c r="V497" s="1">
        <f t="shared" si="601"/>
        <v>0</v>
      </c>
      <c r="W497" s="1">
        <f t="shared" si="602"/>
        <v>0</v>
      </c>
      <c r="X497" s="1">
        <f t="shared" si="603"/>
        <v>-195.68076790246545</v>
      </c>
      <c r="Y497" s="1">
        <f t="shared" si="618"/>
        <v>-521.95326699774625</v>
      </c>
      <c r="Z497" s="1">
        <f t="shared" si="604"/>
        <v>-717.63403490021165</v>
      </c>
      <c r="AA497" s="1">
        <f t="shared" si="605"/>
        <v>-14926.505508507835</v>
      </c>
      <c r="AB497" s="1">
        <f t="shared" si="653"/>
        <v>94143.503494676188</v>
      </c>
      <c r="AC497" s="1">
        <f t="shared" si="607"/>
        <v>78499.36395126814</v>
      </c>
      <c r="AD497" s="1">
        <f t="shared" si="608"/>
        <v>5.2195326699802536</v>
      </c>
      <c r="AE497">
        <f t="shared" si="609"/>
        <v>78504.583483938128</v>
      </c>
      <c r="AG497" s="19">
        <v>53</v>
      </c>
      <c r="AH497" s="19">
        <f t="shared" ref="AH497:AK497" si="676">AH410</f>
        <v>5.7588805423274748E-2</v>
      </c>
      <c r="AI497" s="19">
        <f t="shared" si="676"/>
        <v>1.5069212376733485E-2</v>
      </c>
      <c r="AJ497" s="19">
        <f t="shared" si="676"/>
        <v>855.82799999999997</v>
      </c>
      <c r="AK497" s="19">
        <f t="shared" si="676"/>
        <v>810.702</v>
      </c>
    </row>
    <row r="498" spans="5:37">
      <c r="E498">
        <v>54</v>
      </c>
      <c r="F498" s="13"/>
      <c r="G498" s="13">
        <f t="shared" si="655"/>
        <v>0</v>
      </c>
      <c r="H498" s="13">
        <f t="shared" si="656"/>
        <v>196.20000000000002</v>
      </c>
      <c r="I498" s="13">
        <f t="shared" si="613"/>
        <v>2000000</v>
      </c>
      <c r="J498" s="13">
        <f t="shared" si="595"/>
        <v>819.69200000000001</v>
      </c>
      <c r="K498" s="5">
        <f t="shared" si="596"/>
        <v>862.96699999999998</v>
      </c>
      <c r="L498" s="21">
        <f t="shared" si="597"/>
        <v>1639384</v>
      </c>
      <c r="M498">
        <f t="shared" si="598"/>
        <v>1725934</v>
      </c>
      <c r="N498">
        <f t="shared" si="614"/>
        <v>0.28169565606000002</v>
      </c>
      <c r="O498">
        <f t="shared" si="615"/>
        <v>0.99709258046367455</v>
      </c>
      <c r="P498">
        <f t="shared" si="638"/>
        <v>2.8087664860627313E-4</v>
      </c>
      <c r="Q498">
        <f t="shared" si="639"/>
        <v>0.99681170381506823</v>
      </c>
      <c r="R498">
        <f t="shared" si="616"/>
        <v>1706679.4979061314</v>
      </c>
      <c r="S498">
        <f t="shared" si="617"/>
        <v>19941.85160927349</v>
      </c>
      <c r="T498">
        <f t="shared" si="600"/>
        <v>1720431.2112123559</v>
      </c>
      <c r="U498" s="22">
        <f t="shared" si="651"/>
        <v>19936.234076301364</v>
      </c>
      <c r="V498" s="1">
        <f t="shared" si="601"/>
        <v>0</v>
      </c>
      <c r="W498" s="1">
        <f t="shared" si="602"/>
        <v>0</v>
      </c>
      <c r="X498" s="1">
        <f t="shared" si="603"/>
        <v>-195.62956428697296</v>
      </c>
      <c r="Y498" s="1">
        <f t="shared" si="618"/>
        <v>-561.75329721254627</v>
      </c>
      <c r="Z498" s="1">
        <f t="shared" si="604"/>
        <v>-757.38286149951921</v>
      </c>
      <c r="AA498" s="1">
        <f t="shared" si="605"/>
        <v>-13751.713306224439</v>
      </c>
      <c r="AB498" s="1">
        <f t="shared" si="653"/>
        <v>94964.174223347276</v>
      </c>
      <c r="AC498" s="1">
        <f t="shared" si="607"/>
        <v>80455.078055623322</v>
      </c>
      <c r="AD498" s="1">
        <f t="shared" si="608"/>
        <v>5.6175329721263552</v>
      </c>
      <c r="AE498">
        <f t="shared" si="609"/>
        <v>80460.695588595452</v>
      </c>
      <c r="AG498" s="19">
        <v>54</v>
      </c>
      <c r="AH498" s="19">
        <f t="shared" ref="AH498:AK498" si="677">AH411</f>
        <v>4.2519593046541265E-2</v>
      </c>
      <c r="AI498" s="19">
        <f t="shared" si="677"/>
        <v>1.1977584658649657E-2</v>
      </c>
      <c r="AJ498" s="19">
        <f t="shared" si="677"/>
        <v>862.96699999999998</v>
      </c>
      <c r="AK498" s="19">
        <f t="shared" si="677"/>
        <v>819.69200000000001</v>
      </c>
    </row>
    <row r="499" spans="5:37">
      <c r="E499">
        <v>55</v>
      </c>
      <c r="F499" s="13"/>
      <c r="G499" s="13">
        <f t="shared" si="655"/>
        <v>0</v>
      </c>
      <c r="H499" s="13">
        <f t="shared" si="656"/>
        <v>196.20000000000002</v>
      </c>
      <c r="I499" s="13">
        <f t="shared" si="613"/>
        <v>2000000</v>
      </c>
      <c r="J499" s="13">
        <f t="shared" si="595"/>
        <v>828.077</v>
      </c>
      <c r="K499" s="5">
        <f t="shared" si="596"/>
        <v>869.6</v>
      </c>
      <c r="L499" s="21">
        <f t="shared" si="597"/>
        <v>1656154</v>
      </c>
      <c r="M499">
        <f t="shared" si="598"/>
        <v>1739200</v>
      </c>
      <c r="N499">
        <f t="shared" si="614"/>
        <v>0.30209182094000003</v>
      </c>
      <c r="O499">
        <f t="shared" si="615"/>
        <v>0.99681170381506823</v>
      </c>
      <c r="P499">
        <f t="shared" si="638"/>
        <v>3.0112866273979794E-4</v>
      </c>
      <c r="Q499">
        <f t="shared" si="639"/>
        <v>0.99651057515232844</v>
      </c>
      <c r="R499">
        <f t="shared" si="616"/>
        <v>1720431.2112123559</v>
      </c>
      <c r="S499">
        <f t="shared" si="617"/>
        <v>19936.234076301364</v>
      </c>
      <c r="T499">
        <f t="shared" si="600"/>
        <v>1733131.1923049297</v>
      </c>
      <c r="U499" s="22">
        <f t="shared" si="651"/>
        <v>19930.211503046568</v>
      </c>
      <c r="V499" s="1">
        <f t="shared" si="601"/>
        <v>0</v>
      </c>
      <c r="W499" s="1">
        <f t="shared" si="602"/>
        <v>0</v>
      </c>
      <c r="X499" s="1">
        <f t="shared" si="603"/>
        <v>-195.57445628851642</v>
      </c>
      <c r="Y499" s="1">
        <f t="shared" si="618"/>
        <v>-602.25732547959592</v>
      </c>
      <c r="Z499" s="1">
        <f t="shared" si="604"/>
        <v>-797.83178176811236</v>
      </c>
      <c r="AA499" s="1">
        <f t="shared" si="605"/>
        <v>-12699.981092573842</v>
      </c>
      <c r="AB499" s="1">
        <f t="shared" si="653"/>
        <v>95720.20949087615</v>
      </c>
      <c r="AC499" s="1">
        <f t="shared" si="607"/>
        <v>82222.396616534199</v>
      </c>
      <c r="AD499" s="1">
        <f t="shared" si="608"/>
        <v>6.0225732547951338</v>
      </c>
      <c r="AE499">
        <f t="shared" si="609"/>
        <v>82228.419189788998</v>
      </c>
      <c r="AG499" s="19">
        <v>55</v>
      </c>
      <c r="AH499" s="19">
        <f t="shared" ref="AH499:AK499" si="678">AH412</f>
        <v>3.054200838789161E-2</v>
      </c>
      <c r="AI499" s="19">
        <f t="shared" si="678"/>
        <v>9.2264909290629311E-3</v>
      </c>
      <c r="AJ499" s="19">
        <f t="shared" si="678"/>
        <v>869.6</v>
      </c>
      <c r="AK499" s="19">
        <f t="shared" si="678"/>
        <v>828.077</v>
      </c>
    </row>
    <row r="500" spans="5:37">
      <c r="E500">
        <v>56</v>
      </c>
      <c r="F500" s="13"/>
      <c r="G500" s="13">
        <f t="shared" si="655"/>
        <v>0</v>
      </c>
      <c r="H500" s="13">
        <f t="shared" si="656"/>
        <v>196.20000000000002</v>
      </c>
      <c r="I500" s="13">
        <f t="shared" si="613"/>
        <v>2000000</v>
      </c>
      <c r="J500" s="13">
        <f t="shared" si="595"/>
        <v>835.79700000000003</v>
      </c>
      <c r="K500" s="5">
        <f t="shared" si="596"/>
        <v>875.68799999999999</v>
      </c>
      <c r="L500" s="21">
        <f t="shared" si="597"/>
        <v>1671594</v>
      </c>
      <c r="M500">
        <f t="shared" si="598"/>
        <v>1751376</v>
      </c>
      <c r="N500">
        <f t="shared" si="614"/>
        <v>0.32340684194000002</v>
      </c>
      <c r="O500">
        <f t="shared" si="615"/>
        <v>0.99651057515232844</v>
      </c>
      <c r="P500">
        <f t="shared" si="638"/>
        <v>3.2227833806982756E-4</v>
      </c>
      <c r="Q500">
        <f t="shared" si="639"/>
        <v>0.99618829681425858</v>
      </c>
      <c r="R500">
        <f t="shared" si="616"/>
        <v>1733131.1923049297</v>
      </c>
      <c r="S500">
        <f t="shared" si="617"/>
        <v>19930.211503046568</v>
      </c>
      <c r="T500">
        <f t="shared" si="600"/>
        <v>1744700.274521369</v>
      </c>
      <c r="U500" s="22">
        <f t="shared" si="651"/>
        <v>19923.76593628517</v>
      </c>
      <c r="V500" s="1">
        <f t="shared" si="601"/>
        <v>0</v>
      </c>
      <c r="W500" s="1">
        <f t="shared" si="602"/>
        <v>0</v>
      </c>
      <c r="X500" s="1">
        <f t="shared" si="603"/>
        <v>-195.51537484488685</v>
      </c>
      <c r="Y500" s="1">
        <f t="shared" si="618"/>
        <v>-644.55667613965511</v>
      </c>
      <c r="Z500" s="1">
        <f t="shared" si="604"/>
        <v>-840.07205098454199</v>
      </c>
      <c r="AA500" s="1">
        <f t="shared" si="605"/>
        <v>-11569.082216439303</v>
      </c>
      <c r="AB500" s="1">
        <f t="shared" si="653"/>
        <v>96418.377209438695</v>
      </c>
      <c r="AC500" s="1">
        <f t="shared" si="607"/>
        <v>84009.222942014851</v>
      </c>
      <c r="AD500" s="1">
        <f t="shared" si="608"/>
        <v>6.4455667613983678</v>
      </c>
      <c r="AE500">
        <f t="shared" si="609"/>
        <v>84015.668508776245</v>
      </c>
      <c r="AG500" s="19">
        <v>56</v>
      </c>
      <c r="AH500" s="19">
        <f t="shared" ref="AH500:AK500" si="679">AH413</f>
        <v>2.1315517458828679E-2</v>
      </c>
      <c r="AI500" s="19">
        <f t="shared" si="679"/>
        <v>6.8935841856767174E-3</v>
      </c>
      <c r="AJ500" s="19">
        <f t="shared" si="679"/>
        <v>875.68799999999999</v>
      </c>
      <c r="AK500" s="19">
        <f t="shared" si="679"/>
        <v>835.79700000000003</v>
      </c>
    </row>
    <row r="501" spans="5:37">
      <c r="E501">
        <v>57</v>
      </c>
      <c r="F501" s="13"/>
      <c r="G501" s="13">
        <f t="shared" si="655"/>
        <v>0</v>
      </c>
      <c r="H501" s="13">
        <f t="shared" si="656"/>
        <v>196.20000000000002</v>
      </c>
      <c r="I501" s="13">
        <f t="shared" si="613"/>
        <v>2000000</v>
      </c>
      <c r="J501" s="13">
        <f t="shared" si="595"/>
        <v>842.90899999999999</v>
      </c>
      <c r="K501" s="5">
        <f t="shared" si="596"/>
        <v>881.28200000000004</v>
      </c>
      <c r="L501" s="21">
        <f t="shared" si="597"/>
        <v>1685818</v>
      </c>
      <c r="M501">
        <f t="shared" si="598"/>
        <v>1762564</v>
      </c>
      <c r="N501">
        <f t="shared" si="614"/>
        <v>0.34486570663999999</v>
      </c>
      <c r="O501">
        <f t="shared" si="615"/>
        <v>0.99618829681425858</v>
      </c>
      <c r="P501">
        <f t="shared" si="638"/>
        <v>3.4355118092734731E-4</v>
      </c>
      <c r="Q501">
        <f t="shared" si="639"/>
        <v>0.99584474563333125</v>
      </c>
      <c r="R501">
        <f t="shared" si="616"/>
        <v>1744700.274521369</v>
      </c>
      <c r="S501">
        <f t="shared" si="617"/>
        <v>19923.76593628517</v>
      </c>
      <c r="T501">
        <f t="shared" si="600"/>
        <v>1755240.0982424668</v>
      </c>
      <c r="U501" s="22">
        <f t="shared" si="651"/>
        <v>19916.894912666627</v>
      </c>
      <c r="V501" s="1">
        <f t="shared" si="601"/>
        <v>0</v>
      </c>
      <c r="W501" s="1">
        <f t="shared" si="602"/>
        <v>0</v>
      </c>
      <c r="X501" s="1">
        <f t="shared" si="603"/>
        <v>-195.45214383495755</v>
      </c>
      <c r="Y501" s="1">
        <f t="shared" si="618"/>
        <v>-687.10236185469466</v>
      </c>
      <c r="Z501" s="1">
        <f t="shared" si="604"/>
        <v>-882.55450568965216</v>
      </c>
      <c r="AA501" s="1">
        <f t="shared" si="605"/>
        <v>-10539.823721097782</v>
      </c>
      <c r="AB501" s="1">
        <f t="shared" si="653"/>
        <v>97054.322225170981</v>
      </c>
      <c r="AC501" s="1">
        <f t="shared" si="607"/>
        <v>85631.943998383547</v>
      </c>
      <c r="AD501" s="1">
        <f t="shared" si="608"/>
        <v>6.8710236185434042</v>
      </c>
      <c r="AE501">
        <f t="shared" si="609"/>
        <v>85638.815022002091</v>
      </c>
      <c r="AG501" s="19">
        <v>57</v>
      </c>
      <c r="AH501" s="19">
        <f t="shared" ref="AH501:AK501" si="680">AH414</f>
        <v>1.4421933273151961E-2</v>
      </c>
      <c r="AI501" s="19">
        <f t="shared" si="680"/>
        <v>4.9736302093604792E-3</v>
      </c>
      <c r="AJ501" s="19">
        <f t="shared" si="680"/>
        <v>881.28200000000004</v>
      </c>
      <c r="AK501" s="19">
        <f t="shared" si="680"/>
        <v>842.90899999999999</v>
      </c>
    </row>
    <row r="502" spans="5:37">
      <c r="E502">
        <v>58</v>
      </c>
      <c r="F502" s="13"/>
      <c r="G502" s="13">
        <f t="shared" si="655"/>
        <v>0</v>
      </c>
      <c r="H502" s="13">
        <f t="shared" si="656"/>
        <v>196.20000000000002</v>
      </c>
      <c r="I502" s="13">
        <f t="shared" si="613"/>
        <v>2000000</v>
      </c>
      <c r="J502" s="13">
        <f t="shared" si="595"/>
        <v>849.57100000000003</v>
      </c>
      <c r="K502" s="5">
        <f t="shared" si="596"/>
        <v>886.50400000000002</v>
      </c>
      <c r="L502" s="21">
        <f t="shared" si="597"/>
        <v>1699142</v>
      </c>
      <c r="M502">
        <f t="shared" si="598"/>
        <v>1773008</v>
      </c>
      <c r="N502">
        <f t="shared" si="614"/>
        <v>0.36597324400000003</v>
      </c>
      <c r="O502">
        <f t="shared" si="615"/>
        <v>0.99584474563333125</v>
      </c>
      <c r="P502">
        <f t="shared" si="638"/>
        <v>3.644525320797851E-4</v>
      </c>
      <c r="Q502">
        <f t="shared" si="639"/>
        <v>0.99548029310125141</v>
      </c>
      <c r="R502">
        <f t="shared" si="616"/>
        <v>1755240.0982424668</v>
      </c>
      <c r="S502">
        <f t="shared" si="617"/>
        <v>19916.894912666627</v>
      </c>
      <c r="T502">
        <f t="shared" si="600"/>
        <v>1764994.5235108635</v>
      </c>
      <c r="U502" s="22">
        <f t="shared" si="651"/>
        <v>19909.60586202503</v>
      </c>
      <c r="V502" s="1">
        <f t="shared" si="601"/>
        <v>0</v>
      </c>
      <c r="W502" s="1">
        <f t="shared" si="602"/>
        <v>0</v>
      </c>
      <c r="X502" s="1">
        <f t="shared" si="603"/>
        <v>-195.38473909325961</v>
      </c>
      <c r="Y502" s="1">
        <f t="shared" si="618"/>
        <v>-728.9050641595702</v>
      </c>
      <c r="Z502" s="1">
        <f t="shared" si="604"/>
        <v>-924.28980325282987</v>
      </c>
      <c r="AA502" s="1">
        <f t="shared" si="605"/>
        <v>-9754.4252683967352</v>
      </c>
      <c r="AB502" s="1">
        <f t="shared" si="653"/>
        <v>97633.634623532344</v>
      </c>
      <c r="AC502" s="1">
        <f t="shared" si="607"/>
        <v>86954.919551882776</v>
      </c>
      <c r="AD502" s="1">
        <f t="shared" si="608"/>
        <v>7.2890506415969867</v>
      </c>
      <c r="AE502">
        <f t="shared" si="609"/>
        <v>86962.208602524377</v>
      </c>
      <c r="AG502" s="19">
        <v>58</v>
      </c>
      <c r="AH502" s="19">
        <f t="shared" ref="AH502:AK502" si="681">AH415</f>
        <v>9.4483030637914807E-3</v>
      </c>
      <c r="AI502" s="19">
        <f t="shared" si="681"/>
        <v>3.4578261225509076E-3</v>
      </c>
      <c r="AJ502" s="19">
        <f t="shared" si="681"/>
        <v>886.50400000000002</v>
      </c>
      <c r="AK502" s="19">
        <f t="shared" si="681"/>
        <v>849.57100000000003</v>
      </c>
    </row>
    <row r="503" spans="5:37">
      <c r="E503">
        <v>59</v>
      </c>
      <c r="F503" s="13"/>
      <c r="G503" s="13">
        <f t="shared" si="655"/>
        <v>0</v>
      </c>
      <c r="H503" s="13">
        <f t="shared" si="656"/>
        <v>196.20000000000002</v>
      </c>
      <c r="I503" s="13">
        <f t="shared" si="613"/>
        <v>2000000</v>
      </c>
      <c r="J503" s="13">
        <f t="shared" si="595"/>
        <v>855.79200000000003</v>
      </c>
      <c r="K503" s="5">
        <f t="shared" si="596"/>
        <v>891.36800000000005</v>
      </c>
      <c r="L503" s="21">
        <f t="shared" si="597"/>
        <v>1711584</v>
      </c>
      <c r="M503">
        <f t="shared" si="598"/>
        <v>1782736</v>
      </c>
      <c r="N503">
        <f t="shared" si="614"/>
        <v>0.38758554198</v>
      </c>
      <c r="O503">
        <f t="shared" si="615"/>
        <v>0.99548029310125141</v>
      </c>
      <c r="P503">
        <f t="shared" si="638"/>
        <v>3.8583376893205776E-4</v>
      </c>
      <c r="Q503">
        <f t="shared" si="639"/>
        <v>0.99509445933231933</v>
      </c>
      <c r="R503">
        <f t="shared" si="616"/>
        <v>1764994.5235108635</v>
      </c>
      <c r="S503">
        <f t="shared" si="617"/>
        <v>19909.60586202503</v>
      </c>
      <c r="T503">
        <f t="shared" si="600"/>
        <v>1773990.7160522616</v>
      </c>
      <c r="U503" s="22">
        <f t="shared" si="651"/>
        <v>19901.889186646385</v>
      </c>
      <c r="V503" s="1">
        <f t="shared" si="601"/>
        <v>0</v>
      </c>
      <c r="W503" s="1">
        <f t="shared" si="602"/>
        <v>0</v>
      </c>
      <c r="X503" s="1">
        <f t="shared" si="603"/>
        <v>-195.31323350646554</v>
      </c>
      <c r="Y503" s="1">
        <f t="shared" si="618"/>
        <v>-771.6675378641155</v>
      </c>
      <c r="Z503" s="1">
        <f t="shared" si="604"/>
        <v>-966.98077137058101</v>
      </c>
      <c r="AA503" s="1">
        <f t="shared" si="605"/>
        <v>-8996.192541398108</v>
      </c>
      <c r="AB503" s="1">
        <f t="shared" si="653"/>
        <v>98169.727115508867</v>
      </c>
      <c r="AC503" s="1">
        <f t="shared" si="607"/>
        <v>88206.553802740178</v>
      </c>
      <c r="AD503" s="1">
        <f t="shared" si="608"/>
        <v>7.7166753786441404</v>
      </c>
      <c r="AE503">
        <f t="shared" si="609"/>
        <v>88214.270478118822</v>
      </c>
      <c r="AG503" s="19">
        <v>59</v>
      </c>
      <c r="AH503" s="19">
        <f t="shared" ref="AH503:AK503" si="682">AH416</f>
        <v>5.9904769412405731E-3</v>
      </c>
      <c r="AI503" s="19">
        <f t="shared" si="682"/>
        <v>2.3218222519894201E-3</v>
      </c>
      <c r="AJ503" s="19">
        <f t="shared" si="682"/>
        <v>891.36800000000005</v>
      </c>
      <c r="AK503" s="19">
        <f t="shared" si="682"/>
        <v>855.79200000000003</v>
      </c>
    </row>
    <row r="504" spans="5:37">
      <c r="E504">
        <v>60</v>
      </c>
      <c r="F504" s="13"/>
      <c r="G504" s="13">
        <f t="shared" si="655"/>
        <v>0</v>
      </c>
      <c r="H504" s="13">
        <f t="shared" si="656"/>
        <v>196.20000000000002</v>
      </c>
      <c r="I504" s="13">
        <f t="shared" si="613"/>
        <v>2000000</v>
      </c>
      <c r="J504" s="13">
        <f t="shared" si="595"/>
        <v>861.59</v>
      </c>
      <c r="K504" s="5">
        <f t="shared" si="596"/>
        <v>895.88800000000003</v>
      </c>
      <c r="L504" s="21">
        <f t="shared" si="597"/>
        <v>1723180</v>
      </c>
      <c r="M504">
        <f t="shared" si="598"/>
        <v>1791776</v>
      </c>
      <c r="N504">
        <f t="shared" si="614"/>
        <v>0.40957619247999999</v>
      </c>
      <c r="O504">
        <f t="shared" si="615"/>
        <v>0.99509445933231933</v>
      </c>
      <c r="P504">
        <f t="shared" si="638"/>
        <v>4.0756699981127554E-4</v>
      </c>
      <c r="Q504">
        <f t="shared" si="639"/>
        <v>0.99468689233250807</v>
      </c>
      <c r="R504">
        <f t="shared" si="616"/>
        <v>1773990.7160522616</v>
      </c>
      <c r="S504">
        <f t="shared" si="617"/>
        <v>19901.889186646385</v>
      </c>
      <c r="T504">
        <f t="shared" si="600"/>
        <v>1782256.1011959719</v>
      </c>
      <c r="U504" s="22">
        <f t="shared" si="651"/>
        <v>19893.737846650161</v>
      </c>
      <c r="V504" s="1">
        <f t="shared" si="601"/>
        <v>0</v>
      </c>
      <c r="W504" s="1">
        <f t="shared" si="602"/>
        <v>0</v>
      </c>
      <c r="X504" s="1">
        <f t="shared" si="603"/>
        <v>-195.23753292100108</v>
      </c>
      <c r="Y504" s="1">
        <f t="shared" si="618"/>
        <v>-815.13399962255107</v>
      </c>
      <c r="Z504" s="1">
        <f t="shared" si="604"/>
        <v>-1010.3715325435521</v>
      </c>
      <c r="AA504" s="1">
        <f t="shared" si="605"/>
        <v>-8265.3851437103003</v>
      </c>
      <c r="AB504" s="1">
        <f t="shared" si="653"/>
        <v>98664.093288139935</v>
      </c>
      <c r="AC504" s="1">
        <f t="shared" si="607"/>
        <v>89388.336611886087</v>
      </c>
      <c r="AD504" s="1">
        <f t="shared" si="608"/>
        <v>8.1513399962241238</v>
      </c>
      <c r="AE504">
        <f t="shared" si="609"/>
        <v>89396.487951882315</v>
      </c>
      <c r="AG504" s="19">
        <v>60</v>
      </c>
      <c r="AH504" s="19">
        <f t="shared" ref="AH504:AK504" si="683">AH417</f>
        <v>3.668654689251153E-3</v>
      </c>
      <c r="AI504" s="19">
        <f t="shared" si="683"/>
        <v>1.5025936191473848E-3</v>
      </c>
      <c r="AJ504" s="19">
        <f t="shared" si="683"/>
        <v>895.88800000000003</v>
      </c>
      <c r="AK504" s="19">
        <f t="shared" si="683"/>
        <v>861.59</v>
      </c>
    </row>
    <row r="505" spans="5:37">
      <c r="E505">
        <v>61</v>
      </c>
      <c r="F505" s="13"/>
      <c r="G505" s="13">
        <f t="shared" si="655"/>
        <v>0</v>
      </c>
      <c r="H505" s="13">
        <f t="shared" si="656"/>
        <v>196.20000000000002</v>
      </c>
      <c r="I505" s="13">
        <f t="shared" si="613"/>
        <v>2000000</v>
      </c>
      <c r="J505" s="13">
        <f t="shared" si="595"/>
        <v>866.99099999999999</v>
      </c>
      <c r="K505" s="5">
        <f t="shared" si="596"/>
        <v>900.09</v>
      </c>
      <c r="L505" s="21">
        <f t="shared" si="597"/>
        <v>1733982</v>
      </c>
      <c r="M505">
        <f t="shared" si="598"/>
        <v>1800180</v>
      </c>
      <c r="N505">
        <f t="shared" si="614"/>
        <v>0.43180309536</v>
      </c>
      <c r="O505">
        <f t="shared" si="615"/>
        <v>0.99468689233250807</v>
      </c>
      <c r="P505">
        <f t="shared" si="638"/>
        <v>4.2950887902319602E-4</v>
      </c>
      <c r="Q505">
        <f t="shared" si="639"/>
        <v>0.99425738345348491</v>
      </c>
      <c r="R505">
        <f t="shared" si="616"/>
        <v>1782256.1011959719</v>
      </c>
      <c r="S505">
        <f t="shared" si="617"/>
        <v>19893.737846650161</v>
      </c>
      <c r="T505">
        <f t="shared" si="600"/>
        <v>1789842.2565452945</v>
      </c>
      <c r="U505" s="22">
        <f t="shared" si="651"/>
        <v>19885.147669069698</v>
      </c>
      <c r="V505" s="1">
        <f t="shared" si="601"/>
        <v>0</v>
      </c>
      <c r="W505" s="1">
        <f t="shared" si="602"/>
        <v>0</v>
      </c>
      <c r="X505" s="1">
        <f t="shared" si="603"/>
        <v>-195.15756827563811</v>
      </c>
      <c r="Y505" s="1">
        <f t="shared" si="618"/>
        <v>-859.01775804639203</v>
      </c>
      <c r="Z505" s="1">
        <f t="shared" si="604"/>
        <v>-1054.1753263220301</v>
      </c>
      <c r="AA505" s="1">
        <f t="shared" si="605"/>
        <v>-7586.1553493225947</v>
      </c>
      <c r="AB505" s="1">
        <f t="shared" si="653"/>
        <v>99118.241147344219</v>
      </c>
      <c r="AC505" s="1">
        <f t="shared" si="607"/>
        <v>90477.910471699593</v>
      </c>
      <c r="AD505" s="1">
        <f t="shared" si="608"/>
        <v>8.5901775804632052</v>
      </c>
      <c r="AE505">
        <f t="shared" si="609"/>
        <v>90486.50064928006</v>
      </c>
      <c r="AG505" s="19">
        <v>61</v>
      </c>
      <c r="AH505" s="19">
        <f t="shared" ref="AH505:AK505" si="684">AH418</f>
        <v>2.1660610701037682E-3</v>
      </c>
      <c r="AI505" s="19">
        <f t="shared" si="684"/>
        <v>9.3531187480960104E-4</v>
      </c>
      <c r="AJ505" s="19">
        <f t="shared" si="684"/>
        <v>900.09</v>
      </c>
      <c r="AK505" s="19">
        <f t="shared" si="684"/>
        <v>866.99099999999999</v>
      </c>
    </row>
    <row r="506" spans="5:37">
      <c r="E506">
        <v>62</v>
      </c>
      <c r="F506" s="13"/>
      <c r="G506" s="13">
        <f t="shared" si="655"/>
        <v>0</v>
      </c>
      <c r="H506" s="13">
        <f t="shared" si="656"/>
        <v>196.20000000000002</v>
      </c>
      <c r="I506" s="13">
        <f t="shared" si="613"/>
        <v>2000000</v>
      </c>
      <c r="J506" s="13">
        <f t="shared" si="595"/>
        <v>872.04100000000005</v>
      </c>
      <c r="K506" s="5">
        <f t="shared" si="596"/>
        <v>904.00800000000004</v>
      </c>
      <c r="L506" s="21">
        <f t="shared" si="597"/>
        <v>1744082</v>
      </c>
      <c r="M506">
        <f t="shared" si="598"/>
        <v>1808016</v>
      </c>
      <c r="N506">
        <f t="shared" si="614"/>
        <v>0.45412589403999998</v>
      </c>
      <c r="O506">
        <f t="shared" si="615"/>
        <v>0.99425738345348491</v>
      </c>
      <c r="P506">
        <f t="shared" si="638"/>
        <v>4.5151802316668492E-4</v>
      </c>
      <c r="Q506">
        <f t="shared" si="639"/>
        <v>0.99380586543031824</v>
      </c>
      <c r="R506">
        <f t="shared" si="616"/>
        <v>1789842.2565452945</v>
      </c>
      <c r="S506">
        <f t="shared" si="617"/>
        <v>19885.147669069698</v>
      </c>
      <c r="T506">
        <f t="shared" si="600"/>
        <v>1796816.9055918623</v>
      </c>
      <c r="U506" s="22">
        <f t="shared" si="651"/>
        <v>19876.117308606365</v>
      </c>
      <c r="V506" s="1">
        <f t="shared" si="601"/>
        <v>0</v>
      </c>
      <c r="W506" s="1">
        <f t="shared" si="602"/>
        <v>0</v>
      </c>
      <c r="X506" s="1">
        <f t="shared" si="603"/>
        <v>-195.07329863357376</v>
      </c>
      <c r="Y506" s="1">
        <f t="shared" si="618"/>
        <v>-903.03604633336988</v>
      </c>
      <c r="Z506" s="1">
        <f t="shared" si="604"/>
        <v>-1098.1093449669436</v>
      </c>
      <c r="AA506" s="1">
        <f t="shared" si="605"/>
        <v>-6974.6490465677343</v>
      </c>
      <c r="AB506" s="1">
        <f t="shared" si="653"/>
        <v>99535.007231790034</v>
      </c>
      <c r="AC506" s="1">
        <f t="shared" si="607"/>
        <v>91462.248840255357</v>
      </c>
      <c r="AD506" s="1">
        <f t="shared" si="608"/>
        <v>9.0303604633336363</v>
      </c>
      <c r="AE506">
        <f t="shared" si="609"/>
        <v>91471.279200718694</v>
      </c>
      <c r="AG506" s="19">
        <v>62</v>
      </c>
      <c r="AH506" s="19">
        <f t="shared" ref="AH506:AK506" si="685">AH419</f>
        <v>1.2307491952941673E-3</v>
      </c>
      <c r="AI506" s="19">
        <f t="shared" si="685"/>
        <v>5.5891507865197425E-4</v>
      </c>
      <c r="AJ506" s="19">
        <f t="shared" si="685"/>
        <v>904.00800000000004</v>
      </c>
      <c r="AK506" s="19">
        <f t="shared" si="685"/>
        <v>872.04100000000005</v>
      </c>
    </row>
    <row r="507" spans="5:37">
      <c r="E507">
        <v>63</v>
      </c>
      <c r="F507" s="13"/>
      <c r="G507" s="13">
        <f t="shared" si="655"/>
        <v>0</v>
      </c>
      <c r="H507" s="13">
        <f t="shared" si="656"/>
        <v>196.20000000000002</v>
      </c>
      <c r="I507" s="13">
        <f t="shared" si="613"/>
        <v>2000000</v>
      </c>
      <c r="J507" s="13">
        <f t="shared" si="595"/>
        <v>876.78200000000004</v>
      </c>
      <c r="K507" s="5">
        <f t="shared" si="596"/>
        <v>907.67899999999997</v>
      </c>
      <c r="L507" s="21">
        <f t="shared" si="597"/>
        <v>1753564</v>
      </c>
      <c r="M507">
        <f t="shared" si="598"/>
        <v>1815358</v>
      </c>
      <c r="N507">
        <f t="shared" si="614"/>
        <v>0.47656725480000001</v>
      </c>
      <c r="O507">
        <f t="shared" si="615"/>
        <v>0.99380586543031824</v>
      </c>
      <c r="P507">
        <f t="shared" si="638"/>
        <v>4.7361533309226502E-4</v>
      </c>
      <c r="Q507">
        <f t="shared" si="639"/>
        <v>0.99333225009722592</v>
      </c>
      <c r="R507">
        <f t="shared" si="616"/>
        <v>1796816.9055918623</v>
      </c>
      <c r="S507">
        <f t="shared" si="617"/>
        <v>19876.117308606365</v>
      </c>
      <c r="T507">
        <f t="shared" si="600"/>
        <v>1803253.6468719998</v>
      </c>
      <c r="U507" s="22">
        <f t="shared" si="651"/>
        <v>19866.645001944518</v>
      </c>
      <c r="V507" s="1">
        <f t="shared" si="601"/>
        <v>0</v>
      </c>
      <c r="W507" s="1">
        <f t="shared" si="602"/>
        <v>0</v>
      </c>
      <c r="X507" s="1">
        <f t="shared" si="603"/>
        <v>-194.98471079742845</v>
      </c>
      <c r="Y507" s="1">
        <f t="shared" si="618"/>
        <v>-947.23066618453004</v>
      </c>
      <c r="Z507" s="1">
        <f t="shared" si="604"/>
        <v>-1142.2153769819586</v>
      </c>
      <c r="AA507" s="1">
        <f t="shared" si="605"/>
        <v>-6436.7412801375613</v>
      </c>
      <c r="AB507" s="1">
        <f t="shared" si="653"/>
        <v>99918.116259525777</v>
      </c>
      <c r="AC507" s="1">
        <f t="shared" si="607"/>
        <v>92339.15960240626</v>
      </c>
      <c r="AD507" s="1">
        <f t="shared" si="608"/>
        <v>9.4723066618462326</v>
      </c>
      <c r="AE507">
        <f t="shared" si="609"/>
        <v>92348.631909068106</v>
      </c>
      <c r="AG507" s="19">
        <v>63</v>
      </c>
      <c r="AH507" s="19">
        <f t="shared" ref="AH507:AK507" si="686">AH420</f>
        <v>6.7183411664219303E-4</v>
      </c>
      <c r="AI507" s="19">
        <f t="shared" si="686"/>
        <v>3.2017414064915292E-4</v>
      </c>
      <c r="AJ507" s="19">
        <f t="shared" si="686"/>
        <v>907.67899999999997</v>
      </c>
      <c r="AK507" s="19">
        <f t="shared" si="686"/>
        <v>876.78200000000004</v>
      </c>
    </row>
    <row r="508" spans="5:37">
      <c r="E508">
        <v>64</v>
      </c>
      <c r="F508" s="13"/>
      <c r="G508" s="13">
        <f t="shared" si="655"/>
        <v>0</v>
      </c>
      <c r="H508" s="13">
        <f t="shared" si="656"/>
        <v>196.20000000000002</v>
      </c>
      <c r="I508" s="13">
        <f t="shared" si="613"/>
        <v>2000000</v>
      </c>
      <c r="J508" s="13">
        <f t="shared" si="595"/>
        <v>881.25599999999997</v>
      </c>
      <c r="K508" s="5">
        <f t="shared" si="596"/>
        <v>911.13599999999997</v>
      </c>
      <c r="L508" s="21">
        <f t="shared" si="597"/>
        <v>1762512</v>
      </c>
      <c r="M508">
        <f t="shared" si="598"/>
        <v>1822272</v>
      </c>
      <c r="N508">
        <f t="shared" si="614"/>
        <v>0.49916815130000003</v>
      </c>
      <c r="O508">
        <f t="shared" si="615"/>
        <v>0.99333225009722592</v>
      </c>
      <c r="P508">
        <f t="shared" si="638"/>
        <v>4.9583982290770149E-4</v>
      </c>
      <c r="Q508">
        <f t="shared" si="639"/>
        <v>0.99283641027431824</v>
      </c>
      <c r="R508">
        <f t="shared" si="616"/>
        <v>1803253.6468719998</v>
      </c>
      <c r="S508">
        <f t="shared" si="617"/>
        <v>19866.645001944518</v>
      </c>
      <c r="T508">
        <f t="shared" si="600"/>
        <v>1809217.9910234024</v>
      </c>
      <c r="U508" s="22">
        <f t="shared" ref="U508:U519" si="687">$B$11*I508*Q508</f>
        <v>19856.728205486364</v>
      </c>
      <c r="V508" s="1">
        <f t="shared" si="601"/>
        <v>0</v>
      </c>
      <c r="W508" s="1">
        <f t="shared" si="602"/>
        <v>0</v>
      </c>
      <c r="X508" s="1">
        <f t="shared" si="603"/>
        <v>-194.89178746907575</v>
      </c>
      <c r="Y508" s="1">
        <f t="shared" si="618"/>
        <v>-991.67964581540298</v>
      </c>
      <c r="Z508" s="1">
        <f t="shared" si="604"/>
        <v>-1186.5714332844786</v>
      </c>
      <c r="AA508" s="1">
        <f t="shared" si="605"/>
        <v>-5964.3441514025908</v>
      </c>
      <c r="AB508" s="1">
        <f t="shared" si="653"/>
        <v>100271.61605306694</v>
      </c>
      <c r="AC508" s="1">
        <f t="shared" si="607"/>
        <v>93120.700468379873</v>
      </c>
      <c r="AD508" s="1">
        <f t="shared" si="608"/>
        <v>9.9167964581538399</v>
      </c>
      <c r="AE508">
        <f t="shared" si="609"/>
        <v>93130.617264838031</v>
      </c>
      <c r="AG508" s="19">
        <v>64</v>
      </c>
      <c r="AH508" s="19">
        <f t="shared" ref="AH508:AK508" si="688">AH421</f>
        <v>3.5165997599304012E-4</v>
      </c>
      <c r="AI508" s="19">
        <f t="shared" si="688"/>
        <v>1.7553746010264822E-4</v>
      </c>
      <c r="AJ508" s="19">
        <f t="shared" si="688"/>
        <v>911.13599999999997</v>
      </c>
      <c r="AK508" s="19">
        <f t="shared" si="688"/>
        <v>881.25599999999997</v>
      </c>
    </row>
    <row r="509" spans="5:37">
      <c r="E509">
        <v>65</v>
      </c>
      <c r="F509" s="13"/>
      <c r="G509" s="13">
        <f t="shared" si="655"/>
        <v>0</v>
      </c>
      <c r="H509" s="13">
        <f t="shared" si="656"/>
        <v>196.20000000000002</v>
      </c>
      <c r="I509" s="13">
        <f t="shared" si="613"/>
        <v>2000000</v>
      </c>
      <c r="J509" s="13">
        <f t="shared" ref="J509:J519" si="689">AK509</f>
        <v>885.553</v>
      </c>
      <c r="K509" s="5">
        <f t="shared" ref="K509:K519" si="690">AJ509</f>
        <v>914.44899999999996</v>
      </c>
      <c r="L509" s="21">
        <f t="shared" ref="L509:L519" si="691">I509*J509/1000</f>
        <v>1771106</v>
      </c>
      <c r="M509">
        <f t="shared" ref="M509:M519" si="692">I509*K509/1000</f>
        <v>1828898</v>
      </c>
      <c r="N509">
        <f t="shared" si="614"/>
        <v>0.52180043188000003</v>
      </c>
      <c r="O509">
        <f t="shared" si="615"/>
        <v>0.99283641027431824</v>
      </c>
      <c r="P509">
        <f t="shared" si="638"/>
        <v>5.1806246766732806E-4</v>
      </c>
      <c r="Q509">
        <f t="shared" si="639"/>
        <v>0.99231834780665096</v>
      </c>
      <c r="R509">
        <f t="shared" si="616"/>
        <v>1809217.9910234024</v>
      </c>
      <c r="S509">
        <f t="shared" si="617"/>
        <v>19856.728205486364</v>
      </c>
      <c r="T509">
        <f t="shared" ref="T509:T519" si="693">M509*Q509</f>
        <v>1814849.0416668884</v>
      </c>
      <c r="U509" s="22">
        <f t="shared" si="687"/>
        <v>19846.366956133021</v>
      </c>
      <c r="V509" s="1">
        <f t="shared" ref="V509:V519" si="694">$O509*F509</f>
        <v>0</v>
      </c>
      <c r="W509" s="1">
        <f t="shared" ref="W509:W519" si="695">-$O509*G509</f>
        <v>0</v>
      </c>
      <c r="X509" s="1">
        <f t="shared" ref="X509:X519" si="696">-$O509*H509</f>
        <v>-194.79450369582125</v>
      </c>
      <c r="Y509" s="1">
        <f t="shared" si="618"/>
        <v>-1036.1249353346561</v>
      </c>
      <c r="Z509" s="1">
        <f t="shared" ref="Z509:Z519" si="697">SUM(V509:Y509)</f>
        <v>-1230.9194390304774</v>
      </c>
      <c r="AA509" s="1">
        <f t="shared" ref="AA509:AA519" si="698">R509-T509</f>
        <v>-5631.0506434859708</v>
      </c>
      <c r="AB509" s="1">
        <f t="shared" ref="AB509:AB519" si="699">$B$12*SUM(R509:S509,V509:W509)</f>
        <v>100599.10955758889</v>
      </c>
      <c r="AC509" s="1">
        <f t="shared" ref="AC509:AC519" si="700">SUM(Z509:AB509)</f>
        <v>93737.139475072443</v>
      </c>
      <c r="AD509" s="1">
        <f t="shared" ref="AD509:AD519" si="701">S509-U509</f>
        <v>10.361249353343737</v>
      </c>
      <c r="AE509">
        <f t="shared" ref="AE509:AE519" si="702">SUM(AC509:AD509)</f>
        <v>93747.500724425787</v>
      </c>
      <c r="AG509" s="19">
        <v>65</v>
      </c>
      <c r="AH509" s="19">
        <f t="shared" ref="AH509:AK509" si="703">AH422</f>
        <v>1.7612251589039189E-4</v>
      </c>
      <c r="AI509" s="19">
        <f t="shared" si="703"/>
        <v>9.1900804855398662E-5</v>
      </c>
      <c r="AJ509" s="19">
        <f t="shared" si="703"/>
        <v>914.44899999999996</v>
      </c>
      <c r="AK509" s="19">
        <f t="shared" si="703"/>
        <v>885.553</v>
      </c>
    </row>
    <row r="510" spans="5:37">
      <c r="E510">
        <v>66</v>
      </c>
      <c r="F510" s="13"/>
      <c r="G510" s="13">
        <f t="shared" ref="G510:G519" si="704">F510*$B$15</f>
        <v>0</v>
      </c>
      <c r="H510" s="13">
        <f t="shared" ref="H510:H519" si="705">$B$17</f>
        <v>196.20000000000002</v>
      </c>
      <c r="I510" s="13">
        <f t="shared" ref="I510:I519" si="706">I509</f>
        <v>2000000</v>
      </c>
      <c r="J510" s="13">
        <f t="shared" si="689"/>
        <v>889.88900000000001</v>
      </c>
      <c r="K510" s="5">
        <f t="shared" si="690"/>
        <v>917.77800000000002</v>
      </c>
      <c r="L510" s="21">
        <f t="shared" si="691"/>
        <v>1779778</v>
      </c>
      <c r="M510">
        <f t="shared" si="692"/>
        <v>1835556</v>
      </c>
      <c r="N510">
        <f t="shared" ref="N510:N519" si="707">N423</f>
        <v>0.54433245775999994</v>
      </c>
      <c r="O510">
        <f t="shared" ref="O510:O519" si="708">Q509</f>
        <v>0.99231834780665096</v>
      </c>
      <c r="P510">
        <f t="shared" si="638"/>
        <v>5.4015108514193679E-4</v>
      </c>
      <c r="Q510">
        <f t="shared" si="639"/>
        <v>0.99177819672150902</v>
      </c>
      <c r="R510">
        <f t="shared" ref="R510:R519" si="709">T509</f>
        <v>1814849.0416668884</v>
      </c>
      <c r="S510">
        <f t="shared" ref="S510:S519" si="710">U509</f>
        <v>19846.366956133021</v>
      </c>
      <c r="T510">
        <f t="shared" si="693"/>
        <v>1820464.4196613461</v>
      </c>
      <c r="U510" s="22">
        <f t="shared" si="687"/>
        <v>19835.563934430182</v>
      </c>
      <c r="V510" s="1">
        <f t="shared" si="694"/>
        <v>0</v>
      </c>
      <c r="W510" s="1">
        <f t="shared" si="695"/>
        <v>0</v>
      </c>
      <c r="X510" s="1">
        <f t="shared" si="696"/>
        <v>-194.69285983966495</v>
      </c>
      <c r="Y510" s="1">
        <f t="shared" ref="Y510:Y519" si="711">-P510*I510</f>
        <v>-1080.3021702838737</v>
      </c>
      <c r="Z510" s="1">
        <f t="shared" si="697"/>
        <v>-1274.9950301235385</v>
      </c>
      <c r="AA510" s="1">
        <f t="shared" si="698"/>
        <v>-5615.3779944577254</v>
      </c>
      <c r="AB510" s="1">
        <f t="shared" si="699"/>
        <v>100908.24747426617</v>
      </c>
      <c r="AC510" s="1">
        <f t="shared" si="700"/>
        <v>94017.87444968491</v>
      </c>
      <c r="AD510" s="1">
        <f t="shared" si="701"/>
        <v>10.803021702839033</v>
      </c>
      <c r="AE510">
        <f t="shared" si="702"/>
        <v>94028.677471387753</v>
      </c>
      <c r="AG510" s="19">
        <v>66</v>
      </c>
      <c r="AH510" s="19">
        <f t="shared" ref="AH510:AK510" si="712">AH423</f>
        <v>8.4221711034993232E-5</v>
      </c>
      <c r="AI510" s="19">
        <f t="shared" si="712"/>
        <v>4.5844610964430378E-5</v>
      </c>
      <c r="AJ510" s="19">
        <f t="shared" si="712"/>
        <v>917.77800000000002</v>
      </c>
      <c r="AK510" s="19">
        <f t="shared" si="712"/>
        <v>889.88900000000001</v>
      </c>
    </row>
    <row r="511" spans="5:37">
      <c r="E511">
        <v>67</v>
      </c>
      <c r="F511" s="13"/>
      <c r="G511" s="13">
        <f t="shared" si="704"/>
        <v>0</v>
      </c>
      <c r="H511" s="13">
        <f t="shared" si="705"/>
        <v>196.20000000000002</v>
      </c>
      <c r="I511" s="13">
        <f t="shared" si="706"/>
        <v>2000000</v>
      </c>
      <c r="J511" s="13">
        <f t="shared" si="689"/>
        <v>893.88300000000004</v>
      </c>
      <c r="K511" s="5">
        <f t="shared" si="690"/>
        <v>920.83199999999999</v>
      </c>
      <c r="L511" s="21">
        <f t="shared" si="691"/>
        <v>1787766</v>
      </c>
      <c r="M511">
        <f t="shared" si="692"/>
        <v>1841664</v>
      </c>
      <c r="N511">
        <f t="shared" si="707"/>
        <v>0.57049196021999993</v>
      </c>
      <c r="O511">
        <f t="shared" si="708"/>
        <v>0.99177819672150902</v>
      </c>
      <c r="P511">
        <f t="shared" si="638"/>
        <v>5.6580148755111038E-4</v>
      </c>
      <c r="Q511">
        <f t="shared" si="639"/>
        <v>0.99121239523395788</v>
      </c>
      <c r="R511">
        <f t="shared" si="709"/>
        <v>1820464.4196613461</v>
      </c>
      <c r="S511">
        <f t="shared" si="710"/>
        <v>19835.563934430182</v>
      </c>
      <c r="T511">
        <f t="shared" si="693"/>
        <v>1825480.1846561518</v>
      </c>
      <c r="U511" s="22">
        <f t="shared" si="687"/>
        <v>19824.247904679156</v>
      </c>
      <c r="V511" s="1">
        <f t="shared" si="694"/>
        <v>0</v>
      </c>
      <c r="W511" s="1">
        <f t="shared" si="695"/>
        <v>0</v>
      </c>
      <c r="X511" s="1">
        <f t="shared" si="696"/>
        <v>-194.58688219676009</v>
      </c>
      <c r="Y511" s="1">
        <f t="shared" si="711"/>
        <v>-1131.6029751022209</v>
      </c>
      <c r="Z511" s="1">
        <f t="shared" si="697"/>
        <v>-1326.189857298981</v>
      </c>
      <c r="AA511" s="1">
        <f t="shared" si="698"/>
        <v>-5015.7649948056787</v>
      </c>
      <c r="AB511" s="1">
        <f t="shared" si="699"/>
        <v>101216.49909776771</v>
      </c>
      <c r="AC511" s="1">
        <f t="shared" si="700"/>
        <v>94874.544245663041</v>
      </c>
      <c r="AD511" s="1">
        <f t="shared" si="701"/>
        <v>11.316029751025781</v>
      </c>
      <c r="AE511">
        <f t="shared" si="702"/>
        <v>94885.860275414074</v>
      </c>
      <c r="AG511" s="19">
        <v>67</v>
      </c>
      <c r="AH511" s="19">
        <f t="shared" ref="AH511:AK511" si="713">AH424</f>
        <v>3.8377100070562854E-5</v>
      </c>
      <c r="AI511" s="19">
        <f t="shared" si="713"/>
        <v>2.1893827046814499E-5</v>
      </c>
      <c r="AJ511" s="19">
        <f t="shared" si="713"/>
        <v>920.83199999999999</v>
      </c>
      <c r="AK511" s="19">
        <f t="shared" si="713"/>
        <v>893.88300000000004</v>
      </c>
    </row>
    <row r="512" spans="5:37">
      <c r="E512">
        <v>68</v>
      </c>
      <c r="F512" s="13"/>
      <c r="G512" s="13">
        <f t="shared" si="704"/>
        <v>0</v>
      </c>
      <c r="H512" s="13">
        <f t="shared" si="705"/>
        <v>196.20000000000002</v>
      </c>
      <c r="I512" s="13">
        <f t="shared" si="706"/>
        <v>2000000</v>
      </c>
      <c r="J512" s="13">
        <f t="shared" si="689"/>
        <v>897.53399999999999</v>
      </c>
      <c r="K512" s="5">
        <f t="shared" si="690"/>
        <v>923.59900000000005</v>
      </c>
      <c r="L512" s="21">
        <f t="shared" si="691"/>
        <v>1795068</v>
      </c>
      <c r="M512">
        <f t="shared" si="692"/>
        <v>1847198</v>
      </c>
      <c r="N512">
        <f t="shared" si="707"/>
        <v>0.59650936254000009</v>
      </c>
      <c r="O512">
        <f t="shared" si="708"/>
        <v>0.99121239523395788</v>
      </c>
      <c r="P512">
        <f t="shared" si="638"/>
        <v>5.9126747402275478E-4</v>
      </c>
      <c r="Q512">
        <f t="shared" si="639"/>
        <v>0.99062112775993516</v>
      </c>
      <c r="R512">
        <f t="shared" si="709"/>
        <v>1825480.1846561518</v>
      </c>
      <c r="S512">
        <f t="shared" si="710"/>
        <v>19824.247904679156</v>
      </c>
      <c r="T512">
        <f t="shared" si="693"/>
        <v>1829873.3659558967</v>
      </c>
      <c r="U512" s="22">
        <f t="shared" si="687"/>
        <v>19812.422555198704</v>
      </c>
      <c r="V512" s="1">
        <f t="shared" si="694"/>
        <v>0</v>
      </c>
      <c r="W512" s="1">
        <f t="shared" si="695"/>
        <v>0</v>
      </c>
      <c r="X512" s="1">
        <f t="shared" si="696"/>
        <v>-194.47587194490256</v>
      </c>
      <c r="Y512" s="1">
        <f t="shared" si="711"/>
        <v>-1182.5349480455095</v>
      </c>
      <c r="Z512" s="1">
        <f t="shared" si="697"/>
        <v>-1377.0108199904121</v>
      </c>
      <c r="AA512" s="1">
        <f t="shared" si="698"/>
        <v>-4393.1812997448724</v>
      </c>
      <c r="AB512" s="1">
        <f t="shared" si="699"/>
        <v>101491.74379084569</v>
      </c>
      <c r="AC512" s="1">
        <f t="shared" si="700"/>
        <v>95721.551671110414</v>
      </c>
      <c r="AD512" s="1">
        <f t="shared" si="701"/>
        <v>11.825349480452132</v>
      </c>
      <c r="AE512">
        <f t="shared" si="702"/>
        <v>95733.377020590866</v>
      </c>
      <c r="AG512" s="19">
        <v>68</v>
      </c>
      <c r="AH512" s="19">
        <f t="shared" ref="AH512:AK512" si="714">AH425</f>
        <v>1.6483273023748356E-5</v>
      </c>
      <c r="AI512" s="19">
        <f t="shared" si="714"/>
        <v>9.8324266839689121E-6</v>
      </c>
      <c r="AJ512" s="19">
        <f t="shared" si="714"/>
        <v>923.59900000000005</v>
      </c>
      <c r="AK512" s="19">
        <f t="shared" si="714"/>
        <v>897.53399999999999</v>
      </c>
    </row>
    <row r="513" spans="5:37">
      <c r="E513">
        <v>69</v>
      </c>
      <c r="F513" s="13"/>
      <c r="G513" s="13">
        <f t="shared" si="704"/>
        <v>0</v>
      </c>
      <c r="H513" s="13">
        <f t="shared" si="705"/>
        <v>196.20000000000002</v>
      </c>
      <c r="I513" s="13">
        <f t="shared" si="706"/>
        <v>2000000</v>
      </c>
      <c r="J513" s="13">
        <f t="shared" si="689"/>
        <v>900.77</v>
      </c>
      <c r="K513" s="5">
        <f t="shared" si="690"/>
        <v>925.99</v>
      </c>
      <c r="L513" s="21">
        <f t="shared" si="691"/>
        <v>1801540</v>
      </c>
      <c r="M513">
        <f t="shared" si="692"/>
        <v>1851980</v>
      </c>
      <c r="N513">
        <f t="shared" si="707"/>
        <v>0.62235240886000009</v>
      </c>
      <c r="O513">
        <f t="shared" si="708"/>
        <v>0.99062112775993516</v>
      </c>
      <c r="P513">
        <f t="shared" si="638"/>
        <v>6.1651544512900558E-4</v>
      </c>
      <c r="Q513">
        <f t="shared" si="639"/>
        <v>0.99000461231480619</v>
      </c>
      <c r="R513">
        <f t="shared" si="709"/>
        <v>1829873.3659558967</v>
      </c>
      <c r="S513">
        <f t="shared" si="710"/>
        <v>19812.422555198704</v>
      </c>
      <c r="T513">
        <f t="shared" si="693"/>
        <v>1833468.7419147748</v>
      </c>
      <c r="U513" s="22">
        <f t="shared" si="687"/>
        <v>19800.092246296124</v>
      </c>
      <c r="V513" s="1">
        <f t="shared" si="694"/>
        <v>0</v>
      </c>
      <c r="W513" s="1">
        <f t="shared" si="695"/>
        <v>0</v>
      </c>
      <c r="X513" s="1">
        <f t="shared" si="696"/>
        <v>-194.3598652664993</v>
      </c>
      <c r="Y513" s="1">
        <f t="shared" si="711"/>
        <v>-1233.0308902580111</v>
      </c>
      <c r="Z513" s="1">
        <f t="shared" si="697"/>
        <v>-1427.3907555245105</v>
      </c>
      <c r="AA513" s="1">
        <f t="shared" si="698"/>
        <v>-3595.3759588780813</v>
      </c>
      <c r="AB513" s="1">
        <f t="shared" si="699"/>
        <v>101732.71836811025</v>
      </c>
      <c r="AC513" s="1">
        <f t="shared" si="700"/>
        <v>96709.951653707656</v>
      </c>
      <c r="AD513" s="1">
        <f t="shared" si="701"/>
        <v>12.330308902579418</v>
      </c>
      <c r="AE513">
        <f t="shared" si="702"/>
        <v>96722.281962610228</v>
      </c>
      <c r="AG513" s="19">
        <v>69</v>
      </c>
      <c r="AH513" s="19">
        <f t="shared" ref="AH513:AK513" si="715">AH426</f>
        <v>6.6508463397794435E-6</v>
      </c>
      <c r="AI513" s="19">
        <f t="shared" si="715"/>
        <v>4.1391702405194512E-6</v>
      </c>
      <c r="AJ513" s="19">
        <f t="shared" si="715"/>
        <v>925.99</v>
      </c>
      <c r="AK513" s="19">
        <f t="shared" si="715"/>
        <v>900.77</v>
      </c>
    </row>
    <row r="514" spans="5:37">
      <c r="E514">
        <v>70</v>
      </c>
      <c r="F514" s="13"/>
      <c r="G514" s="13">
        <f t="shared" si="704"/>
        <v>0</v>
      </c>
      <c r="H514" s="13">
        <f t="shared" si="705"/>
        <v>196.20000000000002</v>
      </c>
      <c r="I514" s="13">
        <f t="shared" si="706"/>
        <v>2000000</v>
      </c>
      <c r="J514" s="13">
        <f t="shared" si="689"/>
        <v>903.28700000000003</v>
      </c>
      <c r="K514" s="5">
        <f t="shared" si="690"/>
        <v>927.66499999999996</v>
      </c>
      <c r="L514" s="21">
        <f t="shared" si="691"/>
        <v>1806574</v>
      </c>
      <c r="M514">
        <f t="shared" si="692"/>
        <v>1855330</v>
      </c>
      <c r="N514">
        <f t="shared" si="707"/>
        <v>0.64798884332000006</v>
      </c>
      <c r="O514">
        <f t="shared" si="708"/>
        <v>0.99000461231480619</v>
      </c>
      <c r="P514">
        <f t="shared" si="638"/>
        <v>6.4151194361533636E-4</v>
      </c>
      <c r="Q514">
        <f t="shared" si="639"/>
        <v>0.9893631003711908</v>
      </c>
      <c r="R514">
        <f t="shared" si="709"/>
        <v>1833468.7419147748</v>
      </c>
      <c r="S514">
        <f t="shared" si="710"/>
        <v>19800.092246296124</v>
      </c>
      <c r="T514">
        <f t="shared" si="693"/>
        <v>1835595.0410116813</v>
      </c>
      <c r="U514" s="22">
        <f t="shared" si="687"/>
        <v>19787.262007423815</v>
      </c>
      <c r="V514" s="1">
        <f t="shared" si="694"/>
        <v>0</v>
      </c>
      <c r="W514" s="1">
        <f t="shared" si="695"/>
        <v>0</v>
      </c>
      <c r="X514" s="1">
        <f t="shared" si="696"/>
        <v>-194.238904936165</v>
      </c>
      <c r="Y514" s="1">
        <f t="shared" si="711"/>
        <v>-1283.0238872306727</v>
      </c>
      <c r="Z514" s="1">
        <f t="shared" si="697"/>
        <v>-1477.2627921668377</v>
      </c>
      <c r="AA514" s="1">
        <f t="shared" si="698"/>
        <v>-2126.2990969065577</v>
      </c>
      <c r="AB514" s="1">
        <f t="shared" si="699"/>
        <v>101929.78587885889</v>
      </c>
      <c r="AC514" s="1">
        <f t="shared" si="700"/>
        <v>98326.223989785503</v>
      </c>
      <c r="AD514" s="1">
        <f t="shared" si="701"/>
        <v>12.830238872309565</v>
      </c>
      <c r="AE514">
        <f t="shared" si="702"/>
        <v>98339.054228657813</v>
      </c>
      <c r="AG514" s="19">
        <v>70</v>
      </c>
      <c r="AH514" s="19">
        <f t="shared" ref="AH514:AK514" si="716">AH427</f>
        <v>2.5116760992599924E-6</v>
      </c>
      <c r="AI514" s="19">
        <f t="shared" si="716"/>
        <v>1.6275380903539721E-6</v>
      </c>
      <c r="AJ514" s="19">
        <f t="shared" si="716"/>
        <v>927.66499999999996</v>
      </c>
      <c r="AK514" s="19">
        <f t="shared" si="716"/>
        <v>903.28700000000003</v>
      </c>
    </row>
    <row r="515" spans="5:37">
      <c r="E515">
        <v>71</v>
      </c>
      <c r="F515" s="13"/>
      <c r="G515" s="13">
        <f t="shared" si="704"/>
        <v>0</v>
      </c>
      <c r="H515" s="13">
        <f t="shared" si="705"/>
        <v>196.20000000000002</v>
      </c>
      <c r="I515" s="13">
        <f t="shared" si="706"/>
        <v>2000000</v>
      </c>
      <c r="J515" s="13">
        <f t="shared" si="689"/>
        <v>903.93499999999995</v>
      </c>
      <c r="K515" s="5">
        <f t="shared" si="690"/>
        <v>927.37199999999996</v>
      </c>
      <c r="L515" s="21">
        <f t="shared" si="691"/>
        <v>1807870</v>
      </c>
      <c r="M515">
        <f t="shared" si="692"/>
        <v>1854744</v>
      </c>
      <c r="N515">
        <f t="shared" si="707"/>
        <v>0.67338728183999996</v>
      </c>
      <c r="O515">
        <f t="shared" si="708"/>
        <v>0.9893631003711908</v>
      </c>
      <c r="P515">
        <f t="shared" si="638"/>
        <v>6.6622452891175118E-4</v>
      </c>
      <c r="Q515">
        <f t="shared" si="639"/>
        <v>0.98869687584227905</v>
      </c>
      <c r="R515">
        <f t="shared" si="709"/>
        <v>1835595.0410116813</v>
      </c>
      <c r="S515">
        <f t="shared" si="710"/>
        <v>19787.262007423815</v>
      </c>
      <c r="T515">
        <f t="shared" si="693"/>
        <v>1833779.598287212</v>
      </c>
      <c r="U515" s="22">
        <f t="shared" si="687"/>
        <v>19773.937516845581</v>
      </c>
      <c r="V515" s="1">
        <f t="shared" si="694"/>
        <v>0</v>
      </c>
      <c r="W515" s="1">
        <f t="shared" si="695"/>
        <v>0</v>
      </c>
      <c r="X515" s="1">
        <f t="shared" si="696"/>
        <v>-194.11304029282766</v>
      </c>
      <c r="Y515" s="1">
        <f t="shared" si="711"/>
        <v>-1332.4490578235025</v>
      </c>
      <c r="Z515" s="1">
        <f t="shared" si="697"/>
        <v>-1526.5620981163302</v>
      </c>
      <c r="AA515" s="1">
        <f t="shared" si="698"/>
        <v>1815.4427244693507</v>
      </c>
      <c r="AB515" s="1">
        <f t="shared" si="699"/>
        <v>102046.02666605079</v>
      </c>
      <c r="AC515" s="1">
        <f t="shared" si="700"/>
        <v>102334.9072924038</v>
      </c>
      <c r="AD515" s="1">
        <f t="shared" si="701"/>
        <v>13.324490578233963</v>
      </c>
      <c r="AE515">
        <f t="shared" si="702"/>
        <v>102348.23178298204</v>
      </c>
      <c r="AG515" s="19">
        <v>71</v>
      </c>
      <c r="AH515" s="19">
        <f t="shared" ref="AH515:AK515" si="717">AH428</f>
        <v>8.8413800890602027E-7</v>
      </c>
      <c r="AI515" s="19">
        <f t="shared" si="717"/>
        <v>5.9536729058865463E-7</v>
      </c>
      <c r="AJ515" s="19">
        <f t="shared" si="717"/>
        <v>927.37199999999996</v>
      </c>
      <c r="AK515" s="19">
        <f t="shared" si="717"/>
        <v>903.93499999999995</v>
      </c>
    </row>
    <row r="516" spans="5:37">
      <c r="E516">
        <v>72</v>
      </c>
      <c r="F516" s="13"/>
      <c r="G516" s="13">
        <f t="shared" si="704"/>
        <v>0</v>
      </c>
      <c r="H516" s="13">
        <f t="shared" si="705"/>
        <v>196.20000000000002</v>
      </c>
      <c r="I516" s="13">
        <f t="shared" si="706"/>
        <v>2000000</v>
      </c>
      <c r="J516" s="13">
        <f t="shared" si="689"/>
        <v>898.16</v>
      </c>
      <c r="K516" s="5">
        <f t="shared" si="690"/>
        <v>920.27300000000002</v>
      </c>
      <c r="L516" s="21">
        <f t="shared" si="691"/>
        <v>1796320</v>
      </c>
      <c r="M516">
        <f t="shared" si="692"/>
        <v>1840546</v>
      </c>
      <c r="N516">
        <f t="shared" si="707"/>
        <v>0.69865669691999999</v>
      </c>
      <c r="O516">
        <f t="shared" si="708"/>
        <v>0.98869687584227905</v>
      </c>
      <c r="P516">
        <f t="shared" si="638"/>
        <v>6.9075969353108997E-4</v>
      </c>
      <c r="Q516">
        <f t="shared" si="639"/>
        <v>0.988006116148748</v>
      </c>
      <c r="R516">
        <f t="shared" si="709"/>
        <v>1833779.598287212</v>
      </c>
      <c r="S516">
        <f t="shared" si="710"/>
        <v>19773.937516845581</v>
      </c>
      <c r="T516">
        <f t="shared" si="693"/>
        <v>1818470.7050531136</v>
      </c>
      <c r="U516" s="22">
        <f t="shared" si="687"/>
        <v>19760.122322974959</v>
      </c>
      <c r="V516" s="1">
        <f t="shared" si="694"/>
        <v>0</v>
      </c>
      <c r="W516" s="1">
        <f t="shared" si="695"/>
        <v>0</v>
      </c>
      <c r="X516" s="1">
        <f t="shared" si="696"/>
        <v>-193.98232704025517</v>
      </c>
      <c r="Y516" s="1">
        <f t="shared" si="711"/>
        <v>-1381.5193870621799</v>
      </c>
      <c r="Z516" s="1">
        <f t="shared" si="697"/>
        <v>-1575.501714102435</v>
      </c>
      <c r="AA516" s="1">
        <f t="shared" si="698"/>
        <v>15308.89323409833</v>
      </c>
      <c r="AB516" s="1">
        <f t="shared" si="699"/>
        <v>101945.44446922316</v>
      </c>
      <c r="AC516" s="1">
        <f t="shared" si="700"/>
        <v>115678.83598921906</v>
      </c>
      <c r="AD516" s="1">
        <f t="shared" si="701"/>
        <v>13.815193870621442</v>
      </c>
      <c r="AE516">
        <f t="shared" si="702"/>
        <v>115692.65118308968</v>
      </c>
      <c r="AG516" s="19">
        <v>72</v>
      </c>
      <c r="AH516" s="19">
        <f t="shared" ref="AH516:AK516" si="718">AH429</f>
        <v>2.8877071831736564E-7</v>
      </c>
      <c r="AI516" s="19">
        <f t="shared" si="718"/>
        <v>2.0175159622682641E-7</v>
      </c>
      <c r="AJ516" s="19">
        <f t="shared" si="718"/>
        <v>920.27300000000002</v>
      </c>
      <c r="AK516" s="19">
        <f t="shared" si="718"/>
        <v>898.16</v>
      </c>
    </row>
    <row r="517" spans="5:37">
      <c r="E517">
        <v>73</v>
      </c>
      <c r="F517" s="13"/>
      <c r="G517" s="13">
        <f t="shared" si="704"/>
        <v>0</v>
      </c>
      <c r="H517" s="13">
        <f t="shared" si="705"/>
        <v>196.20000000000002</v>
      </c>
      <c r="I517" s="13">
        <f t="shared" si="706"/>
        <v>2000000</v>
      </c>
      <c r="J517" s="13">
        <f t="shared" si="689"/>
        <v>866.66399999999999</v>
      </c>
      <c r="K517" s="5">
        <f t="shared" si="690"/>
        <v>886.23199999999997</v>
      </c>
      <c r="L517" s="21">
        <f t="shared" si="691"/>
        <v>1733328</v>
      </c>
      <c r="M517">
        <f t="shared" si="692"/>
        <v>1772464</v>
      </c>
      <c r="N517">
        <f t="shared" si="707"/>
        <v>0.72392524022000004</v>
      </c>
      <c r="O517">
        <f t="shared" si="708"/>
        <v>0.988006116148748</v>
      </c>
      <c r="P517">
        <f t="shared" si="638"/>
        <v>7.1524256497181168E-4</v>
      </c>
      <c r="Q517">
        <f t="shared" si="639"/>
        <v>0.98729087358377621</v>
      </c>
      <c r="R517">
        <f t="shared" si="709"/>
        <v>1818470.7050531136</v>
      </c>
      <c r="S517">
        <f t="shared" si="710"/>
        <v>19760.122322974959</v>
      </c>
      <c r="T517">
        <f t="shared" si="693"/>
        <v>1749937.5309557943</v>
      </c>
      <c r="U517" s="22">
        <f t="shared" si="687"/>
        <v>19745.817471675524</v>
      </c>
      <c r="V517" s="1">
        <f t="shared" si="694"/>
        <v>0</v>
      </c>
      <c r="W517" s="1">
        <f t="shared" si="695"/>
        <v>0</v>
      </c>
      <c r="X517" s="1">
        <f t="shared" si="696"/>
        <v>-193.84679998838436</v>
      </c>
      <c r="Y517" s="1">
        <f t="shared" si="711"/>
        <v>-1430.4851299436234</v>
      </c>
      <c r="Z517" s="1">
        <f t="shared" si="697"/>
        <v>-1624.3319299320078</v>
      </c>
      <c r="AA517" s="1">
        <f t="shared" si="698"/>
        <v>68533.174097319366</v>
      </c>
      <c r="AB517" s="1">
        <f t="shared" si="699"/>
        <v>101102.69550568487</v>
      </c>
      <c r="AC517" s="1">
        <f t="shared" si="700"/>
        <v>168011.53767307222</v>
      </c>
      <c r="AD517" s="1">
        <f t="shared" si="701"/>
        <v>14.304851299435541</v>
      </c>
      <c r="AE517">
        <f t="shared" si="702"/>
        <v>168025.84252437166</v>
      </c>
      <c r="AG517" s="19">
        <v>73</v>
      </c>
      <c r="AH517" s="19">
        <f t="shared" ref="AH517:AK517" si="719">AH430</f>
        <v>8.7019122090539232E-8</v>
      </c>
      <c r="AI517" s="19">
        <f t="shared" si="719"/>
        <v>6.2995338863127127E-8</v>
      </c>
      <c r="AJ517" s="19">
        <f t="shared" si="719"/>
        <v>886.23199999999997</v>
      </c>
      <c r="AK517" s="19">
        <f t="shared" si="719"/>
        <v>866.66399999999999</v>
      </c>
    </row>
    <row r="518" spans="5:37">
      <c r="E518">
        <v>74</v>
      </c>
      <c r="F518" s="13"/>
      <c r="G518" s="13">
        <f t="shared" si="704"/>
        <v>0</v>
      </c>
      <c r="H518" s="13">
        <f t="shared" si="705"/>
        <v>196.20000000000002</v>
      </c>
      <c r="I518" s="13">
        <f t="shared" si="706"/>
        <v>2000000</v>
      </c>
      <c r="J518" s="13">
        <f t="shared" si="689"/>
        <v>710.20299999999997</v>
      </c>
      <c r="K518" s="5">
        <f t="shared" si="690"/>
        <v>733.61199999999997</v>
      </c>
      <c r="L518" s="21">
        <f t="shared" si="691"/>
        <v>1420406</v>
      </c>
      <c r="M518">
        <f t="shared" si="692"/>
        <v>1467224</v>
      </c>
      <c r="N518">
        <f t="shared" si="707"/>
        <v>0.74919465529999996</v>
      </c>
      <c r="O518">
        <f t="shared" si="708"/>
        <v>0.98729087358377621</v>
      </c>
      <c r="P518">
        <f t="shared" si="638"/>
        <v>7.39673045715433E-4</v>
      </c>
      <c r="Q518">
        <f t="shared" si="639"/>
        <v>0.98655120053806078</v>
      </c>
      <c r="R518">
        <f t="shared" si="709"/>
        <v>1749937.5309557943</v>
      </c>
      <c r="S518">
        <f t="shared" si="710"/>
        <v>19745.817471675524</v>
      </c>
      <c r="T518">
        <f t="shared" si="693"/>
        <v>1447491.5986582558</v>
      </c>
      <c r="U518" s="22">
        <f t="shared" si="687"/>
        <v>19731.024010761215</v>
      </c>
      <c r="V518" s="1">
        <f t="shared" si="694"/>
        <v>0</v>
      </c>
      <c r="W518" s="1">
        <f t="shared" si="695"/>
        <v>0</v>
      </c>
      <c r="X518" s="1">
        <f t="shared" si="696"/>
        <v>-193.70646939713691</v>
      </c>
      <c r="Y518" s="1">
        <f t="shared" si="711"/>
        <v>-1479.346091430866</v>
      </c>
      <c r="Z518" s="1">
        <f t="shared" si="697"/>
        <v>-1673.0525608280029</v>
      </c>
      <c r="AA518" s="1">
        <f t="shared" si="698"/>
        <v>302445.9322975385</v>
      </c>
      <c r="AB518" s="1">
        <f t="shared" si="699"/>
        <v>97332.584163510837</v>
      </c>
      <c r="AC518" s="1">
        <f t="shared" si="700"/>
        <v>398105.46390022134</v>
      </c>
      <c r="AD518" s="1">
        <f t="shared" si="701"/>
        <v>14.793460914308525</v>
      </c>
      <c r="AE518">
        <f t="shared" si="702"/>
        <v>398120.25736113562</v>
      </c>
      <c r="AG518" s="19">
        <v>74</v>
      </c>
      <c r="AH518" s="19">
        <f t="shared" ref="AH518:AK518" si="720">AH431</f>
        <v>2.4023783227412105E-8</v>
      </c>
      <c r="AI518" s="19">
        <f t="shared" si="720"/>
        <v>1.7998489994062932E-8</v>
      </c>
      <c r="AJ518" s="19">
        <f t="shared" si="720"/>
        <v>733.61199999999997</v>
      </c>
      <c r="AK518" s="19">
        <f t="shared" si="720"/>
        <v>710.20299999999997</v>
      </c>
    </row>
    <row r="519" spans="5:37">
      <c r="E519">
        <v>75</v>
      </c>
      <c r="F519" s="13"/>
      <c r="G519" s="13">
        <f t="shared" si="704"/>
        <v>0</v>
      </c>
      <c r="H519" s="13">
        <f t="shared" si="705"/>
        <v>196.20000000000002</v>
      </c>
      <c r="I519" s="13">
        <f t="shared" si="706"/>
        <v>2000000</v>
      </c>
      <c r="J519" s="13">
        <f t="shared" si="689"/>
        <v>0</v>
      </c>
      <c r="K519" s="5">
        <f t="shared" si="690"/>
        <v>0</v>
      </c>
      <c r="L519" s="21">
        <f t="shared" si="691"/>
        <v>0</v>
      </c>
      <c r="M519">
        <f t="shared" si="692"/>
        <v>0</v>
      </c>
      <c r="N519">
        <f t="shared" si="707"/>
        <v>0.77446407037999998</v>
      </c>
      <c r="O519">
        <f t="shared" si="708"/>
        <v>0.98655120053806078</v>
      </c>
      <c r="P519">
        <f t="shared" si="638"/>
        <v>7.6404845840698221E-4</v>
      </c>
      <c r="Q519">
        <f t="shared" si="639"/>
        <v>0.98578715207965384</v>
      </c>
      <c r="R519">
        <f t="shared" si="709"/>
        <v>1447491.5986582558</v>
      </c>
      <c r="S519">
        <f t="shared" si="710"/>
        <v>19731.024010761215</v>
      </c>
      <c r="T519">
        <f t="shared" si="693"/>
        <v>0</v>
      </c>
      <c r="U519" s="22">
        <f t="shared" si="687"/>
        <v>19715.743041593076</v>
      </c>
      <c r="V519" s="1">
        <f t="shared" si="694"/>
        <v>0</v>
      </c>
      <c r="W519" s="1">
        <f t="shared" si="695"/>
        <v>0</v>
      </c>
      <c r="X519" s="1">
        <f t="shared" si="696"/>
        <v>-193.56134554556755</v>
      </c>
      <c r="Y519" s="1">
        <f t="shared" si="711"/>
        <v>-1528.0969168139645</v>
      </c>
      <c r="Z519" s="1">
        <f t="shared" si="697"/>
        <v>-1721.658262359532</v>
      </c>
      <c r="AA519" s="1">
        <f t="shared" si="698"/>
        <v>1447491.5986582558</v>
      </c>
      <c r="AB519" s="1">
        <f t="shared" si="699"/>
        <v>80697.244246795934</v>
      </c>
      <c r="AC519" s="1">
        <f t="shared" si="700"/>
        <v>1526467.1846426923</v>
      </c>
      <c r="AD519" s="1">
        <f t="shared" si="701"/>
        <v>15.280969168139563</v>
      </c>
      <c r="AE519">
        <f t="shared" si="702"/>
        <v>1526482.4656118604</v>
      </c>
      <c r="AG519" s="19">
        <v>75</v>
      </c>
      <c r="AH519" s="19">
        <f t="shared" ref="AH519:AK519" si="721">AH432</f>
        <v>6.0252932333491729E-9</v>
      </c>
      <c r="AI519" s="19">
        <f t="shared" si="721"/>
        <v>4.6663731227326711E-9</v>
      </c>
      <c r="AJ519" s="19">
        <f t="shared" si="721"/>
        <v>0</v>
      </c>
      <c r="AK519" s="19">
        <f t="shared" si="721"/>
        <v>0</v>
      </c>
    </row>
    <row r="520" spans="5:37">
      <c r="F520" s="13"/>
      <c r="G520" s="13"/>
      <c r="H520" s="13"/>
      <c r="I520" s="13"/>
      <c r="J520" s="13"/>
      <c r="AG520" s="19"/>
    </row>
    <row r="521" spans="5:37">
      <c r="T521" s="19"/>
      <c r="AG521" s="19"/>
      <c r="AH521" s="19"/>
      <c r="AI521" s="19"/>
      <c r="AJ521" s="19"/>
      <c r="AK521" s="19"/>
    </row>
    <row r="522" spans="5:37">
      <c r="T522" s="19"/>
      <c r="U522" s="19" t="s">
        <v>116</v>
      </c>
      <c r="V522" s="19">
        <f>SUM(V444:V519)</f>
        <v>180105.17736201436</v>
      </c>
      <c r="W522" s="19">
        <f t="shared" ref="W522:AE522" si="722">SUM(W444:W519)</f>
        <v>-18010.517736201436</v>
      </c>
      <c r="X522" s="19">
        <f t="shared" si="722"/>
        <v>-14751.482796915769</v>
      </c>
      <c r="Y522" s="19">
        <f t="shared" si="722"/>
        <v>-28425.695840692333</v>
      </c>
      <c r="Z522" s="19">
        <f t="shared" si="722"/>
        <v>118917.48098820492</v>
      </c>
      <c r="AA522" s="19">
        <f t="shared" si="722"/>
        <v>0</v>
      </c>
      <c r="AB522" s="19">
        <f t="shared" si="722"/>
        <v>4845773.8643089123</v>
      </c>
      <c r="AC522" s="19">
        <f t="shared" si="722"/>
        <v>4964691.3452971177</v>
      </c>
      <c r="AD522" s="19">
        <f t="shared" si="722"/>
        <v>-19715.743041593076</v>
      </c>
      <c r="AE522" s="19">
        <f t="shared" si="722"/>
        <v>4944975.6022555241</v>
      </c>
      <c r="AF522" s="19"/>
      <c r="AG522" s="19"/>
      <c r="AH522" s="19"/>
      <c r="AI522" s="19"/>
      <c r="AJ522" s="19"/>
      <c r="AK522" s="19"/>
    </row>
    <row r="523" spans="5:37">
      <c r="T523" s="19"/>
      <c r="U523" t="str">
        <f>"PV at "&amp;$B$12</f>
        <v>PV at 0.055</v>
      </c>
      <c r="V523">
        <f>V444+NPV($B$12,V445:V519)</f>
        <v>180105.17736201436</v>
      </c>
      <c r="W523">
        <f t="shared" ref="W523:AE523" si="723">W444+NPV($B$12,W445:W519)</f>
        <v>-18010.517736201436</v>
      </c>
      <c r="X523">
        <f t="shared" si="723"/>
        <v>-3585.2093046726905</v>
      </c>
      <c r="Y523">
        <f t="shared" si="723"/>
        <v>-1333.1647082782156</v>
      </c>
      <c r="Z523">
        <f t="shared" si="723"/>
        <v>157176.285612862</v>
      </c>
      <c r="AA523">
        <f t="shared" si="723"/>
        <v>-565460.73357925902</v>
      </c>
      <c r="AB523">
        <f t="shared" si="723"/>
        <v>585091.86994785874</v>
      </c>
      <c r="AC523">
        <f t="shared" si="723"/>
        <v>176807.4219814614</v>
      </c>
      <c r="AD523">
        <f t="shared" si="723"/>
        <v>-19986.668352917219</v>
      </c>
      <c r="AE523">
        <f t="shared" si="723"/>
        <v>156820.75362854422</v>
      </c>
      <c r="AH523" s="19"/>
      <c r="AI523" s="19"/>
      <c r="AJ523" s="19"/>
      <c r="AK523" s="19"/>
    </row>
    <row r="524" spans="5:37">
      <c r="T524" s="19"/>
      <c r="U524" t="str">
        <f>"PV at "&amp;$B$13</f>
        <v>PV at 0.12</v>
      </c>
      <c r="V524" s="19">
        <f>V444+NPV($B$13,V445:V519)</f>
        <v>180105.17736201436</v>
      </c>
      <c r="W524" s="19">
        <f t="shared" ref="W524:AE524" si="724">W444+NPV($B$13,W445:W519)</f>
        <v>-18010.517736201436</v>
      </c>
      <c r="X524" s="19">
        <f t="shared" si="724"/>
        <v>-1729.0974301343726</v>
      </c>
      <c r="Y524" s="19">
        <f t="shared" si="724"/>
        <v>-117.35964723209082</v>
      </c>
      <c r="Z524" s="19">
        <f t="shared" si="724"/>
        <v>160248.20254844645</v>
      </c>
      <c r="AA524" s="19">
        <f t="shared" si="724"/>
        <v>-309216.98397694854</v>
      </c>
      <c r="AB524" s="19">
        <f t="shared" si="724"/>
        <v>150888.74049870705</v>
      </c>
      <c r="AC524" s="19">
        <f t="shared" si="724"/>
        <v>1919.9590702048736</v>
      </c>
      <c r="AD524" s="19">
        <f t="shared" si="724"/>
        <v>-19998.826403527681</v>
      </c>
      <c r="AE524" s="19">
        <f t="shared" si="724"/>
        <v>-18078.867333322851</v>
      </c>
      <c r="AF524" s="19"/>
      <c r="AG524" s="19"/>
      <c r="AH524" s="19"/>
      <c r="AI524" s="19"/>
      <c r="AJ524" s="19"/>
      <c r="AK524" s="19"/>
    </row>
    <row r="525" spans="5:37">
      <c r="T525" s="19"/>
      <c r="AG525" s="19"/>
      <c r="AH525" s="19"/>
      <c r="AI525" s="19"/>
      <c r="AJ525" s="19"/>
      <c r="AK525" s="19"/>
    </row>
    <row r="526" spans="5:37">
      <c r="U526" t="s">
        <v>117</v>
      </c>
      <c r="V526">
        <f>AC524</f>
        <v>1919.9590702048736</v>
      </c>
      <c r="AG526" s="19"/>
      <c r="AH526" s="19"/>
      <c r="AI526" s="19"/>
      <c r="AJ526" s="19"/>
      <c r="AK526" s="19"/>
    </row>
    <row r="527" spans="5:37">
      <c r="U527" t="s">
        <v>118</v>
      </c>
      <c r="V527">
        <f>AE524</f>
        <v>-18078.867333322851</v>
      </c>
      <c r="AG527" s="19"/>
      <c r="AH527" s="19"/>
      <c r="AI527" s="19"/>
      <c r="AJ527" s="19"/>
      <c r="AK527" s="19"/>
    </row>
  </sheetData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F74E89D-E341-4BE4-812B-F2A55322AC9B}">
          <x14:formula1>
            <xm:f>Mortality_Table!$E$2:$G$2</xm:f>
          </x14:formula1>
          <xm:sqref>J1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B747E9-D5CF-4D07-9EE1-FAA66FCD45E6}">
  <sheetPr>
    <tabColor theme="1" tint="0.249977111117893"/>
  </sheetPr>
  <dimension ref="A1"/>
  <sheetViews>
    <sheetView workbookViewId="0">
      <selection activeCell="L20" sqref="L20"/>
    </sheetView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85F0AF-7771-4E40-9612-8C4C67C0F550}">
  <dimension ref="A1"/>
  <sheetViews>
    <sheetView showGridLines="0" workbookViewId="0">
      <selection activeCell="N26" sqref="N26"/>
    </sheetView>
  </sheetViews>
  <sheetFormatPr defaultRowHeight="15"/>
  <cols>
    <col min="1" max="16384" width="9.140625" style="57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2024-03-15T00:07:41Z</dcterms:created>
  <dcterms:modified xsi:type="dcterms:W3CDTF">2024-04-07T10:20:28Z</dcterms:modified>
  <cp:category/>
  <cp:contentStatus/>
</cp:coreProperties>
</file>